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645825b83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0bb8100a6e804ed6"/>
    <x:sheet xmlns:r="http://schemas.openxmlformats.org/officeDocument/2006/relationships" name="Недели и территории" sheetId="2" r:id="R76ea38fd1e9d4156"/>
    <x:sheet xmlns:r="http://schemas.openxmlformats.org/officeDocument/2006/relationships" name="Динамика" sheetId="3" r:id="R6fb949ca95f44ac2"/>
    <x:sheet xmlns:r="http://schemas.openxmlformats.org/officeDocument/2006/relationships" name="Месячные показатели" sheetId="4" r:id="R2bd57b3f9f8040ae"/>
    <x:sheet xmlns:r="http://schemas.openxmlformats.org/officeDocument/2006/relationships" name="Данные" sheetId="5" r:id="R57a27e6744fb4f6c"/>
    <x:sheet xmlns:r="http://schemas.openxmlformats.org/officeDocument/2006/relationships" name="Лист1" sheetId="6" r:id="R0ef8ac629e394a07"/>
    <x:sheet xmlns:r="http://schemas.openxmlformats.org/officeDocument/2006/relationships" name="Лист2" sheetId="7" r:id="R25f311663b6740fb"/>
    <x:sheet xmlns:r="http://schemas.openxmlformats.org/officeDocument/2006/relationships" name="Проверки" sheetId="8" r:id="R3f3dc4840ab24bef"/>
    <x:sheet xmlns:r="http://schemas.openxmlformats.org/officeDocument/2006/relationships" name="Сводная" sheetId="9" r:id="R0ce4c95308404164"/>
  </x:sheets>
  <x:pivotCaches>
    <x:pivotCache xmlns:ns1="http://schemas.openxmlformats.org/officeDocument/2006/relationships" cacheId="1" ns1:id="rIdPivotCache"/>
  </x:pivotCach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.00"/>
    <x:numFmt numFmtId="202" formatCode="0.00%"/>
    <x:numFmt numFmtId="203" formatCode="0.00"/>
    <x:numFmt numFmtId="204" formatCode="0.000%"/>
    <x:numFmt numFmtId="205" formatCode="0.000&quot; п.п.&quot;"/>
    <x:numFmt numFmtId="206" formatCode="0.000000"/>
  </x:numFmts>
  <x:fonts count="4">
    <x:font>
      <x:sz val="11"/>
      <x:name val="Carlito"/>
    </x:font>
    <x:font>
      <x:sz val="10"/>
      <x:color rgb="FF243047"/>
      <x:name val="Arial"/>
    </x:font>
    <x:font>
      <x:b/>
      <x:sz val="10"/>
      <x:color rgb="FFFFFFFF"/>
      <x:name val="Arial"/>
    </x:font>
    <x:font>
      <x:b/>
      <x:sz val="15"/>
      <x:color rgb="FF222D4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FFCE1EB"/>
        </x:patternFill>
      </x:fill>
    </x:dxf>
    <x:dxf>
      <x:font>
        <x:color rgb="FF9F1239"/>
      </x:font>
      <x:fill>
        <x:patternFill patternType="solid">
          <x:bgColor rgb="FFFFE0E0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00cc38fb561643fb"/><Relationship Type="http://schemas.openxmlformats.org/officeDocument/2006/relationships/theme" Target="/xl/theme/theme1.xml" Id="R976de017209948e9"/><Relationship Type="http://schemas.openxmlformats.org/officeDocument/2006/relationships/sharedStrings" Target="/xl/sharedStrings.xml" Id="R2634df432a6446f4"/><Relationship Type="http://schemas.openxmlformats.org/officeDocument/2006/relationships/worksheet" Target="/xl/worksheets/sheet1.xml" Id="R0bb8100a6e804ed6"/><Relationship Type="http://schemas.openxmlformats.org/officeDocument/2006/relationships/worksheet" Target="/xl/worksheets/sheet2.xml" Id="R76ea38fd1e9d4156"/><Relationship Type="http://schemas.openxmlformats.org/officeDocument/2006/relationships/worksheet" Target="/xl/worksheets/sheet3.xml" Id="R6fb949ca95f44ac2"/><Relationship Type="http://schemas.openxmlformats.org/officeDocument/2006/relationships/worksheet" Target="/xl/worksheets/sheet4.xml" Id="R2bd57b3f9f8040ae"/><Relationship Type="http://schemas.openxmlformats.org/officeDocument/2006/relationships/worksheet" Target="/xl/worksheets/sheet5.xml" Id="R57a27e6744fb4f6c"/><Relationship Type="http://schemas.openxmlformats.org/officeDocument/2006/relationships/worksheet" Target="/xl/worksheets/sheet6.xml" Id="R0ef8ac629e394a07"/><Relationship Type="http://schemas.openxmlformats.org/officeDocument/2006/relationships/worksheet" Target="/xl/worksheets/sheet7.xml" Id="R25f311663b6740fb"/><Relationship Type="http://schemas.openxmlformats.org/officeDocument/2006/relationships/worksheet" Target="/xl/worksheets/sheet8.xml" Id="R3f3dc4840ab24bef"/><Relationship Type="http://schemas.openxmlformats.org/officeDocument/2006/relationships/worksheet" Target="/xl/worksheets/sheet9.xml" Id="R0ce4c95308404164"/><Relationship Id="rIdPivotCache" Type="http://schemas.openxmlformats.org/officeDocument/2006/relationships/pivotCacheDefinition" Target="pivotCache/pivotCacheDefinition1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63b39bc7f44874" /><Relationship Type="http://schemas.openxmlformats.org/officeDocument/2006/relationships/chart" Target="/xl/drawings/charts/chart2.xml" Id="R72c458ce5a974e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Товарооборот по неделям руб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Товарооборот руб</c:v>
          </c:tx>
          <c:spPr>
            <a:ln xmlns:a="http://schemas.openxmlformats.org/drawingml/2006/main" w="19050">
              <a:solidFill>
                <a:srgbClr val="EC4A77"/>
              </a:solidFill>
              <a:prstDash val="solid"/>
            </a:ln>
          </c:spPr>
          <c:marker>
            <c:symbol val="none"/>
          </c:marker>
          <c:cat>
            <c:strRef>
              <c:f>'Динамика'!$A$5:$A$10</c:f>
              <c:strCache>
                <c:ptCount val="0"/>
              </c:strCache>
            </c:strRef>
          </c:cat>
          <c:val>
            <c:numRef>
              <c:f>'Динамика'!$D$5:$D$10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млн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Доходность после потерь по неделям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Доходность</c:v>
          </c:tx>
          <c:spPr>
            <a:ln xmlns:a="http://schemas.openxmlformats.org/drawingml/2006/main" w="19050">
              <a:solidFill>
                <a:srgbClr val="376EA0"/>
              </a:solidFill>
              <a:prstDash val="solid"/>
            </a:ln>
          </c:spPr>
          <c:marker>
            <c:symbol val="none"/>
          </c:marker>
          <c:cat>
            <c:strRef>
              <c:f>'Динамика'!$A$5:$A$10</c:f>
              <c:strCache>
                <c:ptCount val="0"/>
              </c:strCache>
            </c:strRef>
          </c:cat>
          <c:val>
            <c:numRef>
              <c:f>'Динамика'!$H$5:$H$10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63b39bc7f44874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c458ce5a974ef2"/>
        </a:graphicData>
      </a:graphic>
    </xdr:graphicFrame>
    <xdr:clientData/>
  </xdr:twoCellAnchor>
</xdr:wsDr>
</file>

<file path=xl/pivotCache/_rels/pivotCacheDefinition1.xml.rels><?xml version='1.0' encoding='UTF-8' standalone='yes'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ns0:pivotCacheDefinition xmlns:ns0="http://schemas.openxmlformats.org/spreadsheetml/2006/main" xmlns:ns1="http://schemas.openxmlformats.org/officeDocument/2006/relationships" saveData="1" refreshOnLoad="0" recordCount="504" createdVersion="6" refreshedVersion="6" minRefreshableVersion="3" ns1:id="rId1">
  <ns0:cacheSource type="worksheet">
    <ns0:worksheetSource ref="A1:N505" sheet="Данные"/>
  </ns0:cacheSource>
  <ns0:cacheFields count="14">
    <ns0:cacheField name="Дата" numFmtId="14">
      <ns0:sharedItems count="35" containsString="0" containsNumber="1" containsSemiMixedTypes="0">
        <ns0:n v="43949"/>
        <ns0:n v="43950"/>
        <ns0:n v="43951"/>
        <ns0:n v="43952"/>
        <ns0:n v="43953"/>
        <ns0:n v="43954"/>
        <ns0:n v="43955"/>
        <ns0:n v="43956"/>
        <ns0:n v="43957"/>
        <ns0:n v="43958"/>
        <ns0:n v="43959"/>
        <ns0:n v="43960"/>
        <ns0:n v="43961"/>
        <ns0:n v="43962"/>
        <ns0:n v="43963"/>
        <ns0:n v="43964"/>
        <ns0:n v="43965"/>
        <ns0:n v="43966"/>
        <ns0:n v="43967"/>
        <ns0:n v="43968"/>
        <ns0:n v="43969"/>
        <ns0:n v="43970"/>
        <ns0:n v="43971"/>
        <ns0:n v="43972"/>
        <ns0:n v="43973"/>
        <ns0:n v="43974"/>
        <ns0:n v="43975"/>
        <ns0:n v="43976"/>
        <ns0:n v="43977"/>
        <ns0:n v="43978"/>
        <ns0:n v="43979"/>
        <ns0:n v="43980"/>
        <ns0:n v="43981"/>
        <ns0:n v="43982"/>
        <ns0:n v="43983"/>
      </ns0:sharedItems>
    </ns0:cacheField>
    <ns0:cacheField name="Территория" numFmtId="0">
      <ns0:sharedItems count="18" containsString="1" containsNumber="0" containsSemiMixedTypes="0">
        <ns0:s v="Волгоград"/>
        <ns0:s v="Екатеринбург"/>
        <ns0:s v="Казань"/>
        <ns0:s v="Кемерово"/>
        <ns0:s v="Краснодар"/>
        <ns0:s v="Москва Восток"/>
        <ns0:s v="Москва Запад"/>
        <ns0:s v="Нижний Новгород"/>
        <ns0:s v="Новосибирск"/>
        <ns0:s v="Пермь"/>
        <ns0:s v="Ростов-на-Дону"/>
        <ns0:s v="Самара"/>
        <ns0:s v="Санкт-Петербург Север"/>
        <ns0:s v="Санкт-Петербург Юг"/>
        <ns0:s v="Тольятти"/>
        <ns0:s v="Томск"/>
        <ns0:s v="Тюмень"/>
        <ns0:s v="Уфа"/>
      </ns0:sharedItems>
    </ns0:cacheField>
    <ns0:cacheField name="Товарооборот шт" numFmtId="0">
      <ns0:sharedItems count="502" containsString="0" containsNumber="1" containsSemiMixedTypes="0">
        <ns0:n v="4285.5"/>
        <ns0:n v="4408.5"/>
        <ns0:n v="4624.5"/>
        <ns0:n v="5127"/>
        <ns0:n v="5166"/>
        <ns0:n v="5446.5"/>
        <ns0:n v="6409.5"/>
        <ns0:n v="7087.5"/>
        <ns0:n v="7816.5"/>
        <ns0:n v="7866"/>
        <ns0:n v="7944"/>
        <ns0:n v="8127"/>
        <ns0:n v="8185.5"/>
        <ns0:n v="8223"/>
        <ns0:n v="8350.5"/>
        <ns0:n v="8362.5"/>
        <ns0:n v="8428.5"/>
        <ns0:n v="8464.5"/>
        <ns0:n v="8536.5"/>
        <ns0:n v="8719.5"/>
        <ns0:n v="8934"/>
        <ns0:n v="9007.5"/>
        <ns0:n v="9058.5"/>
        <ns0:n v="9130.5"/>
        <ns0:n v="9210"/>
        <ns0:n v="9328.5"/>
        <ns0:n v="9474"/>
        <ns0:n v="9927"/>
        <ns0:n v="9994.5"/>
        <ns0:n v="10018.5"/>
        <ns0:n v="10029"/>
        <ns0:n v="10032"/>
        <ns0:n v="10147.5"/>
        <ns0:n v="10401"/>
        <ns0:n v="10402.5"/>
        <ns0:n v="10416"/>
        <ns0:n v="10437"/>
        <ns0:n v="10840.5"/>
        <ns0:n v="10941"/>
        <ns0:n v="11029.5"/>
        <ns0:n v="11062.5"/>
        <ns0:n v="11161.5"/>
        <ns0:n v="11202"/>
        <ns0:n v="11220"/>
        <ns0:n v="11250"/>
        <ns0:n v="11296.5"/>
        <ns0:n v="11416.5"/>
        <ns0:n v="11526"/>
        <ns0:n v="11619"/>
        <ns0:n v="11680.5"/>
        <ns0:n v="11719.5"/>
        <ns0:n v="11745"/>
        <ns0:n v="11835"/>
        <ns0:n v="11967"/>
        <ns0:n v="11976"/>
        <ns0:n v="12037.5"/>
        <ns0:n v="12135"/>
        <ns0:n v="12229.5"/>
        <ns0:n v="12238.5"/>
        <ns0:n v="12250.5"/>
        <ns0:n v="12259.5"/>
        <ns0:n v="12280.5"/>
        <ns0:n v="12301.5"/>
        <ns0:n v="12313.5"/>
        <ns0:n v="12331.5"/>
        <ns0:n v="12450"/>
        <ns0:n v="12468"/>
        <ns0:n v="12490.5"/>
        <ns0:n v="12528"/>
        <ns0:n v="12541.5"/>
        <ns0:n v="12630"/>
        <ns0:n v="12654"/>
        <ns0:n v="12666"/>
        <ns0:n v="12705"/>
        <ns0:n v="12724.5"/>
        <ns0:n v="12753"/>
        <ns0:n v="12802.5"/>
        <ns0:n v="12918"/>
        <ns0:n v="12924"/>
        <ns0:n v="12976.5"/>
        <ns0:n v="13014"/>
        <ns0:n v="13038"/>
        <ns0:n v="13063.5"/>
        <ns0:n v="13120.5"/>
        <ns0:n v="13203"/>
        <ns0:n v="13216.5"/>
        <ns0:n v="13260"/>
        <ns0:n v="13303.5"/>
        <ns0:n v="13440"/>
        <ns0:n v="13443"/>
        <ns0:n v="13644"/>
        <ns0:n v="13752"/>
        <ns0:n v="13810.5"/>
        <ns0:n v="13864.5"/>
        <ns0:n v="13941"/>
        <ns0:n v="13948.5"/>
        <ns0:n v="14061"/>
        <ns0:n v="14167.5"/>
        <ns0:n v="14182.5"/>
        <ns0:n v="14238"/>
        <ns0:n v="14265"/>
        <ns0:n v="14290.5"/>
        <ns0:n v="14305.5"/>
        <ns0:n v="14385"/>
        <ns0:n v="14419.5"/>
        <ns0:n v="14421"/>
        <ns0:n v="14427"/>
        <ns0:n v="14494.5"/>
        <ns0:n v="14497.5"/>
        <ns0:n v="14566.5"/>
        <ns0:n v="14643"/>
        <ns0:n v="14728.5"/>
        <ns0:n v="14773.5"/>
        <ns0:n v="14808"/>
        <ns0:n v="14823"/>
        <ns0:n v="14928"/>
        <ns0:n v="15276"/>
        <ns0:n v="15609"/>
        <ns0:n v="15678"/>
        <ns0:n v="15802.5"/>
        <ns0:n v="15807"/>
        <ns0:n v="15987"/>
        <ns0:n v="16143"/>
        <ns0:n v="16237.5"/>
        <ns0:n v="16368"/>
        <ns0:n v="16435.5"/>
        <ns0:n v="16476"/>
        <ns0:n v="16498.5"/>
        <ns0:n v="16500"/>
        <ns0:n v="16554"/>
        <ns0:n v="16638"/>
        <ns0:n v="16687.5"/>
        <ns0:n v="16878"/>
        <ns0:n v="17008.5"/>
        <ns0:n v="17052"/>
        <ns0:n v="17113.5"/>
        <ns0:n v="17197.5"/>
        <ns0:n v="17211"/>
        <ns0:n v="17329.5"/>
        <ns0:n v="17391"/>
        <ns0:n v="17689.5"/>
        <ns0:n v="17943"/>
        <ns0:n v="17946"/>
        <ns0:n v="18036"/>
        <ns0:n v="18069"/>
        <ns0:n v="18075"/>
        <ns0:n v="18427.5"/>
        <ns0:n v="18600"/>
        <ns0:n v="19461"/>
        <ns0:n v="19647"/>
        <ns0:n v="20688"/>
        <ns0:n v="21343.5"/>
        <ns0:n v="21483"/>
        <ns0:n v="21958.5"/>
        <ns0:n v="22848"/>
        <ns0:n v="23314.5"/>
        <ns0:n v="23539.5"/>
        <ns0:n v="23587.5"/>
        <ns0:n v="23629.5"/>
        <ns0:n v="24211.5"/>
        <ns0:n v="24337.5"/>
        <ns0:n v="24678"/>
        <ns0:n v="25020"/>
        <ns0:n v="25149"/>
        <ns0:n v="25294.5"/>
        <ns0:n v="25362"/>
        <ns0:n v="25468.5"/>
        <ns0:n v="25483.5"/>
        <ns0:n v="25539"/>
        <ns0:n v="25566"/>
        <ns0:n v="25656"/>
        <ns0:n v="25792.5"/>
        <ns0:n v="25816.5"/>
        <ns0:n v="25917"/>
        <ns0:n v="26032.5"/>
        <ns0:n v="26082"/>
        <ns0:n v="26184"/>
        <ns0:n v="26271"/>
        <ns0:n v="26367"/>
        <ns0:n v="26428.5"/>
        <ns0:n v="26464.5"/>
        <ns0:n v="26940"/>
        <ns0:n v="27018"/>
        <ns0:n v="27072"/>
        <ns0:n v="27156"/>
        <ns0:n v="27181.5"/>
        <ns0:n v="27187.5"/>
        <ns0:n v="27250.5"/>
        <ns0:n v="27411"/>
        <ns0:n v="27883.5"/>
        <ns0:n v="27960"/>
        <ns0:n v="28050"/>
        <ns0:n v="28197"/>
        <ns0:n v="28219.5"/>
        <ns0:n v="28275"/>
        <ns0:n v="28494"/>
        <ns0:n v="28668"/>
        <ns0:n v="28849.5"/>
        <ns0:n v="28882.5"/>
        <ns0:n v="29031"/>
        <ns0:n v="29142"/>
        <ns0:n v="29241"/>
        <ns0:n v="29283"/>
        <ns0:n v="29319"/>
        <ns0:n v="29409"/>
        <ns0:n v="29482.5"/>
        <ns0:n v="29658"/>
        <ns0:n v="29824.5"/>
        <ns0:n v="29935.5"/>
        <ns0:n v="29955"/>
        <ns0:n v="30342"/>
        <ns0:n v="30445.5"/>
        <ns0:n v="30486"/>
        <ns0:n v="30603"/>
        <ns0:n v="30780"/>
        <ns0:n v="30781.5"/>
        <ns0:n v="30982.5"/>
        <ns0:n v="31147.5"/>
        <ns0:n v="31224"/>
        <ns0:n v="31231.5"/>
        <ns0:n v="31257"/>
        <ns0:n v="31272"/>
        <ns0:n v="31329"/>
        <ns0:n v="31372.5"/>
        <ns0:n v="31399.5"/>
        <ns0:n v="31407"/>
        <ns0:n v="31566"/>
        <ns0:n v="31707"/>
        <ns0:n v="31842"/>
        <ns0:n v="31854"/>
        <ns0:n v="31947"/>
        <ns0:n v="31974"/>
        <ns0:n v="32023.5"/>
        <ns0:n v="32079"/>
        <ns0:n v="32170.5"/>
        <ns0:n v="32181"/>
        <ns0:n v="32239.5"/>
        <ns0:n v="32359.5"/>
        <ns0:n v="32419.5"/>
        <ns0:n v="32434.5"/>
        <ns0:n v="32487"/>
        <ns0:n v="32511"/>
        <ns0:n v="32733"/>
        <ns0:n v="32782.5"/>
        <ns0:n v="32817"/>
        <ns0:n v="32851.5"/>
        <ns0:n v="32854.5"/>
        <ns0:n v="33423"/>
        <ns0:n v="33886.5"/>
        <ns0:n v="34077"/>
        <ns0:n v="34150.5"/>
        <ns0:n v="34303.5"/>
        <ns0:n v="34399.5"/>
        <ns0:n v="34563"/>
        <ns0:n v="34681.5"/>
        <ns0:n v="34830"/>
        <ns0:n v="35190"/>
        <ns0:n v="35346"/>
        <ns0:n v="35431.5"/>
        <ns0:n v="35482.5"/>
        <ns0:n v="35535"/>
        <ns0:n v="35592"/>
        <ns0:n v="36031.5"/>
        <ns0:n v="36619.5"/>
        <ns0:n v="36655.5"/>
        <ns0:n v="36997.5"/>
        <ns0:n v="36999"/>
        <ns0:n v="37489.5"/>
        <ns0:n v="38074.5"/>
        <ns0:n v="38176.5"/>
        <ns0:n v="38194.5"/>
        <ns0:n v="38250"/>
        <ns0:n v="38740.5"/>
        <ns0:n v="38947.5"/>
        <ns0:n v="39867"/>
        <ns0:n v="40420.5"/>
        <ns0:n v="40528.5"/>
        <ns0:n v="40744.5"/>
        <ns0:n v="40819.5"/>
        <ns0:n v="41391"/>
        <ns0:n v="41442"/>
        <ns0:n v="41697"/>
        <ns0:n v="42397.5"/>
        <ns0:n v="42423"/>
        <ns0:n v="42703.5"/>
        <ns0:n v="42999"/>
        <ns0:n v="44001"/>
        <ns0:n v="44560.5"/>
        <ns0:n v="44569.5"/>
        <ns0:n v="46216.5"/>
        <ns0:n v="46620"/>
        <ns0:n v="48286.5"/>
        <ns0:n v="53838"/>
        <ns0:n v="59574"/>
        <ns0:n v="60463.5"/>
        <ns0:n v="61804.5"/>
        <ns0:n v="63012"/>
        <ns0:n v="63645"/>
        <ns0:n v="64108.5"/>
        <ns0:n v="64390.5"/>
        <ns0:n v="64740"/>
        <ns0:n v="66316.5"/>
        <ns0:n v="66396"/>
        <ns0:n v="67726.5"/>
        <ns0:n v="68994"/>
        <ns0:n v="69010.5"/>
        <ns0:n v="69544.5"/>
        <ns0:n v="69720"/>
        <ns0:n v="69945"/>
        <ns0:n v="70278"/>
        <ns0:n v="70498.5"/>
        <ns0:n v="70581"/>
        <ns0:n v="71067"/>
        <ns0:n v="71520"/>
        <ns0:n v="72220.5"/>
        <ns0:n v="72861"/>
        <ns0:n v="72928.5"/>
        <ns0:n v="73062"/>
        <ns0:n v="73126.5"/>
        <ns0:n v="73147.5"/>
        <ns0:n v="73204.5"/>
        <ns0:n v="74649"/>
        <ns0:n v="74707.5"/>
        <ns0:n v="75642"/>
        <ns0:n v="75796.5"/>
        <ns0:n v="75820.5"/>
        <ns0:n v="76234.5"/>
        <ns0:n v="76585.5"/>
        <ns0:n v="76663.5"/>
        <ns0:n v="76999.5"/>
        <ns0:n v="77263.5"/>
        <ns0:n v="77269.5"/>
        <ns0:n v="77565"/>
        <ns0:n v="78057"/>
        <ns0:n v="78058.5"/>
        <ns0:n v="78141"/>
        <ns0:n v="78235.5"/>
        <ns0:n v="78544.5"/>
        <ns0:n v="78846"/>
        <ns0:n v="78961.5"/>
        <ns0:n v="79485"/>
        <ns0:n v="79527"/>
        <ns0:n v="79975.5"/>
        <ns0:n v="81331.5"/>
        <ns0:n v="81826.5"/>
        <ns0:n v="82228.5"/>
        <ns0:n v="83373"/>
        <ns0:n v="84024"/>
        <ns0:n v="84132"/>
        <ns0:n v="84433.5"/>
        <ns0:n v="87552"/>
        <ns0:n v="88063.5"/>
        <ns0:n v="88311"/>
        <ns0:n v="89149.5"/>
        <ns0:n v="89556"/>
        <ns0:n v="93313.5"/>
        <ns0:n v="97534.5"/>
        <ns0:n v="97963.5"/>
        <ns0:n v="99631.5"/>
        <ns0:n v="102889.5"/>
        <ns0:n v="106926"/>
        <ns0:n v="108123"/>
        <ns0:n v="166948.5"/>
        <ns0:n v="175293"/>
        <ns0:n v="176397"/>
        <ns0:n v="177976.5"/>
        <ns0:n v="183228"/>
        <ns0:n v="184801.5"/>
        <ns0:n v="185979"/>
        <ns0:n v="186496.5"/>
        <ns0:n v="188319"/>
        <ns0:n v="188662.5"/>
        <ns0:n v="188776.5"/>
        <ns0:n v="189679.5"/>
        <ns0:n v="191641.5"/>
        <ns0:n v="192886.5"/>
        <ns0:n v="192948"/>
        <ns0:n v="193363.5"/>
        <ns0:n v="193719"/>
        <ns0:n v="193722"/>
        <ns0:n v="195705"/>
        <ns0:n v="196560"/>
        <ns0:n v="197946"/>
        <ns0:n v="198751.5"/>
        <ns0:n v="199753.5"/>
        <ns0:n v="200029.5"/>
        <ns0:n v="201999"/>
        <ns0:n v="203209.5"/>
        <ns0:n v="203532"/>
        <ns0:n v="203832"/>
        <ns0:n v="204637.5"/>
        <ns0:n v="206038.5"/>
        <ns0:n v="206758.5"/>
        <ns0:n v="208351.5"/>
        <ns0:n v="209415"/>
        <ns0:n v="211453.5"/>
        <ns0:n v="213582"/>
        <ns0:n v="213640.5"/>
        <ns0:n v="214386"/>
        <ns0:n v="214428"/>
        <ns0:n v="214885.5"/>
        <ns0:n v="215277"/>
        <ns0:n v="215592"/>
        <ns0:n v="216498"/>
        <ns0:n v="219411"/>
        <ns0:n v="219622.5"/>
        <ns0:n v="219772.5"/>
        <ns0:n v="223597.5"/>
        <ns0:n v="223617"/>
        <ns0:n v="224233.5"/>
        <ns0:n v="224779.5"/>
        <ns0:n v="225076.5"/>
        <ns0:n v="225480"/>
        <ns0:n v="226476"/>
        <ns0:n v="226540.5"/>
        <ns0:n v="228334.5"/>
        <ns0:n v="230896.5"/>
        <ns0:n v="231559.5"/>
        <ns0:n v="232102.5"/>
        <ns0:n v="232369.5"/>
        <ns0:n v="232701"/>
        <ns0:n v="232903.5"/>
        <ns0:n v="236551.5"/>
        <ns0:n v="237099"/>
        <ns0:n v="237544.5"/>
        <ns0:n v="239409"/>
        <ns0:n v="243825"/>
        <ns0:n v="244734"/>
        <ns0:n v="244905"/>
        <ns0:n v="246414"/>
        <ns0:n v="247813.5"/>
        <ns0:n v="248148"/>
        <ns0:n v="257215.5"/>
        <ns0:n v="258459"/>
        <ns0:n v="262734"/>
        <ns0:n v="266983.5"/>
        <ns0:n v="269029.5"/>
        <ns0:n v="272926.5"/>
        <ns0:n v="273900"/>
        <ns0:n v="274059"/>
        <ns0:n v="274083"/>
        <ns0:n v="275793"/>
        <ns0:n v="276568.5"/>
        <ns0:n v="276966"/>
        <ns0:n v="277512"/>
        <ns0:n v="278491.5"/>
        <ns0:n v="281796"/>
        <ns0:n v="283942.5"/>
        <ns0:n v="285972"/>
        <ns0:n v="286002"/>
        <ns0:n v="286558.5"/>
        <ns0:n v="287206.5"/>
        <ns0:n v="287740.5"/>
        <ns0:n v="288936"/>
        <ns0:n v="292018.5"/>
        <ns0:n v="294337.5"/>
        <ns0:n v="296149.5"/>
        <ns0:n v="296580"/>
        <ns0:n v="298059"/>
        <ns0:n v="300151.5"/>
        <ns0:n v="304092"/>
        <ns0:n v="311131.5"/>
        <ns0:n v="318565.5"/>
        <ns0:n v="318816"/>
        <ns0:n v="319110"/>
        <ns0:n v="321412.5"/>
        <ns0:n v="333792"/>
        <ns0:n v="342666"/>
        <ns0:n v="349699.5"/>
        <ns0:n v="349734"/>
        <ns0:n v="350068.5"/>
        <ns0:n v="355081.5"/>
        <ns0:n v="355278"/>
        <ns0:n v="356982"/>
        <ns0:n v="357072"/>
        <ns0:n v="358387.5"/>
        <ns0:n v="359214"/>
        <ns0:n v="360255"/>
        <ns0:n v="362536.5"/>
        <ns0:n v="364638"/>
        <ns0:n v="364882.5"/>
        <ns0:n v="368649"/>
        <ns0:n v="369861"/>
        <ns0:n v="370012.5"/>
        <ns0:n v="370092"/>
        <ns0:n v="372504"/>
        <ns0:n v="373392"/>
        <ns0:n v="375744"/>
        <ns0:n v="376060.5"/>
        <ns0:n v="378043.5"/>
        <ns0:n v="379663.5"/>
        <ns0:n v="387220.5"/>
        <ns0:n v="388668"/>
        <ns0:n v="393018"/>
        <ns0:n v="401580"/>
        <ns0:n v="403261.5"/>
        <ns0:n v="408810"/>
        <ns0:n v="422965.5"/>
        <ns0:n v="453123"/>
        <ns0:n v="456885"/>
        <ns0:n v="463530"/>
        <ns0:n v="524481"/>
      </ns0:sharedItems>
    </ns0:cacheField>
    <ns0:cacheField name="Товарооборот руб" numFmtId="0">
      <ns0:sharedItems count="504" containsString="0" containsNumber="1" containsSemiMixedTypes="0">
        <ns0:n v="389013"/>
        <ns0:n v="404691"/>
        <ns0:n v="410892"/>
        <ns0:n v="433243.5"/>
        <ns0:n v="468835.5"/>
        <ns0:n v="493893"/>
        <ns0:n v="505572"/>
        <ns0:n v="610855.5"/>
        <ns0:n v="617881.5"/>
        <ns0:n v="623971.5"/>
        <ns0:n v="636345"/>
        <ns0:n v="637881"/>
        <ns0:n v="643944"/>
        <ns0:n v="651237"/>
        <ns0:n v="665302.5"/>
        <ns0:n v="687684"/>
        <ns0:n v="694593"/>
        <ns0:n v="694669.5"/>
        <ns0:n v="696832.5"/>
        <ns0:n v="716196"/>
        <ns0:n v="728890.5"/>
        <ns0:n v="732964.5"/>
        <ns0:n v="734335.5"/>
        <ns0:n v="739291.5"/>
        <ns0:n v="769276.5"/>
        <ns0:n v="787101"/>
        <ns0:n v="793320"/>
        <ns0:n v="797919"/>
        <ns0:n v="798759"/>
        <ns0:n v="802447.5"/>
        <ns0:n v="816150"/>
        <ns0:n v="816859.5"/>
        <ns0:n v="828984"/>
        <ns0:n v="833815.5"/>
        <ns0:n v="843727.5"/>
        <ns0:n v="850840.5"/>
        <ns0:n v="863754"/>
        <ns0:n v="865714.5"/>
        <ns0:n v="866023.5"/>
        <ns0:n v="869983.5"/>
        <ns0:n v="880356"/>
        <ns0:n v="891139.5"/>
        <ns0:n v="906343.5"/>
        <ns0:n v="928675.5"/>
        <ns0:n v="935523"/>
        <ns0:n v="936427.5"/>
        <ns0:n v="938764.5"/>
        <ns0:n v="949912.5"/>
        <ns0:n v="955801.5"/>
        <ns0:n v="959703"/>
        <ns0:n v="963502.5"/>
        <ns0:n v="965880"/>
        <ns0:n v="981519"/>
        <ns0:n v="981564"/>
        <ns0:n v="983109"/>
        <ns0:n v="989632.5"/>
        <ns0:n v="992541"/>
        <ns0:n v="1004511"/>
        <ns0:n v="1004788.5"/>
        <ns0:n v="1007742"/>
        <ns0:n v="1016566.5"/>
        <ns0:n v="1030440"/>
        <ns0:n v="1037247"/>
        <ns0:n v="1045515"/>
        <ns0:n v="1046400"/>
        <ns0:n v="1046848.5"/>
        <ns0:n v="1053220.5"/>
        <ns0:n v="1054798.5"/>
        <ns0:n v="1060489.5"/>
        <ns0:n v="1081158"/>
        <ns0:n v="1081216.5"/>
        <ns0:n v="1085211"/>
        <ns0:n v="1091040"/>
        <ns0:n v="1092277.5"/>
        <ns0:n v="1096002"/>
        <ns0:n v="1102887"/>
        <ns0:n v="1103068.5"/>
        <ns0:n v="1103623.5"/>
        <ns0:n v="1104858"/>
        <ns0:n v="1114552.5"/>
        <ns0:n v="1115146.5"/>
        <ns0:n v="1115992.5"/>
        <ns0:n v="1120009.5"/>
        <ns0:n v="1122730.5"/>
        <ns0:n v="1123830"/>
        <ns0:n v="1123894.5"/>
        <ns0:n v="1126810.5"/>
        <ns0:n v="1130506.5"/>
        <ns0:n v="1131676.5"/>
        <ns0:n v="1134444"/>
        <ns0:n v="1145575.5"/>
        <ns0:n v="1150579.5"/>
        <ns0:n v="1152054"/>
        <ns0:n v="1157529"/>
        <ns0:n v="1172574"/>
        <ns0:n v="1172691"/>
        <ns0:n v="1184865"/>
        <ns0:n v="1198285.5"/>
        <ns0:n v="1210456.5"/>
        <ns0:n v="1211457"/>
        <ns0:n v="1215033"/>
        <ns0:n v="1216557"/>
        <ns0:n v="1217749.5"/>
        <ns0:n v="1221057"/>
        <ns0:n v="1222932"/>
        <ns0:n v="1223491.5"/>
        <ns0:n v="1230687"/>
        <ns0:n v="1230711"/>
        <ns0:n v="1239747"/>
        <ns0:n v="1241383.5"/>
        <ns0:n v="1243507.5"/>
        <ns0:n v="1246162.5"/>
        <ns0:n v="1260483"/>
        <ns0:n v="1269786"/>
        <ns0:n v="1273464"/>
        <ns0:n v="1293219"/>
        <ns0:n v="1315075.5"/>
        <ns0:n v="1316350.5"/>
        <ns0:n v="1326705"/>
        <ns0:n v="1336789.5"/>
        <ns0:n v="1350199.5"/>
        <ns0:n v="1364847"/>
        <ns0:n v="1370482.5"/>
        <ns0:n v="1377577.5"/>
        <ns0:n v="1380751.5"/>
        <ns0:n v="1384179"/>
        <ns0:n v="1386262.5"/>
        <ns0:n v="1387443"/>
        <ns0:n v="1398771"/>
        <ns0:n v="1403047.5"/>
        <ns0:n v="1411909.5"/>
        <ns0:n v="1423410"/>
        <ns0:n v="1430254.5"/>
        <ns0:n v="1438255.5"/>
        <ns0:n v="1455049.5"/>
        <ns0:n v="1457391"/>
        <ns0:n v="1465842"/>
        <ns0:n v="1471537.5"/>
        <ns0:n v="1487928"/>
        <ns0:n v="1489132.5"/>
        <ns0:n v="1507867.5"/>
        <ns0:n v="1526608.5"/>
        <ns0:n v="1548099"/>
        <ns0:n v="1549020"/>
        <ns0:n v="1565632.5"/>
        <ns0:n v="1592119.5"/>
        <ns0:n v="1601425.5"/>
        <ns0:n v="1603084.5"/>
        <ns0:n v="1609090.5"/>
        <ns0:n v="1682851.5"/>
        <ns0:n v="1764669"/>
        <ns0:n v="1773154.5"/>
        <ns0:n v="1774329"/>
        <ns0:n v="1799230.5"/>
        <ns0:n v="1854001.5"/>
        <ns0:n v="1906557"/>
        <ns0:n v="2079900"/>
        <ns0:n v="2136817.5"/>
        <ns0:n v="2155668"/>
        <ns0:n v="2159350.5"/>
        <ns0:n v="2164365"/>
        <ns0:n v="2170309.5"/>
        <ns0:n v="2198935.5"/>
        <ns0:n v="2225341.5"/>
        <ns0:n v="2232519"/>
        <ns0:n v="2235960"/>
        <ns0:n v="2243160"/>
        <ns0:n v="2263651.5"/>
        <ns0:n v="2267664"/>
        <ns0:n v="2271454.5"/>
        <ns0:n v="2277072"/>
        <ns0:n v="2308336.5"/>
        <ns0:n v="2324490"/>
        <ns0:n v="2350672.5"/>
        <ns0:n v="2360914.5"/>
        <ns0:n v="2370432"/>
        <ns0:n v="2372310"/>
        <ns0:n v="2373337.5"/>
        <ns0:n v="2374356"/>
        <ns0:n v="2380333.5"/>
        <ns0:n v="2384937"/>
        <ns0:n v="2397588"/>
        <ns0:n v="2410803"/>
        <ns0:n v="2411587.5"/>
        <ns0:n v="2434914"/>
        <ns0:n v="2435632.5"/>
        <ns0:n v="2441520"/>
        <ns0:n v="2446530"/>
        <ns0:n v="2450968.5"/>
        <ns0:n v="2457252"/>
        <ns0:n v="2458555.5"/>
        <ns0:n v="2470465.5"/>
        <ns0:n v="2472213"/>
        <ns0:n v="2477487"/>
        <ns0:n v="2479396.5"/>
        <ns0:n v="2512803"/>
        <ns0:n v="2520759"/>
        <ns0:n v="2526909"/>
        <ns0:n v="2538967.5"/>
        <ns0:n v="2540715"/>
        <ns0:n v="2559211.5"/>
        <ns0:n v="2560080"/>
        <ns0:n v="2588148"/>
        <ns0:n v="2595778.5"/>
        <ns0:n v="2623480.5"/>
        <ns0:n v="2627595"/>
        <ns0:n v="2629782"/>
        <ns0:n v="2645160"/>
        <ns0:n v="2648688"/>
        <ns0:n v="2692230"/>
        <ns0:n v="2694289.5"/>
        <ns0:n v="2703132"/>
        <ns0:n v="2711247"/>
        <ns0:n v="2720002.5"/>
        <ns0:n v="2738127"/>
        <ns0:n v="2744382"/>
        <ns0:n v="2767270.5"/>
        <ns0:n v="2771116.5"/>
        <ns0:n v="2794324.5"/>
        <ns0:n v="2817196.5"/>
        <ns0:n v="2817853.5"/>
        <ns0:n v="2826379.5"/>
        <ns0:n v="2827773"/>
        <ns0:n v="2831019"/>
        <ns0:n v="2853181.5"/>
        <ns0:n v="2853310.5"/>
        <ns0:n v="2854741.5"/>
        <ns0:n v="2862298.5"/>
        <ns0:n v="2863600.5"/>
        <ns0:n v="2865337.5"/>
        <ns0:n v="2865727.5"/>
        <ns0:n v="2882458.5"/>
        <ns0:n v="2902167"/>
        <ns0:n v="2906763"/>
        <ns0:n v="2907411"/>
        <ns0:n v="2915533.5"/>
        <ns0:n v="2922883.5"/>
        <ns0:n v="2924133"/>
        <ns0:n v="2924746.5"/>
        <ns0:n v="2929330.5"/>
        <ns0:n v="2934504"/>
        <ns0:n v="2938623"/>
        <ns0:n v="2945035.5"/>
        <ns0:n v="2949078"/>
        <ns0:n v="2970330"/>
        <ns0:n v="2991999"/>
        <ns0:n v="3004213.5"/>
        <ns0:n v="3005334"/>
        <ns0:n v="3013512"/>
        <ns0:n v="3015751.5"/>
        <ns0:n v="3031254"/>
        <ns0:n v="3038293.5"/>
        <ns0:n v="3079630.5"/>
        <ns0:n v="3080614.5"/>
        <ns0:n v="3084892.5"/>
        <ns0:n v="3089140.5"/>
        <ns0:n v="3091069.5"/>
        <ns0:n v="3166479"/>
        <ns0:n v="3168510"/>
        <ns0:n v="3176580"/>
        <ns0:n v="3191155.5"/>
        <ns0:n v="3193167"/>
        <ns0:n v="3201358.5"/>
        <ns0:n v="3222517.5"/>
        <ns0:n v="3258054"/>
        <ns0:n v="3288069"/>
        <ns0:n v="3312967.5"/>
        <ns0:n v="3360135"/>
        <ns0:n v="3385372.5"/>
        <ns0:n v="3395892"/>
        <ns0:n v="3414180"/>
        <ns0:n v="3449302.5"/>
        <ns0:n v="3473895"/>
        <ns0:n v="3549097.5"/>
        <ns0:n v="3552937.5"/>
        <ns0:n v="3561655.5"/>
        <ns0:n v="3628726.5"/>
        <ns0:n v="3654166.5"/>
        <ns0:n v="3700311"/>
        <ns0:n v="3772258.5"/>
        <ns0:n v="3780852"/>
        <ns0:n v="3810394.5"/>
        <ns0:n v="3865251"/>
        <ns0:n v="3883215"/>
        <ns0:n v="3893680.5"/>
        <ns0:n v="3911979"/>
        <ns0:n v="3918987"/>
        <ns0:n v="3921784.5"/>
        <ns0:n v="3994153.5"/>
        <ns0:n v="4025148"/>
        <ns0:n v="4108596"/>
        <ns0:n v="4118251.5"/>
        <ns0:n v="4293241.5"/>
        <ns0:n v="4456441.5"/>
        <ns0:n v="4840833"/>
        <ns0:n v="5178169.5"/>
        <ns0:n v="5365708.5"/>
        <ns0:n v="5366602.5"/>
        <ns0:n v="5454121.5"/>
        <ns0:n v="5523145.5"/>
        <ns0:n v="5554192.5"/>
        <ns0:n v="5561452.5"/>
        <ns0:n v="5704650"/>
        <ns0:n v="5770539"/>
        <ns0:n v="5798476.5"/>
        <ns0:n v="5800290"/>
        <ns0:n v="5864085"/>
        <ns0:n v="5864989.5"/>
        <ns0:n v="5943489"/>
        <ns0:n v="5952802.5"/>
        <ns0:n v="5985894"/>
        <ns0:n v="6053649"/>
        <ns0:n v="6098236.5"/>
        <ns0:n v="6101931"/>
        <ns0:n v="6168657"/>
        <ns0:n v="6173463"/>
        <ns0:n v="6175837.5"/>
        <ns0:n v="6221320.5"/>
        <ns0:n v="6264933"/>
        <ns0:n v="6288246"/>
        <ns0:n v="6293776.5"/>
        <ns0:n v="6293952"/>
        <ns0:n v="6333828"/>
        <ns0:n v="6398361"/>
        <ns0:n v="6398719.5"/>
        <ns0:n v="6451032"/>
        <ns0:n v="6454458"/>
        <ns0:n v="6500848.5"/>
        <ns0:n v="6591883.5"/>
        <ns0:n v="6609714"/>
        <ns0:n v="6633847.5"/>
        <ns0:n v="6641569.5"/>
        <ns0:n v="6642249"/>
        <ns0:n v="6645603"/>
        <ns0:n v="6652179"/>
        <ns0:n v="6676459.5"/>
        <ns0:n v="6701083.5"/>
        <ns0:n v="6774946.5"/>
        <ns0:n v="6815511"/>
        <ns0:n v="6819594"/>
        <ns0:n v="6829921.5"/>
        <ns0:n v="6876454.5"/>
        <ns0:n v="6921316.5"/>
        <ns0:n v="6993952.5"/>
        <ns0:n v="7013670"/>
        <ns0:n v="7023727.5"/>
        <ns0:n v="7032225"/>
        <ns0:n v="7121946"/>
        <ns0:n v="7163644.5"/>
        <ns0:n v="7173117"/>
        <ns0:n v="7180498.5"/>
        <ns0:n v="7228395"/>
        <ns0:n v="7247575.5"/>
        <ns0:n v="7253427"/>
        <ns0:n v="7387116"/>
        <ns0:n v="7483194"/>
        <ns0:n v="7512646.5"/>
        <ns0:n v="7583758.5"/>
        <ns0:n v="7726069.5"/>
        <ns0:n v="7728465"/>
        <ns0:n v="8089143"/>
        <ns0:n v="8893024.5"/>
        <ns0:n v="9098386.5"/>
        <ns0:n v="9164707.5"/>
        <ns0:n v="16971231"/>
        <ns0:n v="17919144"/>
        <ns0:n v="18085798.5"/>
        <ns0:n v="18449091"/>
        <ns0:n v="18625921.5"/>
        <ns0:n v="18640998"/>
        <ns0:n v="18718036.5"/>
        <ns0:n v="18784000.5"/>
        <ns0:n v="18914194.5"/>
        <ns0:n v="19071117"/>
        <ns0:n v="19205179.5"/>
        <ns0:n v="19218631.5"/>
        <ns0:n v="19437273"/>
        <ns0:n v="19465372.5"/>
        <ns0:n v="19546386"/>
        <ns0:n v="19549036.5"/>
        <ns0:n v="19625364"/>
        <ns0:n v="19806927"/>
        <ns0:n v="19855122"/>
        <ns0:n v="19942435.5"/>
        <ns0:n v="19959801"/>
        <ns0:n v="20003263.5"/>
        <ns0:n v="20422435.5"/>
        <ns0:n v="20535733.5"/>
        <ns0:n v="20582743.5"/>
        <ns0:n v="20590072.5"/>
        <ns0:n v="20717248.5"/>
        <ns0:n v="20812585.5"/>
        <ns0:n v="20871391.5"/>
        <ns0:n v="20880142.5"/>
        <ns0:n v="20953324.5"/>
        <ns0:n v="21042673.5"/>
        <ns0:n v="21114898.5"/>
        <ns0:n v="21411349.5"/>
        <ns0:n v="21463023"/>
        <ns0:n v="21585316.5"/>
        <ns0:n v="21615333"/>
        <ns0:n v="21740460"/>
        <ns0:n v="21895294.5"/>
        <ns0:n v="21919435.5"/>
        <ns0:n v="21945858"/>
        <ns0:n v="21959286"/>
        <ns0:n v="22126444.5"/>
        <ns0:n v="22253295"/>
        <ns0:n v="22342300.5"/>
        <ns0:n v="22355338.5"/>
        <ns0:n v="22380772.5"/>
        <ns0:n v="22416151.5"/>
        <ns0:n v="22460130"/>
        <ns0:n v="22530000"/>
        <ns0:n v="22796827.5"/>
        <ns0:n v="22846078.5"/>
        <ns0:n v="23032992"/>
        <ns0:n v="23085222"/>
        <ns0:n v="23120443.5"/>
        <ns0:n v="23443725"/>
        <ns0:n v="23689383"/>
        <ns0:n v="23856345"/>
        <ns0:n v="23881948.5"/>
        <ns0:n v="23953536"/>
        <ns0:n v="24151980"/>
        <ns0:n v="24292218"/>
        <ns0:n v="24342016.5"/>
        <ns0:n v="24527245.5"/>
        <ns0:n v="24628233.22395"/>
        <ns0:n v="24890404.5"/>
        <ns0:n v="25163431.5"/>
        <ns0:n v="25325271"/>
        <ns0:n v="25413351"/>
        <ns0:n v="25519072.5"/>
        <ns0:n v="26467453.5"/>
        <ns0:n v="26492278.5"/>
        <ns0:n v="26659930.5"/>
        <ns0:n v="26806626"/>
        <ns0:n v="27093624"/>
        <ns0:n v="27165913.5"/>
        <ns0:n v="27278441.145"/>
        <ns0:n v="27535284.147600003"/>
        <ns0:n v="27770092.5"/>
        <ns0:n v="27852900"/>
        <ns0:n v="27872617.89885"/>
        <ns0:n v="28151004.75"/>
        <ns0:n v="28181292"/>
        <ns0:n v="28188534"/>
        <ns0:n v="28427001"/>
        <ns0:n v="28590910.5"/>
        <ns0:n v="28770810.1056"/>
        <ns0:n v="29042520"/>
        <ns0:n v="29159032.5"/>
        <ns0:n v="29256993"/>
        <ns0:n v="29327766"/>
        <ns0:n v="29357940"/>
        <ns0:n v="29368771.61745"/>
        <ns0:n v="29465769"/>
        <ns0:n v="29536176.10605"/>
        <ns0:n v="29768199"/>
        <ns0:n v="30869287.5"/>
        <ns0:n v="31053316.5"/>
        <ns0:n v="31843737"/>
        <ns0:n v="32235864"/>
        <ns0:n v="32354331"/>
        <ns0:n v="32418879"/>
        <ns0:n v="33763989"/>
        <ns0:n v="33781581"/>
        <ns0:n v="35103926.71155"/>
        <ns0:n v="35671734"/>
        <ns0:n v="35724493.5"/>
        <ns0:n v="36631999.5"/>
        <ns0:n v="36834567"/>
        <ns0:n v="36876888"/>
        <ns0:n v="36883428"/>
        <ns0:n v="37023243"/>
        <ns0:n v="37197115.5"/>
        <ns0:n v="37257840.18135"/>
        <ns0:n v="37902156.57"/>
        <ns0:n v="37947688.5"/>
        <ns0:n v="37963150.5"/>
        <ns0:n v="38091556.5"/>
        <ns0:n v="38092344"/>
        <ns0:n v="38191381.5"/>
        <ns0:n v="38365960.5"/>
        <ns0:n v="38406954"/>
        <ns0:n v="38693427"/>
        <ns0:n v="39010875"/>
        <ns0:n v="39034861.5"/>
        <ns0:n v="39380178"/>
        <ns0:n v="39498373.5"/>
        <ns0:n v="39578577"/>
        <ns0:n v="39639309"/>
        <ns0:n v="39918028.5"/>
        <ns0:n v="40077193.5"/>
        <ns0:n v="41559384"/>
        <ns0:n v="41767140.105000004"/>
        <ns0:n v="42271377"/>
        <ns0:n v="42323631"/>
        <ns0:n v="43028734.5"/>
        <ns0:n v="46370904"/>
        <ns0:n v="46408080"/>
        <ns0:n v="49123180.5"/>
        <ns0:n v="54172029"/>
      </ns0:sharedItems>
    </ns0:cacheField>
    <ns0:cacheField name="Себестоимость руб" numFmtId="0">
      <ns0:sharedItems count="504" containsString="0" containsNumber="1" containsSemiMixedTypes="0">
        <ns0:n v="333054.548"/>
        <ns0:n v="346029.05"/>
        <ns0:n v="357353.073"/>
        <ns0:n v="377401.46199999994"/>
        <ns0:n v="412625.887"/>
        <ns0:n v="422390.908"/>
        <ns0:n v="459762.61999999994"/>
        <ns0:n v="541946.128"/>
        <ns0:n v="550528.6630000001"/>
        <ns0:n v="565363.016"/>
        <ns0:n v="575518.068"/>
        <ns0:n v="575840.677"/>
        <ns0:n v="594994.696"/>
        <ns0:n v="597300.389"/>
        <ns0:n v="601485.126"/>
        <ns0:n v="616683.3809999999"/>
        <ns0:n v="622482.404"/>
        <ns0:n v="622755.0499999999"/>
        <ns0:n v="634517.673"/>
        <ns0:n v="640961.693"/>
        <ns0:n v="644150.519"/>
        <ns0:n v="644221.494"/>
        <ns0:n v="651727.3679999999"/>
        <ns0:n v="654599.977"/>
        <ns0:n v="663415.497"/>
        <ns0:n v="669115.9369999999"/>
        <ns0:n v="682814.146"/>
        <ns0:n v="697541.2969999999"/>
        <ns0:n v="698626.0329999999"/>
        <ns0:n v="702631.811"/>
        <ns0:n v="707654.6309999999"/>
        <ns0:n v="718019.2760000001"/>
        <ns0:n v="723289.055"/>
        <ns0:n v="729677.519"/>
        <ns0:n v="733232.389"/>
        <ns0:n v="737888.3659999999"/>
        <ns0:n v="744833.002"/>
        <ns0:n v="758428.735"/>
        <ns0:n v="762082.749"/>
        <ns0:n v="783753.2949999999"/>
        <ns0:n v="785961.289"/>
        <ns0:n v="795942.652"/>
        <ns0:n v="799644.759"/>
        <ns0:n v="802403.808"/>
        <ns0:n v="808524.505"/>
        <ns0:n v="809986.386"/>
        <ns0:n v="812962.6780000001"/>
        <ns0:n v="813406.684"/>
        <ns0:n v="815296.88"/>
        <ns0:n v="820018.375"/>
        <ns0:n v="825345.0530000001"/>
        <ns0:n v="829782.376"/>
        <ns0:n v="829947.412"/>
        <ns0:n v="843395.109"/>
        <ns0:n v="851805.179"/>
        <ns0:n v="858367.6039999999"/>
        <ns0:n v="861334.614"/>
        <ns0:n v="861486.475"/>
        <ns0:n v="867080.682"/>
        <ns0:n v="871047.598"/>
        <ns0:n v="872395.086"/>
        <ns0:n v="874153.345"/>
        <ns0:n v="874678.696"/>
        <ns0:n v="877726.201"/>
        <ns0:n v="878389.065"/>
        <ns0:n v="892743.7459999999"/>
        <ns0:n v="896111.803"/>
        <ns0:n v="896490.07"/>
        <ns0:n v="896773.3239999999"/>
        <ns0:n v="897555.5109999999"/>
        <ns0:n v="898508.497"/>
        <ns0:n v="898790.646"/>
        <ns0:n v="899589.3060000001"/>
        <ns0:n v="902752.717"/>
        <ns0:n v="904501.456"/>
        <ns0:n v="906579.6209999999"/>
        <ns0:n v="910141.155"/>
        <ns0:n v="910480.6449999999"/>
        <ns0:n v="914116.792"/>
        <ns0:n v="914932.571"/>
        <ns0:n v="915994.1189999998"/>
        <ns0:n v="921493.483"/>
        <ns0:n v="921566.447"/>
        <ns0:n v="927698.8229999999"/>
        <ns0:n v="928035.2359999999"/>
        <ns0:n v="935379.4229999998"/>
        <ns0:n v="937716.1579999999"/>
        <ns0:n v="939269.567"/>
        <ns0:n v="953822.6209999999"/>
        <ns0:n v="963035.414"/>
        <ns0:n v="964554.2109999999"/>
        <ns0:n v="966968.6359999999"/>
        <ns0:n v="968784.8649999999"/>
        <ns0:n v="970917.124"/>
        <ns0:n v="971555.083"/>
        <ns0:n v="971710.8709999999"/>
        <ns0:n v="974409.1449999999"/>
        <ns0:n v="974448.126"/>
        <ns0:n v="977925.731"/>
        <ns0:n v="983096.417"/>
        <ns0:n v="983143.4899999999"/>
        <ns0:n v="985281.0359999998"/>
        <ns0:n v="985675.487"/>
        <ns0:n v="987216.7409999999"/>
        <ns0:n v="995597.5199999999"/>
        <ns0:n v="1005560.455"/>
        <ns0:n v="1006008.1159999999"/>
        <ns0:n v="1013050.3829999999"/>
        <ns0:n v="1018063.802"/>
        <ns0:n v="1018857.6680000001"/>
        <ns0:n v="1024403.9859999999"/>
        <ns0:n v="1025585.5199999999"/>
        <ns0:n v="1038033.7869999999"/>
        <ns0:n v="1048221.1390000001"/>
        <ns0:n v="1068326.937"/>
        <ns0:n v="1069622.507"/>
        <ns0:n v="1070563.6439999999"/>
        <ns0:n v="1074904.135"/>
        <ns0:n v="1084824.9949999999"/>
        <ns0:n v="1086345.0159999998"/>
        <ns0:n v="1092945.283"/>
        <ns0:n v="1095453.123"/>
        <ns0:n v="1100106.21"/>
        <ns0:n v="1116620.792"/>
        <ns0:n v="1121336.507"/>
        <ns0:n v="1130117.381"/>
        <ns0:n v="1137103.412"/>
        <ns0:n v="1137748.7319999998"/>
        <ns0:n v="1144986.397"/>
        <ns0:n v="1158841.584"/>
        <ns0:n v="1175778.837"/>
        <ns0:n v="1176721.164"/>
        <ns0:n v="1180692.704"/>
        <ns0:n v="1183524.938"/>
        <ns0:n v="1187884.8939999999"/>
        <ns0:n v="1193019.642"/>
        <ns0:n v="1194154.7659999998"/>
        <ns0:n v="1195875.8800000001"/>
        <ns0:n v="1202670.0489999999"/>
        <ns0:n v="1209901.0159999998"/>
        <ns0:n v="1217527.6069999998"/>
        <ns0:n v="1234060.991"/>
        <ns0:n v="1246591.997"/>
        <ns0:n v="1256993.4810000001"/>
        <ns0:n v="1268422.666"/>
        <ns0:n v="1279369.153"/>
        <ns0:n v="1298844.2"/>
        <ns0:n v="1301439.284"/>
        <ns0:n v="1312709.009"/>
        <ns0:n v="1337535.2989999999"/>
        <ns0:n v="1409485.402"/>
        <ns0:n v="1457108.1479999998"/>
        <ns0:n v="1458979.491"/>
        <ns0:n v="1460215.51"/>
        <ns0:n v="1485927.8739999998"/>
        <ns0:n v="1515956.368"/>
        <ns0:n v="1657688.853"/>
        <ns0:n v="1678039.859"/>
        <ns0:n v="1685753.184"/>
        <ns0:n v="1701780.478"/>
        <ns0:n v="1715939.5399999998"/>
        <ns0:n v="1735984.614"/>
        <ns0:n v="1755958.305"/>
        <ns0:n v="1757185.7729999998"/>
        <ns0:n v="1766450.28"/>
        <ns0:n v="1780335.608"/>
        <ns0:n v="1781999.058"/>
        <ns0:n v="1783039.3049999997"/>
        <ns0:n v="1796459.479"/>
        <ns0:n v="1801564.392"/>
        <ns0:n v="1804070.1239999998"/>
        <ns0:n v="1811009.8979999998"/>
        <ns0:n v="1837113.1940000001"/>
        <ns0:n v="1847737.837"/>
        <ns0:n v="1868643.6719999998"/>
        <ns0:n v="1873451.2719999999"/>
        <ns0:n v="1875294.65"/>
        <ns0:n v="1875929.923"/>
        <ns0:n v="1880070.5110000002"/>
        <ns0:n v="1886244.741"/>
        <ns0:n v="1897998.252"/>
        <ns0:n v="1911613.144"/>
        <ns0:n v="1915101.034"/>
        <ns0:n v="1925475.1139999998"/>
        <ns0:n v="1931011.4870000002"/>
        <ns0:n v="1933378.3459999997"/>
        <ns0:n v="1937222.0459999999"/>
        <ns0:n v="1950422.9030000002"/>
        <ns0:n v="1954139.7149999999"/>
        <ns0:n v="1956748.2629999998"/>
        <ns0:n v="1972327.267"/>
        <ns0:n v="1979227.4479999999"/>
        <ns0:n v="1980824.9889999998"/>
        <ns0:n v="1983277.5959999997"/>
        <ns0:n v="1983435.05"/>
        <ns0:n v="2000889.9870000002"/>
        <ns0:n v="2005719.3469999998"/>
        <ns0:n v="2010739.0729999999"/>
        <ns0:n v="2016381.645"/>
        <ns0:n v="2021918.12"/>
        <ns0:n v="2033299.2799999998"/>
        <ns0:n v="2038847.009"/>
        <ns0:n v="2042294.167"/>
        <ns0:n v="2050101.9780000001"/>
        <ns0:n v="2071714.724"/>
        <ns0:n v="2092407.26"/>
        <ns0:n v="2094375.01"/>
        <ns0:n v="2102974.001"/>
        <ns0:n v="2108065.569"/>
        <ns0:n v="2115481.9889999996"/>
        <ns0:n v="2133443.3049999997"/>
        <ns0:n v="2160539.996"/>
        <ns0:n v="2165434.925"/>
        <ns0:n v="2169377.225"/>
        <ns0:n v="2174380.5969999996"/>
        <ns0:n v="2183502.7290000003"/>
        <ns0:n v="2195766.121"/>
        <ns0:n v="2211817.6569999997"/>
        <ns0:n v="2229453.508"/>
        <ns0:n v="2232253.034"/>
        <ns0:n v="2244503.1999999997"/>
        <ns0:n v="2246478.617"/>
        <ns0:n v="2251714.549"/>
        <ns0:n v="2253872.138"/>
        <ns0:n v="2257728.2139999997"/>
        <ns0:n v="2261296.276"/>
        <ns0:n v="2267667.519"/>
        <ns0:n v="2269371.4459999995"/>
        <ns0:n v="2288224.429"/>
        <ns0:n v="2288433.495"/>
        <ns0:n v="2290967.039"/>
        <ns0:n v="2293738.957"/>
        <ns0:n v="2311405.017"/>
        <ns0:n v="2319890.346"/>
        <ns0:n v="2320195.4450000003"/>
        <ns0:n v="2323003.267"/>
        <ns0:n v="2340316.3049999997"/>
        <ns0:n v="2349459.5"/>
        <ns0:n v="2355616.679"/>
        <ns0:n v="2363955.7909999997"/>
        <ns0:n v="2364369.401"/>
        <ns0:n v="2368028.685"/>
        <ns0:n v="2374135.6799999997"/>
        <ns0:n v="2384575.363"/>
        <ns0:n v="2389543.528"/>
        <ns0:n v="2389834.3129999996"/>
        <ns0:n v="2391958.463"/>
        <ns0:n v="2395998.377"/>
        <ns0:n v="2397503.37"/>
        <ns0:n v="2399312.935"/>
        <ns0:n v="2406562.0579999997"/>
        <ns0:n v="2408136.819"/>
        <ns0:n v="2415980.772"/>
        <ns0:n v="2431800.394"/>
        <ns0:n v="2442084.561"/>
        <ns0:n v="2481896.334"/>
        <ns0:n v="2522496.074"/>
        <ns0:n v="2528990.584"/>
        <ns0:n v="2533138.72"/>
        <ns0:n v="2533823.174"/>
        <ns0:n v="2540760.0409999997"/>
        <ns0:n v="2545757.0549999997"/>
        <ns0:n v="2549333.4129999997"/>
        <ns0:n v="2580984.03"/>
        <ns0:n v="2595610.66"/>
        <ns0:n v="2596293.8219999997"/>
        <ns0:n v="2633868.174"/>
        <ns0:n v="2647972.343"/>
        <ns0:n v="2740255.211"/>
        <ns0:n v="2745646.948"/>
        <ns0:n v="2757933.63"/>
        <ns0:n v="2769041.2770000002"/>
        <ns0:n v="2795344.17"/>
        <ns0:n v="2798056.2479999997"/>
        <ns0:n v="2805831.5209999997"/>
        <ns0:n v="2831498.2739999997"/>
        <ns0:n v="2861069.8419999997"/>
        <ns0:n v="2893288.4459999995"/>
        <ns0:n v="2919786.295"/>
        <ns0:n v="2972895.417"/>
        <ns0:n v="3004872.349"/>
        <ns0:n v="3046897.794"/>
        <ns0:n v="3056063.735"/>
        <ns0:n v="3086459.8370000003"/>
        <ns0:n v="3092823.668"/>
        <ns0:n v="3105853.9129999997"/>
        <ns0:n v="3132604.841"/>
        <ns0:n v="3133704.928"/>
        <ns0:n v="3141103.957"/>
        <ns0:n v="3151914.3419999997"/>
        <ns0:n v="3229427.083"/>
        <ns0:n v="3259483.304"/>
        <ns0:n v="3389723.959"/>
        <ns0:n v="3473157.545"/>
        <ns0:n v="3929032.265"/>
        <ns0:n v="4017247.747"/>
        <ns0:n v="4091691.3249999997"/>
        <ns0:n v="4155234.554"/>
        <ns0:n v="4218316.029"/>
        <ns0:n v="4230689.2069999995"/>
        <ns0:n v="4245727.339"/>
        <ns0:n v="4257859.372"/>
        <ns0:n v="4332158.433"/>
        <ns0:n v="4375924.236"/>
        <ns0:n v="4433831.250999999"/>
        <ns0:n v="4485664.506"/>
        <ns0:n v="4506085.484"/>
        <ns0:n v="4580254.154999999"/>
        <ns0:n v="4624968.49"/>
        <ns0:n v="4695811.349"/>
        <ns0:n v="4711294.200999999"/>
        <ns0:n v="4726931.9569999995"/>
        <ns0:n v="4743581.977999999"/>
        <ns0:n v="4747959.614"/>
        <ns0:n v="4762185.061"/>
        <ns0:n v="4773839.938"/>
        <ns0:n v="4782829.606000001"/>
        <ns0:n v="4793096.143999999"/>
        <ns0:n v="4798265.113"/>
        <ns0:n v="4847142.986"/>
        <ns0:n v="4890619.262"/>
        <ns0:n v="4915101.795"/>
        <ns0:n v="4968152.947"/>
        <ns0:n v="4993791.956"/>
        <ns0:n v="5001227.671"/>
        <ns0:n v="5024858.793"/>
        <ns0:n v="5032216.188999999"/>
        <ns0:n v="5042435.841"/>
        <ns0:n v="5046963.672"/>
        <ns0:n v="5048965.796"/>
        <ns0:n v="5083946.169"/>
        <ns0:n v="5084073.516"/>
        <ns0:n v="5100877.931"/>
        <ns0:n v="5109499.617"/>
        <ns0:n v="5115462.401"/>
        <ns0:n v="5152925.182"/>
        <ns0:n v="5172874.443999999"/>
        <ns0:n v="5212858.58"/>
        <ns0:n v="5258162.288"/>
        <ns0:n v="5260171.534999999"/>
        <ns0:n v="5282661.8549999995"/>
        <ns0:n v="5288518.779999999"/>
        <ns0:n v="5290094.272"/>
        <ns0:n v="5305378.904"/>
        <ns0:n v="5349682.484999999"/>
        <ns0:n v="5366333.713"/>
        <ns0:n v="5426339.5819999995"/>
        <ns0:n v="5432087.979"/>
        <ns0:n v="5531366.381"/>
        <ns0:n v="5546127.192"/>
        <ns0:n v="5637882.125"/>
        <ns0:n v="5779076.7979999995"/>
        <ns0:n v="5795765.936"/>
        <ns0:n v="5815890.3319999995"/>
        <ns0:n v="5922822.677999999"/>
        <ns0:n v="5922893.721"/>
        <ns0:n v="5979210.097"/>
        <ns0:n v="6068194.523"/>
        <ns0:n v="6279205.85"/>
        <ns0:n v="6415904.924000001"/>
        <ns0:n v="6673236.372"/>
        <ns0:n v="6855177.24"/>
        <ns0:n v="7329868.665"/>
        <ns0:n v="7354572.011"/>
        <ns0:n v="12200989.641"/>
        <ns0:n v="12903628.609"/>
        <ns0:n v="13150397.668"/>
        <ns0:n v="13500671.991999999"/>
        <ns0:n v="13533023.127999999"/>
        <ns0:n v="13568684.673999999"/>
        <ns0:n v="13628439.163999999"/>
        <ns0:n v="13641908.621"/>
        <ns0:n v="13834210.462"/>
        <ns0:n v="13959979.012"/>
        <ns0:n v="13973128.512"/>
        <ns0:n v="13979092.230999999"/>
        <ns0:n v="14172342.451"/>
        <ns0:n v="14278298.844"/>
        <ns0:n v="14354207.141999999"/>
        <ns0:n v="14358653.389999999"/>
        <ns0:n v="14386025.838000001"/>
        <ns0:n v="14481164.23"/>
        <ns0:n v="14541424.877999999"/>
        <ns0:n v="14541626.939999998"/>
        <ns0:n v="14561721.772999998"/>
        <ns0:n v="14633542.982"/>
        <ns0:n v="14894008.652"/>
        <ns0:n v="15015521.489999998"/>
        <ns0:n v="15078027.685"/>
        <ns0:n v="15125624.641999999"/>
        <ns0:n v="15173462.744"/>
        <ns0:n v="15206983.089"/>
        <ns0:n v="15301120.521000002"/>
        <ns0:n v="15426373.359"/>
        <ns0:n v="15600701.422999999"/>
        <ns0:n v="15667372.685999999"/>
        <ns0:n v="15681371.557000002"/>
        <ns0:n v="15729720.814999998"/>
        <ns0:n v="15789926.042999998"/>
        <ns0:n v="15790923.194999998"/>
        <ns0:n v="15847839.739"/>
        <ns0:n v="15857489.721"/>
        <ns0:n v="15958453.928"/>
        <ns0:n v="15975681.728"/>
        <ns0:n v="16128268.832"/>
        <ns0:n v="16240834.603999998"/>
        <ns0:n v="16241999.308"/>
        <ns0:n v="16285354.714"/>
        <ns0:n v="16370527.077"/>
        <ns0:n v="16443448.491999999"/>
        <ns0:n v="16496134.314"/>
        <ns0:n v="16597666.014999999"/>
        <ns0:n v="16627687.641"/>
        <ns0:n v="16722171.227"/>
        <ns0:n v="16792969.817999996"/>
        <ns0:n v="17031004.073"/>
        <ns0:n v="17099721.813"/>
        <ns0:n v="17121204.866"/>
        <ns0:n v="17175270.221"/>
        <ns0:n v="17297352.185000002"/>
        <ns0:n v="17329462.176"/>
        <ns0:n v="17342946.797"/>
        <ns0:n v="17462223.404"/>
        <ns0:n v="17632080.519"/>
        <ns0:n v="17650186.029"/>
        <ns0:n v="17679930.47"/>
        <ns0:n v="17790852.444"/>
        <ns0:n v="18159589.108"/>
        <ns0:n v="18210825.697"/>
        <ns0:n v="18429449.488"/>
        <ns0:n v="18463277.771"/>
        <ns0:n v="18491870.615"/>
        <ns0:n v="18582990.428"/>
        <ns0:n v="18595804.535"/>
        <ns0:n v="19153152.527"/>
        <ns0:n v="19179229.932"/>
        <ns0:n v="19515982.116"/>
        <ns0:n v="19610637.316999998"/>
        <ns0:n v="19659432.722999997"/>
        <ns0:n v="19680985.969"/>
        <ns0:n v="19768696.5"/>
        <ns0:n v="20223763.805"/>
        <ns0:n v="20493717.226"/>
        <ns0:n v="20508194.544999998"/>
        <ns0:n v="20563887.599"/>
        <ns0:n v="20806418.796"/>
        <ns0:n v="20810852.736"/>
        <ns0:n v="20824687.999"/>
        <ns0:n v="20952913.508"/>
        <ns0:n v="20980503.505"/>
        <ns0:n v="21169527.457000002"/>
        <ns0:n v="21174604.830000002"/>
        <ns0:n v="21276357.106"/>
        <ns0:n v="21369401.387"/>
        <ns0:n v="21437602.310000002"/>
        <ns0:n v="21483666.921"/>
        <ns0:n v="21545834.136"/>
        <ns0:n v="21740920.338999998"/>
        <ns0:n v="22276452.264999997"/>
        <ns0:n v="22491044.692999996"/>
        <ns0:n v="22717731.617999997"/>
        <ns0:n v="22737807.547"/>
        <ns0:n v="23119777.98"/>
        <ns0:n v="23595019.661"/>
        <ns0:n v="23691368.555"/>
        <ns0:n v="23895072.432"/>
        <ns0:n v="24232690.171"/>
        <ns0:n v="24610757.489"/>
        <ns0:n v="25644478.342"/>
        <ns0:n v="26228948.559"/>
        <ns0:n v="26357141.036999997"/>
        <ns0:n v="26408496.047999997"/>
        <ns0:n v="26438356.803"/>
        <ns0:n v="26762183.377"/>
        <ns0:n v="26793668.158999998"/>
        <ns0:n v="26914635.671"/>
        <ns0:n v="27467616.702999998"/>
        <ns0:n v="27483828.209"/>
        <ns0:n v="27535617.434"/>
        <ns0:n v="27588003.988"/>
        <ns0:n v="27592063.503"/>
        <ns0:n v="27640203.134"/>
        <ns0:n v="27829971.363"/>
        <ns0:n v="27863789.055"/>
        <ns0:n v="28012065.349999998"/>
        <ns0:n v="28040467.216000002"/>
        <ns0:n v="28083686.689999998"/>
        <ns0:n v="28090230.959"/>
        <ns0:n v="28453665.595"/>
        <ns0:n v="28736966.634"/>
        <ns0:n v="28822960.470999997"/>
        <ns0:n v="29141359.438"/>
        <ns0:n v="29154014.884"/>
        <ns0:n v="29683782.432999995"/>
        <ns0:n v="29726473.223999996"/>
        <ns0:n v="30476170.214999996"/>
        <ns0:n v="31033323.692999996"/>
        <ns0:n v="31105053.391"/>
        <ns0:n v="31156525.939999998"/>
        <ns0:n v="32361318.847"/>
        <ns0:n v="34793888.933"/>
        <ns0:n v="35190775.285000004"/>
        <ns0:n v="36012087.989"/>
        <ns0:n v="41382275.210999995"/>
      </ns0:sharedItems>
    </ns0:cacheField>
    <ns0:cacheField name="Потери руб" numFmtId="0">
      <ns0:sharedItems count="504" containsString="0" containsNumber="1" containsSemiMixedTypes="0">
        <ns0:n v="8642.376923076923"/>
        <ns0:n v="11494.63076923077"/>
        <ns0:n v="19998.63846153846"/>
        <ns0:n v="20847.353846153845"/>
        <ns0:n v="24274.438461538462"/>
        <ns0:n v="28040.97692307692"/>
        <ns0:n v="31578.20769230769"/>
        <ns0:n v="36168.75384615384"/>
        <ns0:n v="37852.04366923077"/>
        <ns0:n v="39424.85384615384"/>
        <ns0:n v="41912.70769230769"/>
        <ns0:n v="41938.95039230769"/>
        <ns0:n v="42699.38461538461"/>
        <ns0:n v="42729.218369230766"/>
        <ns0:n v="47580.14615384615"/>
        <ns0:n v="48380.49925384615"/>
        <ns0:n v="49463.98298461539"/>
        <ns0:n v="51066.35384615384"/>
        <ns0:n v="51681.03846153846"/>
        <ns0:n v="53605.71215384615"/>
        <ns0:n v="58214.93076923077"/>
        <ns0:n v="58400.7992"/>
        <ns0:n v="58978.55866923076"/>
        <ns0:n v="60556.25153846153"/>
        <ns0:n v="61149.51538461538"/>
        <ns0:n v="61387.77692307692"/>
        <ns0:n v="61475.592307692306"/>
        <ns0:n v="62346.41538461538"/>
        <ns0:n v="63441.68461538461"/>
        <ns0:n v="64235.45692307692"/>
        <ns0:n v="64430.96412307692"/>
        <ns0:n v="65936.34336923076"/>
        <ns0:n v="67454.76536923076"/>
        <ns0:n v="68487.35856923077"/>
        <ns0:n v="69189.12307692308"/>
        <ns0:n v="69249.01181538461"/>
        <ns0:n v="70931.81667692307"/>
        <ns0:n v="72626.81390769231"/>
        <ns0:n v="73920.5846153846"/>
        <ns0:n v="74049.52307692308"/>
        <ns0:n v="74269.06047692307"/>
        <ns0:n v="74270.53076923077"/>
        <ns0:n v="76226.26923076922"/>
        <ns0:n v="76299.02338461539"/>
        <ns0:n v="77264.32873846154"/>
        <ns0:n v="77816.21538461538"/>
        <ns0:n v="79541.98461538462"/>
        <ns0:n v="80170.9809076923"/>
        <ns0:n v="81560.98336923077"/>
        <ns0:n v="82264.56716923077"/>
        <ns0:n v="83014.63505384616"/>
        <ns0:n v="83886.67692307691"/>
        <ns0:n v="84618.75436923077"/>
        <ns0:n v="85172.08461538462"/>
        <ns0:n v="86278.1767"/>
        <ns0:n v="86710.8045076923"/>
        <ns0:n v="87212.13076923077"/>
        <ns0:n v="88147.13846153846"/>
        <ns0:n v="88833.63816923076"/>
        <ns0:n v="90381.16923076923"/>
        <ns0:n v="91828.48910769231"/>
        <ns0:n v="92027.36809230769"/>
        <ns0:n v="94344.95384615385"/>
        <ns0:n v="94547"/>
        <ns0:n v="94608.14615384614"/>
        <ns0:n v="95245.72713846153"/>
        <ns0:n v="96303.4"/>
        <ns0:n v="97090.63692307692"/>
        <ns0:n v="97812.8923076923"/>
        <ns0:n v="98026.49036923076"/>
        <ns0:n v="98432.2134076923"/>
        <ns0:n v="99623.13076923077"/>
        <ns0:n v="99729.92307692306"/>
        <ns0:n v="100092.68052307691"/>
        <ns0:n v="100883.95384615385"/>
        <ns0:n v="101620.2923076923"/>
        <ns0:n v="102040.10621538461"/>
        <ns0:n v="102160.21538461538"/>
        <ns0:n v="102510.4018923077"/>
        <ns0:n v="102615.49999999999"/>
        <ns0:n v="102833.37792307691"/>
        <ns0:n v="104864.4846153846"/>
        <ns0:n v="106116.64615384616"/>
        <ns0:n v="106300.0107076923"/>
        <ns0:n v="106508.82307692307"/>
        <ns0:n v="106745.03623846154"/>
        <ns0:n v="107692.85196923077"/>
        <ns0:n v="108543.03143076923"/>
        <ns0:n v="109486.33076923077"/>
        <ns0:n v="109812.45384615385"/>
        <ns0:n v="109891.53846153845"/>
        <ns0:n v="111375.6648"/>
        <ns0:n v="111860.49372307691"/>
        <ns0:n v="112379.26539999999"/>
        <ns0:n v="112971.77692307692"/>
        <ns0:n v="113093.66153846154"/>
        <ns0:n v="113231.09230769232"/>
        <ns0:n v="114933.5923076923"/>
        <ns0:n v="115064.43612307693"/>
        <ns0:n v="115102.03846153845"/>
        <ns0:n v="115138.50836153845"/>
        <ns0:n v="115618.05384615384"/>
        <ns0:n v="117272.7846153846"/>
        <ns0:n v="118941.29398461539"/>
        <ns0:n v="119723.42363076922"/>
        <ns0:n v="119890.85384615383"/>
        <ns0:n v="120955.33846153846"/>
        <ns0:n v="121448.35925384614"/>
        <ns0:n v="121581.84923076924"/>
        <ns0:n v="121636.08074615385"/>
        <ns0:n v="121759.66210769229"/>
        <ns0:n v="122940.53466153846"/>
        <ns0:n v="123081.63515384615"/>
        <ns0:n v="123343.24153846155"/>
        <ns0:n v="124018.33614615384"/>
        <ns0:n v="124540.74078461538"/>
        <ns0:n v="124621.03076923077"/>
        <ns0:n v="125305.56399230768"/>
        <ns0:n v="125553.02143076922"/>
        <ns0:n v="125880.90000000001"/>
        <ns0:n v="126673.26923076922"/>
        <ns0:n v="127223.84583076923"/>
        <ns0:n v="129348.2923076923"/>
        <ns0:n v="129383.86666153846"/>
        <ns0:n v="129793.76153846155"/>
        <ns0:n v="131801.93944615382"/>
        <ns0:n v="134168.53587692307"/>
        <ns0:n v="135246.95929230767"/>
        <ns0:n v="135489.1581153846"/>
        <ns0:n v="136157.9836153846"/>
        <ns0:n v="136423.60523076923"/>
        <ns0:n v="137019.6769230769"/>
        <ns0:n v="137418.1593076923"/>
        <ns0:n v="137636.84266153845"/>
        <ns0:n v="137701.4149"/>
        <ns0:n v="137945.5276"/>
        <ns0:n v="139204.6"/>
        <ns0:n v="139331.3192923077"/>
        <ns0:n v="139983.69019999998"/>
        <ns0:n v="140320.89928461539"/>
        <ns0:n v="140406.0769230769"/>
        <ns0:n v="140503.93076923076"/>
        <ns0:n v="140731.9646153846"/>
        <ns0:n v="141472.14615384614"/>
        <ns0:n v="141592.70844615385"/>
        <ns0:n v="141658.27661538462"/>
        <ns0:n v="141864.00329999998"/>
        <ns0:n v="141931.13193076922"/>
        <ns0:n v="141999.40078461537"/>
        <ns0:n v="142499.01538461537"/>
        <ns0:n v="142998.2095"/>
        <ns0:n v="143296.04318461538"/>
        <ns0:n v="143418.86295384614"/>
        <ns0:n v="144594.4076923077"/>
        <ns0:n v="145122.77781538462"/>
        <ns0:n v="145147.84546153847"/>
        <ns0:n v="145385.33866923075"/>
        <ns0:n v="146460.30097692306"/>
        <ns0:n v="147588"/>
        <ns0:n v="147709.19777692307"/>
        <ns0:n v="148582.33846153846"/>
        <ns0:n v="149032.79178461537"/>
        <ns0:n v="149313.46028461537"/>
        <ns0:n v="149632.4937"/>
        <ns0:n v="150138.8230769231"/>
        <ns0:n v="150484.18215384614"/>
        <ns0:n v="150795.5846153846"/>
        <ns0:n v="150809.61403846153"/>
        <ns0:n v="151098.71538461538"/>
        <ns0:n v="151659.17713846153"/>
        <ns0:n v="152152.96544615386"/>
        <ns0:n v="152384.93586153846"/>
        <ns0:n v="153558.02257692307"/>
        <ns0:n v="154318.62433846152"/>
        <ns0:n v="155421.87692307692"/>
        <ns0:n v="156117.80846153846"/>
        <ns0:n v="156377.12456923077"/>
        <ns0:n v="156413.8362153846"/>
        <ns0:n v="156584.5876923077"/>
        <ns0:n v="156805.8346153846"/>
        <ns0:n v="157384.1788307692"/>
        <ns0:n v="157793.27424615383"/>
        <ns0:n v="158820.4117"/>
        <ns0:n v="159472.57584615384"/>
        <ns0:n v="159537.61835384613"/>
        <ns0:n v="160756.50769230767"/>
        <ns0:n v="160977.42935384615"/>
        <ns0:n v="161473.0769230769"/>
        <ns0:n v="161614.12454615385"/>
        <ns0:n v="161654.46923076923"/>
        <ns0:n v="161811.8923076923"/>
        <ns0:n v="162133.1846153846"/>
        <ns0:n v="162279.9956153846"/>
        <ns0:n v="164514.63076923075"/>
        <ns0:n v="165952.05877692305"/>
        <ns0:n v="166333.5736307692"/>
        <ns0:n v="167003.69436153845"/>
        <ns0:n v="167381.28187692308"/>
        <ns0:n v="167669.98904615385"/>
        <ns0:n v="167974.06755384614"/>
        <ns0:n v="168769.33384615384"/>
        <ns0:n v="169650.86923076923"/>
        <ns0:n v="170303.62015384613"/>
        <ns0:n v="170377.8575384615"/>
        <ns0:n v="171097.83406153845"/>
        <ns0:n v="171981.49101538458"/>
        <ns0:n v="171987.47030000002"/>
        <ns0:n v="172368.62218461538"/>
        <ns0:n v="172769.1923076923"/>
        <ns0:n v="172821.83076923076"/>
        <ns0:n v="173095.92049999998"/>
        <ns0:n v="173178.52204615384"/>
        <ns0:n v="174025.3846153846"/>
        <ns0:n v="174068.47879999998"/>
        <ns0:n v="174707.83838461537"/>
        <ns0:n v="174780.66518461538"/>
        <ns0:n v="175066.50692307693"/>
        <ns0:n v="175338.6411076923"/>
        <ns0:n v="175846.6446153846"/>
        <ns0:n v="178012.59307692308"/>
        <ns0:n v="178454.88537692308"/>
        <ns0:n v="179531.89196153847"/>
        <ns0:n v="180007.08753846152"/>
        <ns0:n v="180495.52483076922"/>
        <ns0:n v="181432.06769230767"/>
        <ns0:n v="181509.9923076923"/>
        <ns0:n v="181964.6876923077"/>
        <ns0:n v="182019.63597692308"/>
        <ns0:n v="182377.32307692306"/>
        <ns0:n v="182639.11723076922"/>
        <ns0:n v="183154.05167692306"/>
        <ns0:n v="183249.26153846155"/>
        <ns0:n v="183829.81409230767"/>
        <ns0:n v="184167.76355384616"/>
        <ns0:n v="184346.05176923078"/>
        <ns0:n v="184385.1884923077"/>
        <ns0:n v="184440.53076923077"/>
        <ns0:n v="185180.3800769231"/>
        <ns0:n v="185484.16923076924"/>
        <ns0:n v="185811.06153846154"/>
        <ns0:n v="186035.5973846154"/>
        <ns0:n v="186502.14615384614"/>
        <ns0:n v="187617.05315384615"/>
        <ns0:n v="187667.93086153845"/>
        <ns0:n v="188174.3243923077"/>
        <ns0:n v="189642.93076923076"/>
        <ns0:n v="190344.3008"/>
        <ns0:n v="190911.88401538462"/>
        <ns0:n v="193118.3230769231"/>
        <ns0:n v="193184.6"/>
        <ns0:n v="193538.8704076923"/>
        <ns0:n v="193869.5929230769"/>
        <ns0:n v="194827.87672307692"/>
        <ns0:n v="194963.39216923076"/>
        <ns0:n v="195070.2500307692"/>
        <ns0:n v="195198.78461538462"/>
        <ns0:n v="195740.02307692307"/>
        <ns0:n v="196319.5046923077"/>
        <ns0:n v="196334.07284615384"/>
        <ns0:n v="196859.98644615384"/>
        <ns0:n v="197299.08136923076"/>
        <ns0:n v="197493.53076923077"/>
        <ns0:n v="200042.36143846155"/>
        <ns0:n v="201777.4038153846"/>
        <ns0:n v="202002.14775384613"/>
        <ns0:n v="202056.3451923077"/>
        <ns0:n v="202175.53846153847"/>
        <ns0:n v="202281.06923076924"/>
        <ns0:n v="202681.39594615382"/>
        <ns0:n v="203231.46096923074"/>
        <ns0:n v="205428.24997692305"/>
        <ns0:n v="205451.17950769232"/>
        <ns0:n v="205639.55141538463"/>
        <ns0:n v="206427.73076923075"/>
        <ns0:n v="206787.93638461537"/>
        <ns0:n v="207105.15935384613"/>
        <ns0:n v="208081.82515384615"/>
        <ns0:n v="208822.3307692308"/>
        <ns0:n v="213288.93846153846"/>
        <ns0:n v="215294.37692307692"/>
        <ns0:n v="215836.18461538458"/>
        <ns0:n v="216733.44615384613"/>
        <ns0:n v="217611.18753846153"/>
        <ns0:n v="218151.6"/>
        <ns0:n v="218895.4076923077"/>
        <ns0:n v="219200.11557692307"/>
        <ns0:n v="219429.2774153846"/>
        <ns0:n v="219587.1531846154"/>
        <ns0:n v="220298.15353846154"/>
        <ns0:n v="221053.87967692307"/>
        <ns0:n v="221739.45623076922"/>
        <ns0:n v="223670.01693846151"/>
        <ns0:n v="224353.45695384615"/>
        <ns0:n v="224718.4076923077"/>
        <ns0:n v="225452.8907846154"/>
        <ns0:n v="225845"/>
        <ns0:n v="226018.5524384615"/>
        <ns0:n v="227139.51416923077"/>
        <ns0:n v="227969.01538461537"/>
        <ns0:n v="232079.8475076923"/>
        <ns0:n v="232169.67161538458"/>
        <ns0:n v="232587.42287692308"/>
        <ns0:n v="233030.6"/>
        <ns0:n v="234787.5564923077"/>
        <ns0:n v="239346.81538461536"/>
        <ns0:n v="241760.2076923077"/>
        <ns0:n v="242715.2625384615"/>
        <ns0:n v="243709.4826923077"/>
        <ns0:n v="244262.12107692307"/>
        <ns0:n v="245048.2600769231"/>
        <ns0:n v="246229.69714615386"/>
        <ns0:n v="246242.8615384615"/>
        <ns0:n v="246817.75113846152"/>
        <ns0:n v="247646.60936153846"/>
        <ns0:n v="250663.8153846154"/>
        <ns0:n v="252262.82307692306"/>
        <ns0:n v="253438.94004615385"/>
        <ns0:n v="253686.7171923077"/>
        <ns0:n v="254778.07384615383"/>
        <ns0:n v="255889.23846153845"/>
        <ns0:n v="256649.1615384615"/>
        <ns0:n v="257491.36923076925"/>
        <ns0:n v="258177.63846153844"/>
        <ns0:n v="258287.05384615384"/>
        <ns0:n v="258558.49999999997"/>
        <ns0:n v="258642.5153846154"/>
        <ns0:n v="259067.63954615386"/>
        <ns0:n v="263823.3461538461"/>
        <ns0:n v="264121.66047692305"/>
        <ns0:n v="264289.06153846154"/>
        <ns0:n v="265444.33165384614"/>
        <ns0:n v="266079.27846153843"/>
        <ns0:n v="268185.43076923076"/>
        <ns0:n v="269233.3443692308"/>
        <ns0:n v="269535.7253846154"/>
        <ns0:n v="269626.3076923077"/>
        <ns0:n v="270910.05384615384"/>
        <ns0:n v="272121.8153846154"/>
        <ns0:n v="272401.2"/>
        <ns0:n v="272484.6307692308"/>
        <ns0:n v="273156.72"/>
        <ns0:n v="273904.8153076923"/>
        <ns0:n v="275436.23846153845"/>
        <ns0:n v="277257.14947692305"/>
        <ns0:n v="277477.3193230769"/>
        <ns0:n v="279127.2760230769"/>
        <ns0:n v="279400.0153846154"/>
        <ns0:n v="279472.1615384615"/>
        <ns0:n v="279597.8615384615"/>
        <ns0:n v="280340.1657"/>
        <ns0:n v="281373.5702153846"/>
        <ns0:n v="282204.5230769231"/>
        <ns0:n v="282325.24615384615"/>
        <ns0:n v="283287.8692307692"/>
        <ns0:n v="283716.73846153845"/>
        <ns0:n v="284287.79007692303"/>
        <ns0:n v="284467.6615384616"/>
        <ns0:n v="285591.72307692305"/>
        <ns0:n v="285708.40769230766"/>
        <ns0:n v="286968.8769230769"/>
        <ns0:n v="287619.52953846153"/>
        <ns0:n v="289900.0938461538"/>
        <ns0:n v="291468.6"/>
        <ns0:n v="291527.8831384615"/>
        <ns0:n v="291528.45785384614"/>
        <ns0:n v="292821.2230769231"/>
        <ns0:n v="293452.2923769231"/>
        <ns0:n v="294361.0811230769"/>
        <ns0:n v="294634.3553076923"/>
        <ns0:n v="296732.5961538461"/>
        <ns0:n v="296759.42307692306"/>
        <ns0:n v="299208.26923076925"/>
        <ns0:n v="301623.7923076923"/>
        <ns0:n v="303444.3653846154"/>
        <ns0:n v="304806.9854230769"/>
        <ns0:n v="305744.9884307692"/>
        <ns0:n v="306098.4769230769"/>
        <ns0:n v="306548.18846153846"/>
        <ns0:n v="309760.3357307692"/>
        <ns0:n v="312856.1615384615"/>
        <ns0:n v="316452.6615384616"/>
        <ns0:n v="317179.04615384614"/>
        <ns0:n v="318671.8546538461"/>
        <ns0:n v="319377.7946153846"/>
        <ns0:n v="328803.8461538461"/>
        <ns0:n v="329717.03827692306"/>
        <ns0:n v="329754.6307692308"/>
        <ns0:n v="331721.6692307692"/>
        <ns0:n v="331756.1807230769"/>
        <ns0:n v="334550.50769230764"/>
        <ns0:n v="336001.0803923077"/>
        <ns0:n v="337872.83273076924"/>
        <ns0:n v="340158.78723076923"/>
        <ns0:n v="340349.5336923077"/>
        <ns0:n v="343211.5426230769"/>
        <ns0:n v="343786.0846153846"/>
        <ns0:n v="344959.87384615385"/>
        <ns0:n v="346048.63569230767"/>
        <ns0:n v="347608.6384615384"/>
        <ns0:n v="349844.3615384615"/>
        <ns0:n v="351098.05384615384"/>
        <ns0:n v="355401.6076923077"/>
        <ns0:n v="355537.44449230767"/>
        <ns0:n v="356339.00384615385"/>
        <ns0:n v="359577.9060076923"/>
        <ns0:n v="361201.8010384615"/>
        <ns0:n v="361439.69230769225"/>
        <ns0:n v="363750.5569230769"/>
        <ns0:n v="364896.93846153846"/>
        <ns0:n v="365011.0806153846"/>
        <ns0:n v="369443.39999999997"/>
        <ns0:n v="370802.93846153846"/>
        <ns0:n v="371661.6538461539"/>
        <ns0:n v="373408.8334307692"/>
        <ns0:n v="380499.56092307693"/>
        <ns0:n v="381635.95355384616"/>
        <ns0:n v="383344.65076923074"/>
        <ns0:n v="383761.6669230769"/>
        <ns0:n v="386033.17544615385"/>
        <ns0:n v="389877.53846153844"/>
        <ns0:n v="396844.24095384614"/>
        <ns0:n v="398269.43076923076"/>
        <ns0:n v="403874.8839461538"/>
        <ns0:n v="404297.7461538461"/>
        <ns0:n v="410370.5153846154"/>
        <ns0:n v="416475.0769230769"/>
        <ns0:n v="417117.17692307686"/>
        <ns0:n v="418713.96153846156"/>
        <ns0:n v="443086.2530307692"/>
        <ns0:n v="444057.733476923"/>
        <ns0:n v="459604.9079615384"/>
        <ns0:n v="464232.5484615384"/>
        <ns0:n v="467483.70729230763"/>
        <ns0:n v="479024.68461538455"/>
        <ns0:n v="506964.83088461537"/>
        <ns0:n v="512464.9846153846"/>
        <ns0:n v="512623.0388076923"/>
        <ns0:n v="518998.75384615385"/>
        <ns0:n v="521163.8769230769"/>
        <ns0:n v="525087.9153846154"/>
        <ns0:n v="532663.1615384615"/>
        <ns0:n v="535419.8979692308"/>
        <ns0:n v="541116.6988461538"/>
        <ns0:n v="541588.8935615384"/>
        <ns0:n v="549316.9501538462"/>
        <ns0:n v="551393.4769230769"/>
        <ns0:n v="552625.8"/>
        <ns0:n v="566638.9257538462"/>
        <ns0:n v="570447.6369538462"/>
        <ns0:n v="571050.764276923"/>
        <ns0:n v="571764.0907692307"/>
        <ns0:n v="574198.1153846154"/>
        <ns0:n v="582268.7261538461"/>
        <ns0:n v="582815.3615384615"/>
        <ns0:n v="589339.0338461538"/>
        <ns0:n v="591565.3538461538"/>
        <ns0:n v="595097.1592923077"/>
        <ns0:n v="595793.090653846"/>
        <ns0:n v="601482.0769230769"/>
        <ns0:n v="605833.7657076922"/>
        <ns0:n v="607679.3461538461"/>
        <ns0:n v="611904.2335230769"/>
        <ns0:n v="616932.9235384614"/>
        <ns0:n v="622499.3303153847"/>
        <ns0:n v="628647.3307692307"/>
        <ns0:n v="634118.8692307692"/>
        <ns0:n v="636197.2334076923"/>
        <ns0:n v="636230.3201153845"/>
        <ns0:n v="637711.5937230769"/>
        <ns0:n v="642893.5665692308"/>
        <ns0:n v="645572.5782615384"/>
        <ns0:n v="646741.2813"/>
        <ns0:n v="650375.7684923077"/>
        <ns0:n v="657754.3188"/>
        <ns0:n v="661329.1783384614"/>
        <ns0:n v="681486.5666461538"/>
        <ns0:n v="698314.9846153846"/>
        <ns0:n v="700442.1153769231"/>
        <ns0:n v="713697.6076923077"/>
        <ns0:n v="714758.2"/>
        <ns0:n v="725212.9959230769"/>
        <ns0:n v="742420.2692307691"/>
        <ns0:n v="744856.585476923"/>
        <ns0:n v="759335.8046923077"/>
        <ns0:n v="764540.5879230769"/>
        <ns0:n v="776209.0316999999"/>
        <ns0:n v="779849.3653846154"/>
        <ns0:n v="790162.5769230769"/>
        <ns0:n v="806120.1933307692"/>
        <ns0:n v="820373.5681538461"/>
        <ns0:n v="822353.4393615385"/>
        <ns0:n v="848425.4184384615"/>
        <ns0:n v="865201.878576923"/>
        <ns0:n v="872904.4042846154"/>
        <ns0:n v="896375.1692307692"/>
        <ns0:n v="898617.7503076922"/>
        <ns0:n v="919330.0461538462"/>
        <ns0:n v="919576.9605538462"/>
        <ns0:n v="942702.9"/>
        <ns0:n v="988153.4080307692"/>
        <ns0:n v="997757.7538461538"/>
        <ns0:n v="1052145.9026769232"/>
        <ns0:n v="1078421.345076923"/>
        <ns0:n v="1101833.447230769"/>
      </ns0:sharedItems>
    </ns0:cacheField>
    <ns0:cacheField name="Склады за день" numFmtId="0">
      <ns0:sharedItems count="24" containsString="0" containsNumber="1" containsSemiMixedTypes="0">
        <ns0:n v="6"/>
        <ns0:n v="7"/>
        <ns0:n v="9"/>
        <ns0:n v="10"/>
        <ns0:n v="15"/>
        <ns0:n v="16"/>
        <ns0:n v="17"/>
        <ns0:n v="18"/>
        <ns0:n v="19"/>
        <ns0:n v="20"/>
        <ns0:n v="21"/>
        <ns0:n v="22"/>
        <ns0:n v="23"/>
        <ns0:n v="31"/>
        <ns0:n v="36"/>
        <ns0:n v="37"/>
        <ns0:n v="54"/>
        <ns0:n v="59"/>
        <ns0:n v="60"/>
        <ns0:n v="123"/>
        <ns0:n v="124"/>
        <ns0:n v="125"/>
        <ns0:n v="128"/>
        <ns0:n v="129"/>
      </ns0:sharedItems>
    </ns0:cacheField>
    <ns0:cacheField name="Заказы за день" numFmtId="0">
      <ns0:sharedItems count="481" containsString="0" containsNumber="1" containsSemiMixedTypes="0">
        <ns0:n v="237"/>
        <ns0:n v="261"/>
        <ns0:n v="262"/>
        <ns0:n v="274"/>
        <ns0:n v="294"/>
        <ns0:n v="345"/>
        <ns0:n v="390"/>
        <ns0:n v="400"/>
        <ns0:n v="402"/>
        <ns0:n v="409"/>
        <ns0:n v="416"/>
        <ns0:n v="420"/>
        <ns0:n v="441"/>
        <ns0:n v="448"/>
        <ns0:n v="453"/>
        <ns0:n v="455"/>
        <ns0:n v="462"/>
        <ns0:n v="464"/>
        <ns0:n v="465"/>
        <ns0:n v="467"/>
        <ns0:n v="480"/>
        <ns0:n v="490"/>
        <ns0:n v="491"/>
        <ns0:n v="492"/>
        <ns0:n v="494"/>
        <ns0:n v="500"/>
        <ns0:n v="502"/>
        <ns0:n v="511"/>
        <ns0:n v="526"/>
        <ns0:n v="530"/>
        <ns0:n v="532"/>
        <ns0:n v="554"/>
        <ns0:n v="563"/>
        <ns0:n v="567"/>
        <ns0:n v="577"/>
        <ns0:n v="580"/>
        <ns0:n v="585"/>
        <ns0:n v="591"/>
        <ns0:n v="599"/>
        <ns0:n v="612"/>
        <ns0:n v="622"/>
        <ns0:n v="623"/>
        <ns0:n v="624"/>
        <ns0:n v="627"/>
        <ns0:n v="636"/>
        <ns0:n v="638"/>
        <ns0:n v="639"/>
        <ns0:n v="642"/>
        <ns0:n v="644"/>
        <ns0:n v="645"/>
        <ns0:n v="649"/>
        <ns0:n v="654"/>
        <ns0:n v="659"/>
        <ns0:n v="676"/>
        <ns0:n v="677"/>
        <ns0:n v="684"/>
        <ns0:n v="688"/>
        <ns0:n v="692"/>
        <ns0:n v="701"/>
        <ns0:n v="703"/>
        <ns0:n v="706"/>
        <ns0:n v="719"/>
        <ns0:n v="721"/>
        <ns0:n v="729"/>
        <ns0:n v="739"/>
        <ns0:n v="743"/>
        <ns0:n v="745"/>
        <ns0:n v="747"/>
        <ns0:n v="749"/>
        <ns0:n v="750"/>
        <ns0:n v="751"/>
        <ns0:n v="757"/>
        <ns0:n v="760"/>
        <ns0:n v="779"/>
        <ns0:n v="780"/>
        <ns0:n v="784"/>
        <ns0:n v="786"/>
        <ns0:n v="791"/>
        <ns0:n v="792"/>
        <ns0:n v="805"/>
        <ns0:n v="809"/>
        <ns0:n v="812"/>
        <ns0:n v="817"/>
        <ns0:n v="828"/>
        <ns0:n v="834"/>
        <ns0:n v="835"/>
        <ns0:n v="839"/>
        <ns0:n v="840"/>
        <ns0:n v="845"/>
        <ns0:n v="849"/>
        <ns0:n v="854"/>
        <ns0:n v="857"/>
        <ns0:n v="859"/>
        <ns0:n v="864"/>
        <ns0:n v="865"/>
        <ns0:n v="873"/>
        <ns0:n v="876"/>
        <ns0:n v="879"/>
        <ns0:n v="888"/>
        <ns0:n v="890"/>
        <ns0:n v="898"/>
        <ns0:n v="903"/>
        <ns0:n v="914"/>
        <ns0:n v="917"/>
        <ns0:n v="920"/>
        <ns0:n v="922"/>
        <ns0:n v="923"/>
        <ns0:n v="925"/>
        <ns0:n v="930"/>
        <ns0:n v="950"/>
        <ns0:n v="962"/>
        <ns0:n v="965"/>
        <ns0:n v="971"/>
        <ns0:n v="980"/>
        <ns0:n v="981"/>
        <ns0:n v="985"/>
        <ns0:n v="989"/>
        <ns0:n v="996"/>
        <ns0:n v="1006"/>
        <ns0:n v="1012"/>
        <ns0:n v="1014"/>
        <ns0:n v="1019"/>
        <ns0:n v="1020"/>
        <ns0:n v="1029"/>
        <ns0:n v="1031"/>
        <ns0:n v="1045"/>
        <ns0:n v="1048"/>
        <ns0:n v="1050"/>
        <ns0:n v="1097"/>
        <ns0:n v="1111"/>
        <ns0:n v="1128"/>
        <ns0:n v="1140"/>
        <ns0:n v="1142"/>
        <ns0:n v="1185"/>
        <ns0:n v="1186"/>
        <ns0:n v="1203"/>
        <ns0:n v="1206"/>
        <ns0:n v="1216"/>
        <ns0:n v="1217"/>
        <ns0:n v="1268"/>
        <ns0:n v="1294"/>
        <ns0:n v="1296"/>
        <ns0:n v="1314"/>
        <ns0:n v="1402"/>
        <ns0:n v="1417"/>
        <ns0:n v="1439"/>
        <ns0:n v="1479"/>
        <ns0:n v="1497"/>
        <ns0:n v="1499"/>
        <ns0:n v="1505"/>
        <ns0:n v="1509"/>
        <ns0:n v="1519"/>
        <ns0:n v="1520"/>
        <ns0:n v="1522"/>
        <ns0:n v="1527"/>
        <ns0:n v="1530"/>
        <ns0:n v="1534"/>
        <ns0:n v="1539"/>
        <ns0:n v="1542"/>
        <ns0:n v="1580"/>
        <ns0:n v="1582"/>
        <ns0:n v="1597"/>
        <ns0:n v="1598"/>
        <ns0:n v="1599"/>
        <ns0:n v="1605"/>
        <ns0:n v="1613"/>
        <ns0:n v="1622"/>
        <ns0:n v="1625"/>
        <ns0:n v="1635"/>
        <ns0:n v="1646"/>
        <ns0:n v="1649"/>
        <ns0:n v="1650"/>
        <ns0:n v="1656"/>
        <ns0:n v="1662"/>
        <ns0:n v="1675"/>
        <ns0:n v="1676"/>
        <ns0:n v="1684"/>
        <ns0:n v="1697"/>
        <ns0:n v="1698"/>
        <ns0:n v="1706"/>
        <ns0:n v="1708"/>
        <ns0:n v="1712"/>
        <ns0:n v="1716"/>
        <ns0:n v="1735"/>
        <ns0:n v="1741"/>
        <ns0:n v="1747"/>
        <ns0:n v="1756"/>
        <ns0:n v="1757"/>
        <ns0:n v="1773"/>
        <ns0:n v="1780"/>
        <ns0:n v="1784"/>
        <ns0:n v="1787"/>
        <ns0:n v="1790"/>
        <ns0:n v="1804"/>
        <ns0:n v="1814"/>
        <ns0:n v="1823"/>
        <ns0:n v="1826"/>
        <ns0:n v="1831"/>
        <ns0:n v="1834"/>
        <ns0:n v="1836"/>
        <ns0:n v="1846"/>
        <ns0:n v="1848"/>
        <ns0:n v="1851"/>
        <ns0:n v="1858"/>
        <ns0:n v="1859"/>
        <ns0:n v="1860"/>
        <ns0:n v="1868"/>
        <ns0:n v="1871"/>
        <ns0:n v="1873"/>
        <ns0:n v="1874"/>
        <ns0:n v="1875"/>
        <ns0:n v="1879"/>
        <ns0:n v="1886"/>
        <ns0:n v="1889"/>
        <ns0:n v="1891"/>
        <ns0:n v="1899"/>
        <ns0:n v="1916"/>
        <ns0:n v="1921"/>
        <ns0:n v="1926"/>
        <ns0:n v="1940"/>
        <ns0:n v="1949"/>
        <ns0:n v="1957"/>
        <ns0:n v="1987"/>
        <ns0:n v="1993"/>
        <ns0:n v="1999"/>
        <ns0:n v="2011"/>
        <ns0:n v="2015"/>
        <ns0:n v="2016"/>
        <ns0:n v="2025"/>
        <ns0:n v="2036"/>
        <ns0:n v="2039"/>
        <ns0:n v="2044"/>
        <ns0:n v="2046"/>
        <ns0:n v="2054"/>
        <ns0:n v="2056"/>
        <ns0:n v="2060"/>
        <ns0:n v="2061"/>
        <ns0:n v="2064"/>
        <ns0:n v="2079"/>
        <ns0:n v="2080"/>
        <ns0:n v="2087"/>
        <ns0:n v="2088"/>
        <ns0:n v="2111"/>
        <ns0:n v="2120"/>
        <ns0:n v="2136"/>
        <ns0:n v="2145"/>
        <ns0:n v="2174"/>
        <ns0:n v="2195"/>
        <ns0:n v="2245"/>
        <ns0:n v="2249"/>
        <ns0:n v="2254"/>
        <ns0:n v="2255"/>
        <ns0:n v="2266"/>
        <ns0:n v="2271"/>
        <ns0:n v="2306"/>
        <ns0:n v="2330"/>
        <ns0:n v="2335"/>
        <ns0:n v="2340"/>
        <ns0:n v="2410"/>
        <ns0:n v="2418"/>
        <ns0:n v="2427"/>
        <ns0:n v="2430"/>
        <ns0:n v="2451"/>
        <ns0:n v="2454"/>
        <ns0:n v="2460"/>
        <ns0:n v="2468"/>
        <ns0:n v="2522"/>
        <ns0:n v="2530"/>
        <ns0:n v="2531"/>
        <ns0:n v="2597"/>
        <ns0:n v="2793"/>
        <ns0:n v="2861"/>
        <ns0:n v="3442"/>
        <ns0:n v="4150"/>
        <ns0:n v="4157"/>
        <ns0:n v="4199"/>
        <ns0:n v="4285"/>
        <ns0:n v="4384"/>
        <ns0:n v="4418"/>
        <ns0:n v="4508"/>
        <ns0:n v="4556"/>
        <ns0:n v="4575"/>
        <ns0:n v="4635"/>
        <ns0:n v="4641"/>
        <ns0:n v="4695"/>
        <ns0:n v="4709"/>
        <ns0:n v="4722"/>
        <ns0:n v="4751"/>
        <ns0:n v="4770"/>
        <ns0:n v="4800"/>
        <ns0:n v="4816"/>
        <ns0:n v="4826"/>
        <ns0:n v="4840"/>
        <ns0:n v="4857"/>
        <ns0:n v="4862"/>
        <ns0:n v="4885"/>
        <ns0:n v="4903"/>
        <ns0:n v="4915"/>
        <ns0:n v="4918"/>
        <ns0:n v="4923"/>
        <ns0:n v="4937"/>
        <ns0:n v="4951"/>
        <ns0:n v="4967"/>
        <ns0:n v="4968"/>
        <ns0:n v="5035"/>
        <ns0:n v="5094"/>
        <ns0:n v="5120"/>
        <ns0:n v="5143"/>
        <ns0:n v="5155"/>
        <ns0:n v="5165"/>
        <ns0:n v="5184"/>
        <ns0:n v="5188"/>
        <ns0:n v="5206"/>
        <ns0:n v="5207"/>
        <ns0:n v="5210"/>
        <ns0:n v="5215"/>
        <ns0:n v="5251"/>
        <ns0:n v="5286"/>
        <ns0:n v="5330"/>
        <ns0:n v="5355"/>
        <ns0:n v="5378"/>
        <ns0:n v="5389"/>
        <ns0:n v="5413"/>
        <ns0:n v="5457"/>
        <ns0:n v="5465"/>
        <ns0:n v="5468"/>
        <ns0:n v="5493"/>
        <ns0:n v="5495"/>
        <ns0:n v="5593"/>
        <ns0:n v="5651"/>
        <ns0:n v="5672"/>
        <ns0:n v="5698"/>
        <ns0:n v="5746"/>
        <ns0:n v="5751"/>
        <ns0:n v="5760"/>
        <ns0:n v="5914"/>
        <ns0:n v="5965"/>
        <ns0:n v="6118"/>
        <ns0:n v="6276"/>
        <ns0:n v="6645"/>
        <ns0:n v="6735"/>
        <ns0:n v="10570"/>
        <ns0:n v="11100"/>
        <ns0:n v="11128"/>
        <ns0:n v="11194"/>
        <ns0:n v="11288"/>
        <ns0:n v="11522"/>
        <ns0:n v="11614"/>
        <ns0:n v="11622"/>
        <ns0:n v="11698"/>
        <ns0:n v="11864"/>
        <ns0:n v="11935"/>
        <ns0:n v="12000"/>
        <ns0:n v="12007"/>
        <ns0:n v="12012"/>
        <ns0:n v="12016"/>
        <ns0:n v="12211"/>
        <ns0:n v="12299"/>
        <ns0:n v="12306"/>
        <ns0:n v="12336"/>
        <ns0:n v="12409"/>
        <ns0:n v="12429"/>
        <ns0:n v="12460"/>
        <ns0:n v="12743"/>
        <ns0:n v="12747"/>
        <ns0:n v="12775"/>
        <ns0:n v="12791"/>
        <ns0:n v="12817"/>
        <ns0:n v="12822"/>
        <ns0:n v="12854"/>
        <ns0:n v="12943"/>
        <ns0:n v="12983"/>
        <ns0:n v="13014"/>
        <ns0:n v="13070"/>
        <ns0:n v="13091"/>
        <ns0:n v="13106"/>
        <ns0:n v="13170"/>
        <ns0:n v="13186"/>
        <ns0:n v="13240"/>
        <ns0:n v="13251"/>
        <ns0:n v="13298"/>
        <ns0:n v="13406"/>
        <ns0:n v="13469"/>
        <ns0:n v="13495"/>
        <ns0:n v="13544"/>
        <ns0:n v="13563"/>
        <ns0:n v="13606"/>
        <ns0:n v="13684"/>
        <ns0:n v="13792"/>
        <ns0:n v="13832"/>
        <ns0:n v="13867"/>
        <ns0:n v="13942"/>
        <ns0:n v="14005"/>
        <ns0:n v="14009"/>
        <ns0:n v="14031"/>
        <ns0:n v="14043"/>
        <ns0:n v="14049"/>
        <ns0:n v="14050"/>
        <ns0:n v="14098"/>
        <ns0:n v="14103"/>
        <ns0:n v="14205"/>
        <ns0:n v="14423"/>
        <ns0:n v="14482"/>
        <ns0:n v="14507"/>
        <ns0:n v="14569"/>
        <ns0:n v="14582"/>
        <ns0:n v="14590"/>
        <ns0:n v="14823"/>
        <ns0:n v="15030"/>
        <ns0:n v="15222"/>
        <ns0:n v="15277"/>
        <ns0:n v="15304"/>
        <ns0:n v="15369"/>
        <ns0:n v="15665"/>
        <ns0:n v="15744"/>
        <ns0:n v="15778"/>
        <ns0:n v="15804"/>
        <ns0:n v="15822"/>
        <ns0:n v="16110"/>
        <ns0:n v="16191"/>
        <ns0:n v="16221"/>
        <ns0:n v="16285"/>
        <ns0:n v="16373"/>
        <ns0:n v="16376"/>
        <ns0:n v="16387"/>
        <ns0:n v="16420"/>
        <ns0:n v="16432"/>
        <ns0:n v="16437"/>
        <ns0:n v="16450"/>
        <ns0:n v="16453"/>
        <ns0:n v="16459"/>
        <ns0:n v="16525"/>
        <ns0:n v="16932"/>
        <ns0:n v="17002"/>
        <ns0:n v="17088"/>
        <ns0:n v="17095"/>
        <ns0:n v="17115"/>
        <ns0:n v="17235"/>
        <ns0:n v="17295"/>
        <ns0:n v="17368"/>
        <ns0:n v="17808"/>
        <ns0:n v="17914"/>
        <ns0:n v="18014"/>
        <ns0:n v="18042"/>
        <ns0:n v="18066"/>
        <ns0:n v="18861"/>
        <ns0:n v="18944"/>
        <ns0:n v="19856"/>
        <ns0:n v="19965"/>
        <ns0:n v="20079"/>
        <ns0:n v="20132"/>
        <ns0:n v="20218"/>
        <ns0:n v="20243"/>
        <ns0:n v="20247"/>
        <ns0:n v="20325"/>
        <ns0:n v="20358"/>
        <ns0:n v="20368"/>
        <ns0:n v="20449"/>
        <ns0:n v="20452"/>
        <ns0:n v="20495"/>
        <ns0:n v="20602"/>
        <ns0:n v="20771"/>
        <ns0:n v="20868"/>
        <ns0:n v="20911"/>
        <ns0:n v="20914"/>
        <ns0:n v="21004"/>
        <ns0:n v="21106"/>
        <ns0:n v="21153"/>
        <ns0:n v="21384"/>
        <ns0:n v="21392"/>
        <ns0:n v="21427"/>
        <ns0:n v="21674"/>
        <ns0:n v="21862"/>
        <ns0:n v="21863"/>
        <ns0:n v="22291"/>
        <ns0:n v="22368"/>
        <ns0:n v="22403"/>
        <ns0:n v="24325"/>
        <ns0:n v="24574"/>
        <ns0:n v="24620"/>
        <ns0:n v="25828"/>
      </ns0:sharedItems>
    </ns0:cacheField>
    <ns0:cacheField name="Клиенты за день" numFmtId="0">
      <ns0:sharedItems count="482" containsString="0" containsNumber="1" containsSemiMixedTypes="0">
        <ns0:n v="175"/>
        <ns0:n v="188"/>
        <ns0:n v="195"/>
        <ns0:n v="203"/>
        <ns0:n v="224"/>
        <ns0:n v="225"/>
        <ns0:n v="255"/>
        <ns0:n v="315"/>
        <ns0:n v="329"/>
        <ns0:n v="333"/>
        <ns0:n v="341"/>
        <ns0:n v="347"/>
        <ns0:n v="368"/>
        <ns0:n v="370"/>
        <ns0:n v="376"/>
        <ns0:n v="381"/>
        <ns0:n v="384"/>
        <ns0:n v="389"/>
        <ns0:n v="390"/>
        <ns0:n v="396"/>
        <ns0:n v="398"/>
        <ns0:n v="409"/>
        <ns0:n v="411"/>
        <ns0:n v="412"/>
        <ns0:n v="418"/>
        <ns0:n v="421"/>
        <ns0:n v="433"/>
        <ns0:n v="437"/>
        <ns0:n v="447"/>
        <ns0:n v="448"/>
        <ns0:n v="449"/>
        <ns0:n v="472"/>
        <ns0:n v="486"/>
        <ns0:n v="493"/>
        <ns0:n v="502"/>
        <ns0:n v="506"/>
        <ns0:n v="513"/>
        <ns0:n v="515"/>
        <ns0:n v="530"/>
        <ns0:n v="535"/>
        <ns0:n v="538"/>
        <ns0:n v="545"/>
        <ns0:n v="547"/>
        <ns0:n v="548"/>
        <ns0:n v="550"/>
        <ns0:n v="556"/>
        <ns0:n v="557"/>
        <ns0:n v="559"/>
        <ns0:n v="564"/>
        <ns0:n v="565"/>
        <ns0:n v="568"/>
        <ns0:n v="570"/>
        <ns0:n v="575"/>
        <ns0:n v="585"/>
        <ns0:n v="591"/>
        <ns0:n v="598"/>
        <ns0:n v="601"/>
        <ns0:n v="608"/>
        <ns0:n v="609"/>
        <ns0:n v="611"/>
        <ns0:n v="625"/>
        <ns0:n v="627"/>
        <ns0:n v="636"/>
        <ns0:n v="642"/>
        <ns0:n v="647"/>
        <ns0:n v="651"/>
        <ns0:n v="652"/>
        <ns0:n v="654"/>
        <ns0:n v="655"/>
        <ns0:n v="658"/>
        <ns0:n v="659"/>
        <ns0:n v="660"/>
        <ns0:n v="664"/>
        <ns0:n v="672"/>
        <ns0:n v="673"/>
        <ns0:n v="690"/>
        <ns0:n v="691"/>
        <ns0:n v="695"/>
        <ns0:n v="696"/>
        <ns0:n v="697"/>
        <ns0:n v="702"/>
        <ns0:n v="703"/>
        <ns0:n v="711"/>
        <ns0:n v="714"/>
        <ns0:n v="718"/>
        <ns0:n v="725"/>
        <ns0:n v="733"/>
        <ns0:n v="734"/>
        <ns0:n v="735"/>
        <ns0:n v="736"/>
        <ns0:n v="740"/>
        <ns0:n v="743"/>
        <ns0:n v="746"/>
        <ns0:n v="756"/>
        <ns0:n v="757"/>
        <ns0:n v="762"/>
        <ns0:n v="763"/>
        <ns0:n v="765"/>
        <ns0:n v="768"/>
        <ns0:n v="770"/>
        <ns0:n v="777"/>
        <ns0:n v="786"/>
        <ns0:n v="792"/>
        <ns0:n v="794"/>
        <ns0:n v="795"/>
        <ns0:n v="802"/>
        <ns0:n v="804"/>
        <ns0:n v="816"/>
        <ns0:n v="818"/>
        <ns0:n v="823"/>
        <ns0:n v="824"/>
        <ns0:n v="827"/>
        <ns0:n v="848"/>
        <ns0:n v="856"/>
        <ns0:n v="859"/>
        <ns0:n v="861"/>
        <ns0:n v="867"/>
        <ns0:n v="887"/>
        <ns0:n v="888"/>
        <ns0:n v="893"/>
        <ns0:n v="895"/>
        <ns0:n v="900"/>
        <ns0:n v="904"/>
        <ns0:n v="911"/>
        <ns0:n v="918"/>
        <ns0:n v="925"/>
        <ns0:n v="930"/>
        <ns0:n v="938"/>
        <ns0:n v="968"/>
        <ns0:n v="992"/>
        <ns0:n v="1001"/>
        <ns0:n v="1016"/>
        <ns0:n v="1020"/>
        <ns0:n v="1042"/>
        <ns0:n v="1048"/>
        <ns0:n v="1054"/>
        <ns0:n v="1077"/>
        <ns0:n v="1080"/>
        <ns0:n v="1101"/>
        <ns0:n v="1129"/>
        <ns0:n v="1153"/>
        <ns0:n v="1155"/>
        <ns0:n v="1192"/>
        <ns0:n v="1234"/>
        <ns0:n v="1245"/>
        <ns0:n v="1265"/>
        <ns0:n v="1291"/>
        <ns0:n v="1322"/>
        <ns0:n v="1323"/>
        <ns0:n v="1338"/>
        <ns0:n v="1340"/>
        <ns0:n v="1346"/>
        <ns0:n v="1368"/>
        <ns0:n v="1369"/>
        <ns0:n v="1372"/>
        <ns0:n v="1373"/>
        <ns0:n v="1374"/>
        <ns0:n v="1380"/>
        <ns0:n v="1389"/>
        <ns0:n v="1403"/>
        <ns0:n v="1404"/>
        <ns0:n v="1405"/>
        <ns0:n v="1412"/>
        <ns0:n v="1435"/>
        <ns0:n v="1444"/>
        <ns0:n v="1447"/>
        <ns0:n v="1450"/>
        <ns0:n v="1454"/>
        <ns0:n v="1457"/>
        <ns0:n v="1460"/>
        <ns0:n v="1475"/>
        <ns0:n v="1482"/>
        <ns0:n v="1487"/>
        <ns0:n v="1492"/>
        <ns0:n v="1499"/>
        <ns0:n v="1505"/>
        <ns0:n v="1506"/>
        <ns0:n v="1516"/>
        <ns0:n v="1528"/>
        <ns0:n v="1534"/>
        <ns0:n v="1548"/>
        <ns0:n v="1552"/>
        <ns0:n v="1554"/>
        <ns0:n v="1561"/>
        <ns0:n v="1568"/>
        <ns0:n v="1570"/>
        <ns0:n v="1586"/>
        <ns0:n v="1596"/>
        <ns0:n v="1597"/>
        <ns0:n v="1604"/>
        <ns0:n v="1615"/>
        <ns0:n v="1626"/>
        <ns0:n v="1632"/>
        <ns0:n v="1633"/>
        <ns0:n v="1635"/>
        <ns0:n v="1638"/>
        <ns0:n v="1648"/>
        <ns0:n v="1649"/>
        <ns0:n v="1655"/>
        <ns0:n v="1660"/>
        <ns0:n v="1667"/>
        <ns0:n v="1678"/>
        <ns0:n v="1680"/>
        <ns0:n v="1681"/>
        <ns0:n v="1690"/>
        <ns0:n v="1695"/>
        <ns0:n v="1697"/>
        <ns0:n v="1701"/>
        <ns0:n v="1704"/>
        <ns0:n v="1705"/>
        <ns0:n v="1706"/>
        <ns0:n v="1709"/>
        <ns0:n v="1715"/>
        <ns0:n v="1720"/>
        <ns0:n v="1724"/>
        <ns0:n v="1733"/>
        <ns0:n v="1736"/>
        <ns0:n v="1738"/>
        <ns0:n v="1742"/>
        <ns0:n v="1745"/>
        <ns0:n v="1755"/>
        <ns0:n v="1767"/>
        <ns0:n v="1790"/>
        <ns0:n v="1791"/>
        <ns0:n v="1796"/>
        <ns0:n v="1799"/>
        <ns0:n v="1803"/>
        <ns0:n v="1826"/>
        <ns0:n v="1829"/>
        <ns0:n v="1844"/>
        <ns0:n v="1846"/>
        <ns0:n v="1848"/>
        <ns0:n v="1849"/>
        <ns0:n v="1853"/>
        <ns0:n v="1856"/>
        <ns0:n v="1863"/>
        <ns0:n v="1868"/>
        <ns0:n v="1876"/>
        <ns0:n v="1879"/>
        <ns0:n v="1883"/>
        <ns0:n v="1893"/>
        <ns0:n v="1896"/>
        <ns0:n v="1899"/>
        <ns0:n v="1914"/>
        <ns0:n v="1917"/>
        <ns0:n v="1921"/>
        <ns0:n v="1947"/>
        <ns0:n v="1957"/>
        <ns0:n v="1993"/>
        <ns0:n v="1999"/>
        <ns0:n v="2000"/>
        <ns0:n v="2045"/>
        <ns0:n v="2053"/>
        <ns0:n v="2054"/>
        <ns0:n v="2061"/>
        <ns0:n v="2085"/>
        <ns0:n v="2126"/>
        <ns0:n v="2142"/>
        <ns0:n v="2146"/>
        <ns0:n v="2178"/>
        <ns0:n v="2202"/>
        <ns0:n v="2213"/>
        <ns0:n v="2215"/>
        <ns0:n v="2216"/>
        <ns0:n v="2221"/>
        <ns0:n v="2226"/>
        <ns0:n v="2239"/>
        <ns0:n v="2270"/>
        <ns0:n v="2295"/>
        <ns0:n v="2296"/>
        <ns0:n v="2376"/>
        <ns0:n v="2379"/>
        <ns0:n v="2539"/>
        <ns0:n v="2612"/>
        <ns0:n v="3147"/>
        <ns0:n v="3823"/>
        <ns0:n v="3838"/>
        <ns0:n v="3867"/>
        <ns0:n v="3950"/>
        <ns0:n v="4025"/>
        <ns0:n v="4088"/>
        <ns0:n v="4149"/>
        <ns0:n v="4206"/>
        <ns0:n v="4220"/>
        <ns0:n v="4266"/>
        <ns0:n v="4274"/>
        <ns0:n v="4348"/>
        <ns0:n v="4352"/>
        <ns0:n v="4370"/>
        <ns0:n v="4372"/>
        <ns0:n v="4424"/>
        <ns0:n v="4426"/>
        <ns0:n v="4452"/>
        <ns0:n v="4456"/>
        <ns0:n v="4470"/>
        <ns0:n v="4475"/>
        <ns0:n v="4476"/>
        <ns0:n v="4483"/>
        <ns0:n v="4502"/>
        <ns0:n v="4527"/>
        <ns0:n v="4554"/>
        <ns0:n v="4560"/>
        <ns0:n v="4561"/>
        <ns0:n v="4562"/>
        <ns0:n v="4583"/>
        <ns0:n v="4584"/>
        <ns0:n v="4596"/>
        <ns0:n v="4683"/>
        <ns0:n v="4715"/>
        <ns0:n v="4716"/>
        <ns0:n v="4737"/>
        <ns0:n v="4762"/>
        <ns0:n v="4778"/>
        <ns0:n v="4800"/>
        <ns0:n v="4813"/>
        <ns0:n v="4841"/>
        <ns0:n v="4843"/>
        <ns0:n v="4848"/>
        <ns0:n v="4853"/>
        <ns0:n v="4867"/>
        <ns0:n v="4868"/>
        <ns0:n v="4916"/>
        <ns0:n v="4959"/>
        <ns0:n v="4969"/>
        <ns0:n v="4977"/>
        <ns0:n v="4985"/>
        <ns0:n v="5024"/>
        <ns0:n v="5081"/>
        <ns0:n v="5093"/>
        <ns0:n v="5096"/>
        <ns0:n v="5119"/>
        <ns0:n v="5177"/>
        <ns0:n v="5198"/>
        <ns0:n v="5212"/>
        <ns0:n v="5258"/>
        <ns0:n v="5277"/>
        <ns0:n v="5319"/>
        <ns0:n v="5367"/>
        <ns0:n v="5384"/>
        <ns0:n v="5533"/>
        <ns0:n v="5564"/>
        <ns0:n v="5801"/>
        <ns0:n v="6122"/>
        <ns0:n v="6264"/>
        <ns0:n v="9926"/>
        <ns0:n v="10407"/>
        <ns0:n v="10467"/>
        <ns0:n v="10492"/>
        <ns0:n v="10554"/>
        <ns0:n v="10754"/>
        <ns0:n v="10803"/>
        <ns0:n v="10862"/>
        <ns0:n v="10989"/>
        <ns0:n v="11071"/>
        <ns0:n v="11137"/>
        <ns0:n v="11178"/>
        <ns0:n v="11194"/>
        <ns0:n v="11245"/>
        <ns0:n v="11308"/>
        <ns0:n v="11427"/>
        <ns0:n v="11448"/>
        <ns0:n v="11477"/>
        <ns0:n v="11519"/>
        <ns0:n v="11532"/>
        <ns0:n v="11582"/>
        <ns0:n v="11665"/>
        <ns0:n v="11858"/>
        <ns0:n v="11865"/>
        <ns0:n v="11884"/>
        <ns0:n v="11887"/>
        <ns0:n v="11916"/>
        <ns0:n v="11950"/>
        <ns0:n v="11954"/>
        <ns0:n v="12056"/>
        <ns0:n v="12072"/>
        <ns0:n v="12095"/>
        <ns0:n v="12164"/>
        <ns0:n v="12216"/>
        <ns0:n v="12244"/>
        <ns0:n v="12251"/>
        <ns0:n v="12255"/>
        <ns0:n v="12299"/>
        <ns0:n v="12360"/>
        <ns0:n v="12428"/>
        <ns0:n v="12486"/>
        <ns0:n v="12517"/>
        <ns0:n v="12518"/>
        <ns0:n v="12604"/>
        <ns0:n v="12643"/>
        <ns0:n v="12690"/>
        <ns0:n v="12697"/>
        <ns0:n v="12834"/>
        <ns0:n v="12864"/>
        <ns0:n v="12920"/>
        <ns0:n v="12943"/>
        <ns0:n v="12986"/>
        <ns0:n v="12987"/>
        <ns0:n v="13002"/>
        <ns0:n v="13026"/>
        <ns0:n v="13027"/>
        <ns0:n v="13106"/>
        <ns0:n v="13118"/>
        <ns0:n v="13167"/>
        <ns0:n v="13386"/>
        <ns0:n v="13432"/>
        <ns0:n v="13510"/>
        <ns0:n v="13512"/>
        <ns0:n v="13551"/>
        <ns0:n v="13566"/>
        <ns0:n v="13751"/>
        <ns0:n v="13873"/>
        <ns0:n v="13956"/>
        <ns0:n v="14163"/>
        <ns0:n v="14299"/>
        <ns0:n v="14315"/>
        <ns0:n v="14501"/>
        <ns0:n v="14624"/>
        <ns0:n v="14685"/>
        <ns0:n v="14738"/>
        <ns0:n v="14753"/>
        <ns0:n v="14992"/>
        <ns0:n v="15065"/>
        <ns0:n v="15102"/>
        <ns0:n v="15130"/>
        <ns0:n v="15169"/>
        <ns0:n v="15197"/>
        <ns0:n v="15223"/>
        <ns0:n v="15285"/>
        <ns0:n v="15289"/>
        <ns0:n v="15310"/>
        <ns0:n v="15320"/>
        <ns0:n v="15322"/>
        <ns0:n v="15345"/>
        <ns0:n v="15355"/>
        <ns0:n v="15570"/>
        <ns0:n v="15601"/>
        <ns0:n v="15804"/>
        <ns0:n v="15919"/>
        <ns0:n v="15962"/>
        <ns0:n v="16010"/>
        <ns0:n v="16052"/>
        <ns0:n v="16077"/>
        <ns0:n v="16486"/>
        <ns0:n v="16631"/>
        <ns0:n v="16675"/>
        <ns0:n v="16883"/>
        <ns0:n v="17420"/>
        <ns0:n v="17541"/>
        <ns0:n v="18325"/>
        <ns0:n v="18573"/>
        <ns0:n v="18617"/>
        <ns0:n v="18647"/>
        <ns0:n v="18711"/>
        <ns0:n v="18721"/>
        <ns0:n v="18812"/>
        <ns0:n v="18845"/>
        <ns0:n v="18857"/>
        <ns0:n v="18884"/>
        <ns0:n v="18890"/>
        <ns0:n v="18935"/>
        <ns0:n v="18964"/>
        <ns0:n v="19060"/>
        <ns0:n v="19338"/>
        <ns0:n v="19342"/>
        <ns0:n v="19358"/>
        <ns0:n v="19479"/>
        <ns0:n v="19556"/>
        <ns0:n v="19651"/>
        <ns0:n v="19673"/>
        <ns0:n v="19799"/>
        <ns0:n v="19869"/>
        <ns0:n v="19897"/>
        <ns0:n v="20155"/>
        <ns0:n v="20160"/>
        <ns0:n v="20235"/>
        <ns0:n v="20625"/>
        <ns0:n v="20635"/>
        <ns0:n v="20676"/>
        <ns0:n v="22469"/>
        <ns0:n v="22609"/>
        <ns0:n v="22641"/>
        <ns0:n v="23974"/>
      </ns0:sharedItems>
    </ns0:cacheField>
    <ns0:cacheField name="Понедельник ISO" numFmtId="14">
      <ns0:sharedItems count="6" containsString="0" containsNumber="1" containsSemiMixedTypes="0">
        <ns0:n v="43948"/>
        <ns0:n v="43955"/>
        <ns0:n v="43962"/>
        <ns0:n v="43969"/>
        <ns0:n v="43976"/>
        <ns0:n v="43983"/>
      </ns0:sharedItems>
    </ns0:cacheField>
    <ns0:cacheField name="Год ISO" numFmtId="0">
      <ns0:sharedItems count="1" containsString="0" containsNumber="1" containsSemiMixedTypes="0">
        <ns0:n v="2020"/>
      </ns0:sharedItems>
    </ns0:cacheField>
    <ns0:cacheField name="Неделя ISO" numFmtId="0">
      <ns0:sharedItems count="6" containsString="0" containsNumber="1" containsSemiMixedTypes="0">
        <ns0:n v="18"/>
        <ns0:n v="19"/>
        <ns0:n v="20"/>
        <ns0:n v="21"/>
        <ns0:n v="22"/>
        <ns0:n v="23"/>
      </ns0:sharedItems>
    </ns0:cacheField>
    <ns0:cacheField name="Ключ" numFmtId="0">
      <ns0:sharedItems count="504" containsString="1" containsNumber="0" containsSemiMixedTypes="0">
        <ns0:s v="43949|Волгоград"/>
        <ns0:s v="43949|Екатеринбург"/>
        <ns0:s v="43949|Казань"/>
        <ns0:s v="43949|Кемерово"/>
        <ns0:s v="43949|Краснодар"/>
        <ns0:s v="43949|Москва Восток"/>
        <ns0:s v="43949|Москва Запад"/>
        <ns0:s v="43949|Нижний Новгород"/>
        <ns0:s v="43949|Новосибирск"/>
        <ns0:s v="43949|Пермь"/>
        <ns0:s v="43949|Санкт-Петербург Север"/>
        <ns0:s v="43949|Санкт-Петербург Юг"/>
        <ns0:s v="43949|Тольятти"/>
        <ns0:s v="43950|Волгоград"/>
        <ns0:s v="43950|Екатеринбург"/>
        <ns0:s v="43950|Казань"/>
        <ns0:s v="43950|Кемерово"/>
        <ns0:s v="43950|Краснодар"/>
        <ns0:s v="43950|Москва Восток"/>
        <ns0:s v="43950|Москва Запад"/>
        <ns0:s v="43950|Нижний Новгород"/>
        <ns0:s v="43950|Новосибирск"/>
        <ns0:s v="43950|Пермь"/>
        <ns0:s v="43950|Санкт-Петербург Север"/>
        <ns0:s v="43950|Санкт-Петербург Юг"/>
        <ns0:s v="43950|Тольятти"/>
        <ns0:s v="43951|Волгоград"/>
        <ns0:s v="43951|Екатеринбург"/>
        <ns0:s v="43951|Казань"/>
        <ns0:s v="43951|Кемерово"/>
        <ns0:s v="43951|Краснодар"/>
        <ns0:s v="43951|Москва Восток"/>
        <ns0:s v="43951|Москва Запад"/>
        <ns0:s v="43951|Нижний Новгород"/>
        <ns0:s v="43951|Новосибирск"/>
        <ns0:s v="43951|Пермь"/>
        <ns0:s v="43951|Ростов-на-Дону"/>
        <ns0:s v="43951|Санкт-Петербург Север"/>
        <ns0:s v="43951|Санкт-Петербург Юг"/>
        <ns0:s v="43951|Тольятти"/>
        <ns0:s v="43952|Волгоград"/>
        <ns0:s v="43952|Екатеринбург"/>
        <ns0:s v="43952|Казань"/>
        <ns0:s v="43952|Кемерово"/>
        <ns0:s v="43952|Краснодар"/>
        <ns0:s v="43952|Москва Восток"/>
        <ns0:s v="43952|Москва Запад"/>
        <ns0:s v="43952|Нижний Новгород"/>
        <ns0:s v="43952|Новосибирск"/>
        <ns0:s v="43952|Пермь"/>
        <ns0:s v="43952|Ростов-на-Дону"/>
        <ns0:s v="43952|Санкт-Петербург Север"/>
        <ns0:s v="43952|Санкт-Петербург Юг"/>
        <ns0:s v="43952|Тольятти"/>
        <ns0:s v="43953|Волгоград"/>
        <ns0:s v="43953|Екатеринбург"/>
        <ns0:s v="43953|Казань"/>
        <ns0:s v="43953|Кемерово"/>
        <ns0:s v="43953|Краснодар"/>
        <ns0:s v="43953|Москва Восток"/>
        <ns0:s v="43953|Москва Запад"/>
        <ns0:s v="43953|Нижний Новгород"/>
        <ns0:s v="43953|Новосибирск"/>
        <ns0:s v="43953|Пермь"/>
        <ns0:s v="43953|Ростов-на-Дону"/>
        <ns0:s v="43953|Санкт-Петербург Север"/>
        <ns0:s v="43953|Санкт-Петербург Юг"/>
        <ns0:s v="43953|Тольятти"/>
        <ns0:s v="43954|Волгоград"/>
        <ns0:s v="43954|Екатеринбург"/>
        <ns0:s v="43954|Казань"/>
        <ns0:s v="43954|Кемерово"/>
        <ns0:s v="43954|Краснодар"/>
        <ns0:s v="43954|Москва Восток"/>
        <ns0:s v="43954|Москва Запад"/>
        <ns0:s v="43954|Нижний Новгород"/>
        <ns0:s v="43954|Новосибирск"/>
        <ns0:s v="43954|Пермь"/>
        <ns0:s v="43954|Ростов-на-Дону"/>
        <ns0:s v="43954|Санкт-Петербург Север"/>
        <ns0:s v="43954|Санкт-Петербург Юг"/>
        <ns0:s v="43954|Тольятти"/>
        <ns0:s v="43955|Волгоград"/>
        <ns0:s v="43955|Екатеринбург"/>
        <ns0:s v="43955|Казань"/>
        <ns0:s v="43955|Кемерово"/>
        <ns0:s v="43955|Краснодар"/>
        <ns0:s v="43955|Москва Восток"/>
        <ns0:s v="43955|Москва Запад"/>
        <ns0:s v="43955|Нижний Новгород"/>
        <ns0:s v="43955|Новосибирск"/>
        <ns0:s v="43955|Пермь"/>
        <ns0:s v="43955|Ростов-на-Дону"/>
        <ns0:s v="43955|Санкт-Петербург Север"/>
        <ns0:s v="43955|Санкт-Петербург Юг"/>
        <ns0:s v="43955|Тольятти"/>
        <ns0:s v="43956|Волгоград"/>
        <ns0:s v="43956|Екатеринбург"/>
        <ns0:s v="43956|Казань"/>
        <ns0:s v="43956|Кемерово"/>
        <ns0:s v="43956|Краснодар"/>
        <ns0:s v="43956|Москва Восток"/>
        <ns0:s v="43956|Москва Запад"/>
        <ns0:s v="43956|Нижний Новгород"/>
        <ns0:s v="43956|Новосибирск"/>
        <ns0:s v="43956|Пермь"/>
        <ns0:s v="43956|Ростов-на-Дону"/>
        <ns0:s v="43956|Санкт-Петербург Север"/>
        <ns0:s v="43956|Санкт-Петербург Юг"/>
        <ns0:s v="43956|Тольятти"/>
        <ns0:s v="43957|Волгоград"/>
        <ns0:s v="43957|Екатеринбург"/>
        <ns0:s v="43957|Казань"/>
        <ns0:s v="43957|Кемерово"/>
        <ns0:s v="43957|Краснодар"/>
        <ns0:s v="43957|Москва Восток"/>
        <ns0:s v="43957|Москва Запад"/>
        <ns0:s v="43957|Нижний Новгород"/>
        <ns0:s v="43957|Новосибирск"/>
        <ns0:s v="43957|Пермь"/>
        <ns0:s v="43957|Ростов-на-Дону"/>
        <ns0:s v="43957|Санкт-Петербург Север"/>
        <ns0:s v="43957|Санкт-Петербург Юг"/>
        <ns0:s v="43957|Тольятти"/>
        <ns0:s v="43958|Волгоград"/>
        <ns0:s v="43958|Екатеринбург"/>
        <ns0:s v="43958|Казань"/>
        <ns0:s v="43958|Кемерово"/>
        <ns0:s v="43958|Краснодар"/>
        <ns0:s v="43958|Москва Восток"/>
        <ns0:s v="43958|Москва Запад"/>
        <ns0:s v="43958|Нижний Новгород"/>
        <ns0:s v="43958|Новосибирск"/>
        <ns0:s v="43958|Пермь"/>
        <ns0:s v="43958|Ростов-на-Дону"/>
        <ns0:s v="43958|Санкт-Петербург Север"/>
        <ns0:s v="43958|Санкт-Петербург Юг"/>
        <ns0:s v="43958|Тольятти"/>
        <ns0:s v="43959|Волгоград"/>
        <ns0:s v="43959|Екатеринбург"/>
        <ns0:s v="43959|Казань"/>
        <ns0:s v="43959|Кемерово"/>
        <ns0:s v="43959|Краснодар"/>
        <ns0:s v="43959|Москва Восток"/>
        <ns0:s v="43959|Москва Запад"/>
        <ns0:s v="43959|Нижний Новгород"/>
        <ns0:s v="43959|Новосибирск"/>
        <ns0:s v="43959|Пермь"/>
        <ns0:s v="43959|Ростов-на-Дону"/>
        <ns0:s v="43959|Санкт-Петербург Север"/>
        <ns0:s v="43959|Санкт-Петербург Юг"/>
        <ns0:s v="43959|Тольятти"/>
        <ns0:s v="43960|Волгоград"/>
        <ns0:s v="43960|Екатеринбург"/>
        <ns0:s v="43960|Казань"/>
        <ns0:s v="43960|Кемерово"/>
        <ns0:s v="43960|Краснодар"/>
        <ns0:s v="43960|Москва Восток"/>
        <ns0:s v="43960|Москва Запад"/>
        <ns0:s v="43960|Нижний Новгород"/>
        <ns0:s v="43960|Новосибирск"/>
        <ns0:s v="43960|Пермь"/>
        <ns0:s v="43960|Ростов-на-Дону"/>
        <ns0:s v="43960|Санкт-Петербург Север"/>
        <ns0:s v="43960|Санкт-Петербург Юг"/>
        <ns0:s v="43960|Тольятти"/>
        <ns0:s v="43961|Волгоград"/>
        <ns0:s v="43961|Екатеринбург"/>
        <ns0:s v="43961|Казань"/>
        <ns0:s v="43961|Кемерово"/>
        <ns0:s v="43961|Краснодар"/>
        <ns0:s v="43961|Москва Восток"/>
        <ns0:s v="43961|Москва Запад"/>
        <ns0:s v="43961|Нижний Новгород"/>
        <ns0:s v="43961|Новосибирск"/>
        <ns0:s v="43961|Пермь"/>
        <ns0:s v="43961|Ростов-на-Дону"/>
        <ns0:s v="43961|Санкт-Петербург Север"/>
        <ns0:s v="43961|Санкт-Петербург Юг"/>
        <ns0:s v="43961|Тольятти"/>
        <ns0:s v="43962|Волгоград"/>
        <ns0:s v="43962|Екатеринбург"/>
        <ns0:s v="43962|Казань"/>
        <ns0:s v="43962|Кемерово"/>
        <ns0:s v="43962|Краснодар"/>
        <ns0:s v="43962|Москва Восток"/>
        <ns0:s v="43962|Москва Запад"/>
        <ns0:s v="43962|Нижний Новгород"/>
        <ns0:s v="43962|Новосибирск"/>
        <ns0:s v="43962|Пермь"/>
        <ns0:s v="43962|Ростов-на-Дону"/>
        <ns0:s v="43962|Санкт-Петербург Север"/>
        <ns0:s v="43962|Санкт-Петербург Юг"/>
        <ns0:s v="43962|Тольятти"/>
        <ns0:s v="43963|Волгоград"/>
        <ns0:s v="43963|Екатеринбург"/>
        <ns0:s v="43963|Казань"/>
        <ns0:s v="43963|Кемерово"/>
        <ns0:s v="43963|Краснодар"/>
        <ns0:s v="43963|Москва Восток"/>
        <ns0:s v="43963|Москва Запад"/>
        <ns0:s v="43963|Нижний Новгород"/>
        <ns0:s v="43963|Новосибирск"/>
        <ns0:s v="43963|Пермь"/>
        <ns0:s v="43963|Ростов-на-Дону"/>
        <ns0:s v="43963|Санкт-Петербург Север"/>
        <ns0:s v="43963|Санкт-Петербург Юг"/>
        <ns0:s v="43963|Тольятти"/>
        <ns0:s v="43964|Волгоград"/>
        <ns0:s v="43964|Екатеринбург"/>
        <ns0:s v="43964|Казань"/>
        <ns0:s v="43964|Кемерово"/>
        <ns0:s v="43964|Краснодар"/>
        <ns0:s v="43964|Москва Восток"/>
        <ns0:s v="43964|Москва Запад"/>
        <ns0:s v="43964|Нижний Новгород"/>
        <ns0:s v="43964|Новосибирск"/>
        <ns0:s v="43964|Пермь"/>
        <ns0:s v="43964|Ростов-на-Дону"/>
        <ns0:s v="43964|Санкт-Петербург Север"/>
        <ns0:s v="43964|Санкт-Петербург Юг"/>
        <ns0:s v="43964|Тольятти"/>
        <ns0:s v="43965|Волгоград"/>
        <ns0:s v="43965|Екатеринбург"/>
        <ns0:s v="43965|Казань"/>
        <ns0:s v="43965|Кемерово"/>
        <ns0:s v="43965|Краснодар"/>
        <ns0:s v="43965|Москва Восток"/>
        <ns0:s v="43965|Москва Запад"/>
        <ns0:s v="43965|Нижний Новгород"/>
        <ns0:s v="43965|Новосибирск"/>
        <ns0:s v="43965|Пермь"/>
        <ns0:s v="43965|Ростов-на-Дону"/>
        <ns0:s v="43965|Санкт-Петербург Север"/>
        <ns0:s v="43965|Санкт-Петербург Юг"/>
        <ns0:s v="43965|Тольятти"/>
        <ns0:s v="43966|Волгоград"/>
        <ns0:s v="43966|Екатеринбург"/>
        <ns0:s v="43966|Казань"/>
        <ns0:s v="43966|Кемерово"/>
        <ns0:s v="43966|Краснодар"/>
        <ns0:s v="43966|Москва Восток"/>
        <ns0:s v="43966|Москва Запад"/>
        <ns0:s v="43966|Нижний Новгород"/>
        <ns0:s v="43966|Новосибирск"/>
        <ns0:s v="43966|Пермь"/>
        <ns0:s v="43966|Ростов-на-Дону"/>
        <ns0:s v="43966|Санкт-Петербург Север"/>
        <ns0:s v="43966|Санкт-Петербург Юг"/>
        <ns0:s v="43966|Тольятти"/>
        <ns0:s v="43967|Волгоград"/>
        <ns0:s v="43967|Екатеринбург"/>
        <ns0:s v="43967|Казань"/>
        <ns0:s v="43967|Кемерово"/>
        <ns0:s v="43967|Краснодар"/>
        <ns0:s v="43967|Москва Восток"/>
        <ns0:s v="43967|Москва Запад"/>
        <ns0:s v="43967|Нижний Новгород"/>
        <ns0:s v="43967|Новосибирск"/>
        <ns0:s v="43967|Пермь"/>
        <ns0:s v="43967|Ростов-на-Дону"/>
        <ns0:s v="43967|Санкт-Петербург Север"/>
        <ns0:s v="43967|Санкт-Петербург Юг"/>
        <ns0:s v="43967|Тольятти"/>
        <ns0:s v="43968|Волгоград"/>
        <ns0:s v="43968|Екатеринбург"/>
        <ns0:s v="43968|Казань"/>
        <ns0:s v="43968|Кемерово"/>
        <ns0:s v="43968|Краснодар"/>
        <ns0:s v="43968|Москва Восток"/>
        <ns0:s v="43968|Москва Запад"/>
        <ns0:s v="43968|Нижний Новгород"/>
        <ns0:s v="43968|Новосибирск"/>
        <ns0:s v="43968|Пермь"/>
        <ns0:s v="43968|Ростов-на-Дону"/>
        <ns0:s v="43968|Санкт-Петербург Север"/>
        <ns0:s v="43968|Санкт-Петербург Юг"/>
        <ns0:s v="43968|Тольятти"/>
        <ns0:s v="43969|Волгоград"/>
        <ns0:s v="43969|Екатеринбург"/>
        <ns0:s v="43969|Казань"/>
        <ns0:s v="43969|Кемерово"/>
        <ns0:s v="43969|Краснодар"/>
        <ns0:s v="43969|Москва Восток"/>
        <ns0:s v="43969|Москва Запад"/>
        <ns0:s v="43969|Нижний Новгород"/>
        <ns0:s v="43969|Новосибирск"/>
        <ns0:s v="43969|Пермь"/>
        <ns0:s v="43969|Ростов-на-Дону"/>
        <ns0:s v="43969|Санкт-Петербург Север"/>
        <ns0:s v="43969|Санкт-Петербург Юг"/>
        <ns0:s v="43969|Тольятти"/>
        <ns0:s v="43970|Волгоград"/>
        <ns0:s v="43970|Екатеринбург"/>
        <ns0:s v="43970|Казань"/>
        <ns0:s v="43970|Кемерово"/>
        <ns0:s v="43970|Краснодар"/>
        <ns0:s v="43970|Москва Восток"/>
        <ns0:s v="43970|Москва Запад"/>
        <ns0:s v="43970|Нижний Новгород"/>
        <ns0:s v="43970|Новосибирск"/>
        <ns0:s v="43970|Пермь"/>
        <ns0:s v="43970|Ростов-на-Дону"/>
        <ns0:s v="43970|Санкт-Петербург Север"/>
        <ns0:s v="43970|Санкт-Петербург Юг"/>
        <ns0:s v="43970|Тольятти"/>
        <ns0:s v="43971|Волгоград"/>
        <ns0:s v="43971|Екатеринбург"/>
        <ns0:s v="43971|Казань"/>
        <ns0:s v="43971|Кемерово"/>
        <ns0:s v="43971|Краснодар"/>
        <ns0:s v="43971|Москва Восток"/>
        <ns0:s v="43971|Москва Запад"/>
        <ns0:s v="43971|Нижний Новгород"/>
        <ns0:s v="43971|Новосибирск"/>
        <ns0:s v="43971|Пермь"/>
        <ns0:s v="43971|Ростов-на-Дону"/>
        <ns0:s v="43971|Санкт-Петербург Север"/>
        <ns0:s v="43971|Санкт-Петербург Юг"/>
        <ns0:s v="43971|Тольятти"/>
        <ns0:s v="43972|Волгоград"/>
        <ns0:s v="43972|Екатеринбург"/>
        <ns0:s v="43972|Казань"/>
        <ns0:s v="43972|Кемерово"/>
        <ns0:s v="43972|Краснодар"/>
        <ns0:s v="43972|Москва Восток"/>
        <ns0:s v="43972|Москва Запад"/>
        <ns0:s v="43972|Нижний Новгород"/>
        <ns0:s v="43972|Новосибирск"/>
        <ns0:s v="43972|Пермь"/>
        <ns0:s v="43972|Ростов-на-Дону"/>
        <ns0:s v="43972|Санкт-Петербург Север"/>
        <ns0:s v="43972|Санкт-Петербург Юг"/>
        <ns0:s v="43972|Тольятти"/>
        <ns0:s v="43973|Волгоград"/>
        <ns0:s v="43973|Екатеринбург"/>
        <ns0:s v="43973|Казань"/>
        <ns0:s v="43973|Кемерово"/>
        <ns0:s v="43973|Краснодар"/>
        <ns0:s v="43973|Москва Восток"/>
        <ns0:s v="43973|Москва Запад"/>
        <ns0:s v="43973|Нижний Новгород"/>
        <ns0:s v="43973|Новосибирск"/>
        <ns0:s v="43973|Пермь"/>
        <ns0:s v="43973|Ростов-на-Дону"/>
        <ns0:s v="43973|Санкт-Петербург Север"/>
        <ns0:s v="43973|Санкт-Петербург Юг"/>
        <ns0:s v="43973|Тольятти"/>
        <ns0:s v="43974|Волгоград"/>
        <ns0:s v="43974|Екатеринбург"/>
        <ns0:s v="43974|Казань"/>
        <ns0:s v="43974|Кемерово"/>
        <ns0:s v="43974|Краснодар"/>
        <ns0:s v="43974|Москва Восток"/>
        <ns0:s v="43974|Москва Запад"/>
        <ns0:s v="43974|Нижний Новгород"/>
        <ns0:s v="43974|Новосибирск"/>
        <ns0:s v="43974|Пермь"/>
        <ns0:s v="43974|Ростов-на-Дону"/>
        <ns0:s v="43974|Санкт-Петербург Север"/>
        <ns0:s v="43974|Санкт-Петербург Юг"/>
        <ns0:s v="43974|Тольятти"/>
        <ns0:s v="43975|Волгоград"/>
        <ns0:s v="43975|Екатеринбург"/>
        <ns0:s v="43975|Казань"/>
        <ns0:s v="43975|Кемерово"/>
        <ns0:s v="43975|Краснодар"/>
        <ns0:s v="43975|Москва Восток"/>
        <ns0:s v="43975|Москва Запад"/>
        <ns0:s v="43975|Нижний Новгород"/>
        <ns0:s v="43975|Новосибирск"/>
        <ns0:s v="43975|Пермь"/>
        <ns0:s v="43975|Ростов-на-Дону"/>
        <ns0:s v="43975|Санкт-Петербург Север"/>
        <ns0:s v="43975|Санкт-Петербург Юг"/>
        <ns0:s v="43975|Тольятти"/>
        <ns0:s v="43976|Волгоград"/>
        <ns0:s v="43976|Екатеринбург"/>
        <ns0:s v="43976|Казань"/>
        <ns0:s v="43976|Кемерово"/>
        <ns0:s v="43976|Краснодар"/>
        <ns0:s v="43976|Москва Восток"/>
        <ns0:s v="43976|Москва Запад"/>
        <ns0:s v="43976|Нижний Новгород"/>
        <ns0:s v="43976|Новосибирск"/>
        <ns0:s v="43976|Пермь"/>
        <ns0:s v="43976|Ростов-на-Дону"/>
        <ns0:s v="43976|Санкт-Петербург Север"/>
        <ns0:s v="43976|Санкт-Петербург Юг"/>
        <ns0:s v="43976|Тольятти"/>
        <ns0:s v="43977|Волгоград"/>
        <ns0:s v="43977|Екатеринбург"/>
        <ns0:s v="43977|Казань"/>
        <ns0:s v="43977|Кемерово"/>
        <ns0:s v="43977|Краснодар"/>
        <ns0:s v="43977|Москва Восток"/>
        <ns0:s v="43977|Москва Запад"/>
        <ns0:s v="43977|Нижний Новгород"/>
        <ns0:s v="43977|Новосибирск"/>
        <ns0:s v="43977|Пермь"/>
        <ns0:s v="43977|Ростов-на-Дону"/>
        <ns0:s v="43977|Санкт-Петербург Север"/>
        <ns0:s v="43977|Санкт-Петербург Юг"/>
        <ns0:s v="43977|Тольятти"/>
        <ns0:s v="43977|Тюмень"/>
        <ns0:s v="43978|Волгоград"/>
        <ns0:s v="43978|Екатеринбург"/>
        <ns0:s v="43978|Казань"/>
        <ns0:s v="43978|Кемерово"/>
        <ns0:s v="43978|Краснодар"/>
        <ns0:s v="43978|Москва Восток"/>
        <ns0:s v="43978|Москва Запад"/>
        <ns0:s v="43978|Нижний Новгород"/>
        <ns0:s v="43978|Новосибирск"/>
        <ns0:s v="43978|Пермь"/>
        <ns0:s v="43978|Ростов-на-Дону"/>
        <ns0:s v="43978|Санкт-Петербург Север"/>
        <ns0:s v="43978|Санкт-Петербург Юг"/>
        <ns0:s v="43978|Тольятти"/>
        <ns0:s v="43978|Тюмень"/>
        <ns0:s v="43979|Волгоград"/>
        <ns0:s v="43979|Екатеринбург"/>
        <ns0:s v="43979|Казань"/>
        <ns0:s v="43979|Кемерово"/>
        <ns0:s v="43979|Краснодар"/>
        <ns0:s v="43979|Москва Восток"/>
        <ns0:s v="43979|Москва Запад"/>
        <ns0:s v="43979|Нижний Новгород"/>
        <ns0:s v="43979|Новосибирск"/>
        <ns0:s v="43979|Пермь"/>
        <ns0:s v="43979|Ростов-на-Дону"/>
        <ns0:s v="43979|Самара"/>
        <ns0:s v="43979|Санкт-Петербург Север"/>
        <ns0:s v="43979|Санкт-Петербург Юг"/>
        <ns0:s v="43979|Тольятти"/>
        <ns0:s v="43979|Тюмень"/>
        <ns0:s v="43980|Волгоград"/>
        <ns0:s v="43980|Екатеринбург"/>
        <ns0:s v="43980|Казань"/>
        <ns0:s v="43980|Кемерово"/>
        <ns0:s v="43980|Краснодар"/>
        <ns0:s v="43980|Москва Восток"/>
        <ns0:s v="43980|Москва Запад"/>
        <ns0:s v="43980|Нижний Новгород"/>
        <ns0:s v="43980|Новосибирск"/>
        <ns0:s v="43980|Пермь"/>
        <ns0:s v="43980|Ростов-на-Дону"/>
        <ns0:s v="43980|Самара"/>
        <ns0:s v="43980|Санкт-Петербург Север"/>
        <ns0:s v="43980|Санкт-Петербург Юг"/>
        <ns0:s v="43980|Тольятти"/>
        <ns0:s v="43980|Тюмень"/>
        <ns0:s v="43981|Волгоград"/>
        <ns0:s v="43981|Екатеринбург"/>
        <ns0:s v="43981|Казань"/>
        <ns0:s v="43981|Кемерово"/>
        <ns0:s v="43981|Краснодар"/>
        <ns0:s v="43981|Москва Восток"/>
        <ns0:s v="43981|Москва Запад"/>
        <ns0:s v="43981|Нижний Новгород"/>
        <ns0:s v="43981|Новосибирск"/>
        <ns0:s v="43981|Пермь"/>
        <ns0:s v="43981|Ростов-на-Дону"/>
        <ns0:s v="43981|Самара"/>
        <ns0:s v="43981|Санкт-Петербург Север"/>
        <ns0:s v="43981|Санкт-Петербург Юг"/>
        <ns0:s v="43981|Тольятти"/>
        <ns0:s v="43981|Тюмень"/>
        <ns0:s v="43982|Волгоград"/>
        <ns0:s v="43982|Екатеринбург"/>
        <ns0:s v="43982|Казань"/>
        <ns0:s v="43982|Кемерово"/>
        <ns0:s v="43982|Краснодар"/>
        <ns0:s v="43982|Москва Восток"/>
        <ns0:s v="43982|Москва Запад"/>
        <ns0:s v="43982|Нижний Новгород"/>
        <ns0:s v="43982|Новосибирск"/>
        <ns0:s v="43982|Пермь"/>
        <ns0:s v="43982|Ростов-на-Дону"/>
        <ns0:s v="43982|Самара"/>
        <ns0:s v="43982|Санкт-Петербург Север"/>
        <ns0:s v="43982|Санкт-Петербург Юг"/>
        <ns0:s v="43982|Тольятти"/>
        <ns0:s v="43982|Томск"/>
        <ns0:s v="43982|Тюмень"/>
        <ns0:s v="43982|Уфа"/>
        <ns0:s v="43983|Волгоград"/>
        <ns0:s v="43983|Екатеринбург"/>
        <ns0:s v="43983|Казань"/>
        <ns0:s v="43983|Кемерово"/>
        <ns0:s v="43983|Краснодар"/>
        <ns0:s v="43983|Москва Восток"/>
        <ns0:s v="43983|Москва Запад"/>
        <ns0:s v="43983|Нижний Новгород"/>
        <ns0:s v="43983|Новосибирск"/>
        <ns0:s v="43983|Пермь"/>
        <ns0:s v="43983|Ростов-на-Дону"/>
        <ns0:s v="43983|Самара"/>
        <ns0:s v="43983|Санкт-Петербург Север"/>
        <ns0:s v="43983|Санкт-Петербург Юг"/>
        <ns0:s v="43983|Тольятти"/>
        <ns0:s v="43983|Томск"/>
        <ns0:s v="43983|Тюмень"/>
        <ns0:s v="43983|Уфа"/>
      </ns0:sharedItems>
    </ns0:cacheField>
    <ns0:cacheField name="Совпадений ключа" numFmtId="0">
      <ns0:sharedItems count="1" containsString="0" containsNumber="1" containsSemiMixedTypes="0">
        <ns0:n v="1"/>
      </ns0:sharedItems>
    </ns0:cacheField>
  </ns0:cacheFields>
</ns0:pivotCacheDefinition>
</file>

<file path=xl/pivotCache/pivotCacheRecords1.xml><?xml version="1.0" encoding="utf-8"?>
<ns0:pivotCacheRecords xmlns:ns0="http://schemas.openxmlformats.org/spreadsheetml/2006/main" count="504">
  <ns0:r>
    <ns0:x v="0"/>
    <ns0:x v="0"/>
    <ns0:x v="319"/>
    <ns0:x v="319"/>
    <ns0:x v="318"/>
    <ns0:x v="112"/>
    <ns0:x v="14"/>
    <ns0:x v="299"/>
    <ns0:x v="301"/>
    <ns0:x v="0"/>
    <ns0:x v="0"/>
    <ns0:x v="0"/>
    <ns0:x v="0"/>
    <ns0:x v="0"/>
  </ns0:r>
  <ns0:r>
    <ns0:x v="0"/>
    <ns0:x v="1"/>
    <ns0:x v="344"/>
    <ns0:x v="348"/>
    <ns0:x v="345"/>
    <ns0:x v="154"/>
    <ns0:x v="13"/>
    <ns0:x v="324"/>
    <ns0:x v="329"/>
    <ns0:x v="0"/>
    <ns0:x v="0"/>
    <ns0:x v="0"/>
    <ns0:x v="1"/>
    <ns0:x v="0"/>
  </ns0:r>
  <ns0:r>
    <ns0:x v="0"/>
    <ns0:x v="2"/>
    <ns0:x v="235"/>
    <ns0:x v="228"/>
    <ns0:x v="221"/>
    <ns0:x v="141"/>
    <ns0:x v="8"/>
    <ns0:x v="200"/>
    <ns0:x v="203"/>
    <ns0:x v="0"/>
    <ns0:x v="0"/>
    <ns0:x v="0"/>
    <ns0:x v="2"/>
    <ns0:x v="0"/>
  </ns0:r>
  <ns0:r>
    <ns0:x v="0"/>
    <ns0:x v="3"/>
    <ns0:x v="181"/>
    <ns0:x v="183"/>
    <ns0:x v="184"/>
    <ns0:x v="161"/>
    <ns0:x v="7"/>
    <ns0:x v="157"/>
    <ns0:x v="160"/>
    <ns0:x v="0"/>
    <ns0:x v="0"/>
    <ns0:x v="0"/>
    <ns0:x v="3"/>
    <ns0:x v="0"/>
  </ns0:r>
  <ns0:r>
    <ns0:x v="0"/>
    <ns0:x v="4"/>
    <ns0:x v="163"/>
    <ns0:x v="170"/>
    <ns0:x v="170"/>
    <ns0:x v="118"/>
    <ns0:x v="7"/>
    <ns0:x v="149"/>
    <ns0:x v="152"/>
    <ns0:x v="0"/>
    <ns0:x v="0"/>
    <ns0:x v="0"/>
    <ns0:x v="4"/>
    <ns0:x v="0"/>
  </ns0:r>
  <ns0:r>
    <ns0:x v="0"/>
    <ns0:x v="5"/>
    <ns0:x v="380"/>
    <ns0:x v="385"/>
    <ns0:x v="385"/>
    <ns0:x v="332"/>
    <ns0:x v="16"/>
    <ns0:x v="358"/>
    <ns0:x v="363"/>
    <ns0:x v="0"/>
    <ns0:x v="0"/>
    <ns0:x v="0"/>
    <ns0:x v="5"/>
    <ns0:x v="0"/>
  </ns0:r>
  <ns0:r>
    <ns0:x v="0"/>
    <ns0:x v="6"/>
    <ns0:x v="390"/>
    <ns0:x v="396"/>
    <ns0:x v="393"/>
    <ns0:x v="319"/>
    <ns0:x v="17"/>
    <ns0:x v="370"/>
    <ns0:x v="374"/>
    <ns0:x v="0"/>
    <ns0:x v="0"/>
    <ns0:x v="0"/>
    <ns0:x v="6"/>
    <ns0:x v="0"/>
  </ns0:r>
  <ns0:r>
    <ns0:x v="0"/>
    <ns0:x v="7"/>
    <ns0:x v="155"/>
    <ns0:x v="157"/>
    <ns0:x v="159"/>
    <ns0:x v="148"/>
    <ns0:x v="6"/>
    <ns0:x v="145"/>
    <ns0:x v="145"/>
    <ns0:x v="0"/>
    <ns0:x v="0"/>
    <ns0:x v="0"/>
    <ns0:x v="7"/>
    <ns0:x v="0"/>
  </ns0:r>
  <ns0:r>
    <ns0:x v="0"/>
    <ns0:x v="8"/>
    <ns0:x v="69"/>
    <ns0:x v="56"/>
    <ns0:x v="62"/>
    <ns0:x v="51"/>
    <ns0:x v="4"/>
    <ns0:x v="44"/>
    <ns0:x v="42"/>
    <ns0:x v="0"/>
    <ns0:x v="0"/>
    <ns0:x v="0"/>
    <ns0:x v="8"/>
    <ns0:x v="0"/>
  </ns0:r>
  <ns0:r>
    <ns0:x v="0"/>
    <ns0:x v="9"/>
    <ns0:x v="87"/>
    <ns0:x v="75"/>
    <ns0:x v="78"/>
    <ns0:x v="210"/>
    <ns0:x v="4"/>
    <ns0:x v="74"/>
    <ns0:x v="75"/>
    <ns0:x v="0"/>
    <ns0:x v="0"/>
    <ns0:x v="0"/>
    <ns0:x v="9"/>
    <ns0:x v="0"/>
  </ns0:r>
  <ns0:r>
    <ns0:x v="0"/>
    <ns0:x v="12"/>
    <ns0:x v="488"/>
    <ns0:x v="493"/>
    <ns0:x v="492"/>
    <ns0:x v="461"/>
    <ns0:x v="21"/>
    <ns0:x v="464"/>
    <ns0:x v="465"/>
    <ns0:x v="0"/>
    <ns0:x v="0"/>
    <ns0:x v="0"/>
    <ns0:x v="10"/>
    <ns0:x v="0"/>
  </ns0:r>
  <ns0:r>
    <ns0:x v="0"/>
    <ns0:x v="13"/>
    <ns0:x v="449"/>
    <ns0:x v="452"/>
    <ns0:x v="454"/>
    <ns0:x v="468"/>
    <ns0:x v="22"/>
    <ns0:x v="428"/>
    <ns0:x v="430"/>
    <ns0:x v="0"/>
    <ns0:x v="0"/>
    <ns0:x v="0"/>
    <ns0:x v="11"/>
    <ns0:x v="0"/>
  </ns0:r>
  <ns0:r>
    <ns0:x v="0"/>
    <ns0:x v="14"/>
    <ns0:x v="64"/>
    <ns0:x v="39"/>
    <ns0:x v="68"/>
    <ns0:x v="18"/>
    <ns0:x v="3"/>
    <ns0:x v="35"/>
    <ns0:x v="35"/>
    <ns0:x v="0"/>
    <ns0:x v="0"/>
    <ns0:x v="0"/>
    <ns0:x v="12"/>
    <ns0:x v="0"/>
  </ns0:r>
  <ns0:r>
    <ns0:x v="1"/>
    <ns0:x v="0"/>
    <ns0:x v="322"/>
    <ns0:x v="326"/>
    <ns0:x v="322"/>
    <ns0:x v="103"/>
    <ns0:x v="14"/>
    <ns0:x v="300"/>
    <ns0:x v="302"/>
    <ns0:x v="0"/>
    <ns0:x v="0"/>
    <ns0:x v="0"/>
    <ns0:x v="13"/>
    <ns0:x v="0"/>
  </ns0:r>
  <ns0:r>
    <ns0:x v="1"/>
    <ns0:x v="1"/>
    <ns0:x v="341"/>
    <ns0:x v="350"/>
    <ns0:x v="347"/>
    <ns0:x v="208"/>
    <ns0:x v="13"/>
    <ns0:x v="320"/>
    <ns0:x v="325"/>
    <ns0:x v="0"/>
    <ns0:x v="0"/>
    <ns0:x v="0"/>
    <ns0:x v="14"/>
    <ns0:x v="0"/>
  </ns0:r>
  <ns0:r>
    <ns0:x v="1"/>
    <ns0:x v="2"/>
    <ns0:x v="200"/>
    <ns0:x v="205"/>
    <ns0:x v="200"/>
    <ns0:x v="268"/>
    <ns0:x v="8"/>
    <ns0:x v="175"/>
    <ns0:x v="177"/>
    <ns0:x v="0"/>
    <ns0:x v="0"/>
    <ns0:x v="0"/>
    <ns0:x v="15"/>
    <ns0:x v="0"/>
  </ns0:r>
  <ns0:r>
    <ns0:x v="1"/>
    <ns0:x v="3"/>
    <ns0:x v="203"/>
    <ns0:x v="204"/>
    <ns0:x v="209"/>
    <ns0:x v="136"/>
    <ns0:x v="7"/>
    <ns0:x v="176"/>
    <ns0:x v="178"/>
    <ns0:x v="0"/>
    <ns0:x v="0"/>
    <ns0:x v="0"/>
    <ns0:x v="16"/>
    <ns0:x v="0"/>
  </ns0:r>
  <ns0:r>
    <ns0:x v="1"/>
    <ns0:x v="4"/>
    <ns0:x v="172"/>
    <ns0:x v="174"/>
    <ns0:x v="174"/>
    <ns0:x v="133"/>
    <ns0:x v="7"/>
    <ns0:x v="163"/>
    <ns0:x v="166"/>
    <ns0:x v="0"/>
    <ns0:x v="0"/>
    <ns0:x v="0"/>
    <ns0:x v="17"/>
    <ns0:x v="0"/>
  </ns0:r>
  <ns0:r>
    <ns0:x v="1"/>
    <ns0:x v="5"/>
    <ns0:x v="387"/>
    <ns0:x v="392"/>
    <ns0:x v="391"/>
    <ns0:x v="356"/>
    <ns0:x v="16"/>
    <ns0:x v="364"/>
    <ns0:x v="368"/>
    <ns0:x v="0"/>
    <ns0:x v="0"/>
    <ns0:x v="0"/>
    <ns0:x v="18"/>
    <ns0:x v="0"/>
  </ns0:r>
  <ns0:r>
    <ns0:x v="1"/>
    <ns0:x v="6"/>
    <ns0:x v="393"/>
    <ns0:x v="400"/>
    <ns0:x v="397"/>
    <ns0:x v="340"/>
    <ns0:x v="17"/>
    <ns0:x v="377"/>
    <ns0:x v="379"/>
    <ns0:x v="0"/>
    <ns0:x v="0"/>
    <ns0:x v="0"/>
    <ns0:x v="19"/>
    <ns0:x v="0"/>
  </ns0:r>
  <ns0:r>
    <ns0:x v="1"/>
    <ns0:x v="7"/>
    <ns0:x v="173"/>
    <ns0:x v="181"/>
    <ns0:x v="186"/>
    <ns0:x v="183"/>
    <ns0:x v="7"/>
    <ns0:x v="156"/>
    <ns0:x v="153"/>
    <ns0:x v="0"/>
    <ns0:x v="0"/>
    <ns0:x v="0"/>
    <ns0:x v="20"/>
    <ns0:x v="0"/>
  </ns0:r>
  <ns0:r>
    <ns0:x v="1"/>
    <ns0:x v="8"/>
    <ns0:x v="59"/>
    <ns0:x v="52"/>
    <ns0:x v="58"/>
    <ns0:x v="77"/>
    <ns0:x v="4"/>
    <ns0:x v="52"/>
    <ns0:x v="52"/>
    <ns0:x v="0"/>
    <ns0:x v="0"/>
    <ns0:x v="0"/>
    <ns0:x v="21"/>
    <ns0:x v="0"/>
  </ns0:r>
  <ns0:r>
    <ns0:x v="1"/>
    <ns0:x v="9"/>
    <ns0:x v="80"/>
    <ns0:x v="81"/>
    <ns0:x v="84"/>
    <ns0:x v="239"/>
    <ns0:x v="4"/>
    <ns0:x v="76"/>
    <ns0:x v="77"/>
    <ns0:x v="0"/>
    <ns0:x v="0"/>
    <ns0:x v="0"/>
    <ns0:x v="22"/>
    <ns0:x v="0"/>
  </ns0:r>
  <ns0:r>
    <ns0:x v="1"/>
    <ns0:x v="12"/>
    <ns0:x v="491"/>
    <ns0:x v="495"/>
    <ns0:x v="495"/>
    <ns0:x v="469"/>
    <ns0:x v="21"/>
    <ns0:x v="473"/>
    <ns0:x v="473"/>
    <ns0:x v="0"/>
    <ns0:x v="0"/>
    <ns0:x v="0"/>
    <ns0:x v="23"/>
    <ns0:x v="0"/>
  </ns0:r>
  <ns0:r>
    <ns0:x v="1"/>
    <ns0:x v="13"/>
    <ns0:x v="458"/>
    <ns0:x v="460"/>
    <ns0:x v="460"/>
    <ns0:x v="474"/>
    <ns0:x v="22"/>
    <ns0:x v="439"/>
    <ns0:x v="441"/>
    <ns0:x v="0"/>
    <ns0:x v="0"/>
    <ns0:x v="0"/>
    <ns0:x v="24"/>
    <ns0:x v="0"/>
  </ns0:r>
  <ns0:r>
    <ns0:x v="1"/>
    <ns0:x v="14"/>
    <ns0:x v="37"/>
    <ns0:x v="27"/>
    <ns0:x v="39"/>
    <ns0:x v="20"/>
    <ns0:x v="3"/>
    <ns0:x v="26"/>
    <ns0:x v="26"/>
    <ns0:x v="0"/>
    <ns0:x v="0"/>
    <ns0:x v="0"/>
    <ns0:x v="25"/>
    <ns0:x v="0"/>
  </ns0:r>
  <ns0:r>
    <ns0:x v="2"/>
    <ns0:x v="0"/>
    <ns0:x v="336"/>
    <ns0:x v="339"/>
    <ns0:x v="339"/>
    <ns0:x v="36"/>
    <ns0:x v="14"/>
    <ns0:x v="307"/>
    <ns0:x v="308"/>
    <ns0:x v="0"/>
    <ns0:x v="0"/>
    <ns0:x v="0"/>
    <ns0:x v="26"/>
    <ns0:x v="0"/>
  </ns0:r>
  <ns0:r>
    <ns0:x v="2"/>
    <ns0:x v="1"/>
    <ns0:x v="332"/>
    <ns0:x v="345"/>
    <ns0:x v="344"/>
    <ns0:x v="6"/>
    <ns0:x v="13"/>
    <ns0:x v="306"/>
    <ns0:x v="310"/>
    <ns0:x v="0"/>
    <ns0:x v="0"/>
    <ns0:x v="0"/>
    <ns0:x v="27"/>
    <ns0:x v="0"/>
  </ns0:r>
  <ns0:r>
    <ns0:x v="2"/>
    <ns0:x v="2"/>
    <ns0:x v="219"/>
    <ns0:x v="225"/>
    <ns0:x v="217"/>
    <ns0:x v="28"/>
    <ns0:x v="9"/>
    <ns0:x v="186"/>
    <ns0:x v="186"/>
    <ns0:x v="0"/>
    <ns0:x v="0"/>
    <ns0:x v="0"/>
    <ns0:x v="28"/>
    <ns0:x v="0"/>
  </ns0:r>
  <ns0:r>
    <ns0:x v="2"/>
    <ns0:x v="3"/>
    <ns0:x v="211"/>
    <ns0:x v="219"/>
    <ns0:x v="220"/>
    <ns0:x v="269"/>
    <ns0:x v="8"/>
    <ns0:x v="181"/>
    <ns0:x v="181"/>
    <ns0:x v="0"/>
    <ns0:x v="0"/>
    <ns0:x v="0"/>
    <ns0:x v="29"/>
    <ns0:x v="0"/>
  </ns0:r>
  <ns0:r>
    <ns0:x v="2"/>
    <ns0:x v="4"/>
    <ns0:x v="189"/>
    <ns0:x v="201"/>
    <ns0:x v="198"/>
    <ns0:x v="10"/>
    <ns0:x v="8"/>
    <ns0:x v="173"/>
    <ns0:x v="176"/>
    <ns0:x v="0"/>
    <ns0:x v="0"/>
    <ns0:x v="0"/>
    <ns0:x v="30"/>
    <ns0:x v="0"/>
  </ns0:r>
  <ns0:r>
    <ns0:x v="2"/>
    <ns0:x v="5"/>
    <ns0:x v="391"/>
    <ns0:x v="401"/>
    <ns0:x v="398"/>
    <ns0:x v="99"/>
    <ns0:x v="16"/>
    <ns0:x v="367"/>
    <ns0:x v="367"/>
    <ns0:x v="0"/>
    <ns0:x v="0"/>
    <ns0:x v="0"/>
    <ns0:x v="31"/>
    <ns0:x v="0"/>
  </ns0:r>
  <ns0:r>
    <ns0:x v="2"/>
    <ns0:x v="6"/>
    <ns0:x v="398"/>
    <ns0:x v="413"/>
    <ns0:x v="408"/>
    <ns0:x v="101"/>
    <ns0:x v="17"/>
    <ns0:x v="379"/>
    <ns0:x v="380"/>
    <ns0:x v="0"/>
    <ns0:x v="0"/>
    <ns0:x v="0"/>
    <ns0:x v="32"/>
    <ns0:x v="0"/>
  </ns0:r>
  <ns0:r>
    <ns0:x v="2"/>
    <ns0:x v="7"/>
    <ns0:x v="159"/>
    <ns0:x v="168"/>
    <ns0:x v="169"/>
    <ns0:x v="67"/>
    <ns0:x v="8"/>
    <ns0:x v="148"/>
    <ns0:x v="147"/>
    <ns0:x v="0"/>
    <ns0:x v="0"/>
    <ns0:x v="0"/>
    <ns0:x v="33"/>
    <ns0:x v="0"/>
  </ns0:r>
  <ns0:r>
    <ns0:x v="2"/>
    <ns0:x v="8"/>
    <ns0:x v="54"/>
    <ns0:x v="57"/>
    <ns0:x v="56"/>
    <ns0:x v="3"/>
    <ns0:x v="4"/>
    <ns0:x v="48"/>
    <ns0:x v="44"/>
    <ns0:x v="0"/>
    <ns0:x v="0"/>
    <ns0:x v="0"/>
    <ns0:x v="34"/>
    <ns0:x v="0"/>
  </ns0:r>
  <ns0:r>
    <ns0:x v="2"/>
    <ns0:x v="9"/>
    <ns0:x v="75"/>
    <ns0:x v="76"/>
    <ns0:x v="74"/>
    <ns0:x v="22"/>
    <ns0:x v="4"/>
    <ns0:x v="77"/>
    <ns0:x v="76"/>
    <ns0:x v="0"/>
    <ns0:x v="0"/>
    <ns0:x v="0"/>
    <ns0:x v="35"/>
    <ns0:x v="0"/>
  </ns0:r>
  <ns0:r>
    <ns0:x v="2"/>
    <ns0:x v="10"/>
    <ns0:x v="0"/>
    <ns0:x v="1"/>
    <ns0:x v="0"/>
    <ns0:x v="1"/>
    <ns0:x v="4"/>
    <ns0:x v="2"/>
    <ns0:x v="2"/>
    <ns0:x v="0"/>
    <ns0:x v="0"/>
    <ns0:x v="0"/>
    <ns0:x v="36"/>
    <ns0:x v="0"/>
  </ns0:r>
  <ns0:r>
    <ns0:x v="2"/>
    <ns0:x v="12"/>
    <ns0:x v="494"/>
    <ns0:x v="499"/>
    <ns0:x v="498"/>
    <ns0:x v="395"/>
    <ns0:x v="21"/>
    <ns0:x v="475"/>
    <ns0:x v="475"/>
    <ns0:x v="0"/>
    <ns0:x v="0"/>
    <ns0:x v="0"/>
    <ns0:x v="37"/>
    <ns0:x v="0"/>
  </ns0:r>
  <ns0:r>
    <ns0:x v="2"/>
    <ns0:x v="13"/>
    <ns0:x v="461"/>
    <ns0:x v="465"/>
    <ns0:x v="463"/>
    <ns0:x v="330"/>
    <ns0:x v="23"/>
    <ns0:x v="443"/>
    <ns0:x v="443"/>
    <ns0:x v="0"/>
    <ns0:x v="0"/>
    <ns0:x v="0"/>
    <ns0:x v="38"/>
    <ns0:x v="0"/>
  </ns0:r>
  <ns0:r>
    <ns0:x v="2"/>
    <ns0:x v="14"/>
    <ns0:x v="20"/>
    <ns0:x v="19"/>
    <ns0:x v="24"/>
    <ns0:x v="4"/>
    <ns0:x v="3"/>
    <ns0:x v="13"/>
    <ns0:x v="14"/>
    <ns0:x v="0"/>
    <ns0:x v="0"/>
    <ns0:x v="0"/>
    <ns0:x v="39"/>
    <ns0:x v="0"/>
  </ns0:r>
  <ns0:r>
    <ns0:x v="3"/>
    <ns0:x v="0"/>
    <ns0:x v="345"/>
    <ns0:x v="346"/>
    <ns0:x v="349"/>
    <ns0:x v="259"/>
    <ns0:x v="14"/>
    <ns0:x v="323"/>
    <ns0:x v="321"/>
    <ns0:x v="0"/>
    <ns0:x v="0"/>
    <ns0:x v="0"/>
    <ns0:x v="40"/>
    <ns0:x v="0"/>
  </ns0:r>
  <ns0:r>
    <ns0:x v="3"/>
    <ns0:x v="1"/>
    <ns0:x v="356"/>
    <ns0:x v="361"/>
    <ns0:x v="361"/>
    <ns0:x v="237"/>
    <ns0:x v="13"/>
    <ns0:x v="337"/>
    <ns0:x v="340"/>
    <ns0:x v="0"/>
    <ns0:x v="0"/>
    <ns0:x v="0"/>
    <ns0:x v="41"/>
    <ns0:x v="0"/>
  </ns0:r>
  <ns0:r>
    <ns0:x v="3"/>
    <ns0:x v="2"/>
    <ns0:x v="290"/>
    <ns0:x v="292"/>
    <ns0:x v="292"/>
    <ns0:x v="385"/>
    <ns0:x v="9"/>
    <ns0:x v="265"/>
    <ns0:x v="264"/>
    <ns0:x v="0"/>
    <ns0:x v="0"/>
    <ns0:x v="0"/>
    <ns0:x v="42"/>
    <ns0:x v="0"/>
  </ns0:r>
  <ns0:r>
    <ns0:x v="3"/>
    <ns0:x v="3"/>
    <ns0:x v="240"/>
    <ns0:x v="250"/>
    <ns0:x v="248"/>
    <ns0:x v="299"/>
    <ns0:x v="7"/>
    <ns0:x v="196"/>
    <ns0:x v="193"/>
    <ns0:x v="0"/>
    <ns0:x v="0"/>
    <ns0:x v="0"/>
    <ns0:x v="43"/>
    <ns0:x v="0"/>
  </ns0:r>
  <ns0:r>
    <ns0:x v="3"/>
    <ns0:x v="4"/>
    <ns0:x v="256"/>
    <ns0:x v="258"/>
    <ns0:x v="258"/>
    <ns0:x v="79"/>
    <ns0:x v="8"/>
    <ns0:x v="222"/>
    <ns0:x v="223"/>
    <ns0:x v="0"/>
    <ns0:x v="0"/>
    <ns0:x v="0"/>
    <ns0:x v="44"/>
    <ns0:x v="0"/>
  </ns0:r>
  <ns0:r>
    <ns0:x v="3"/>
    <ns0:x v="5"/>
    <ns0:x v="414"/>
    <ns0:x v="423"/>
    <ns0:x v="421"/>
    <ns0:x v="414"/>
    <ns0:x v="16"/>
    <ns0:x v="400"/>
    <ns0:x v="398"/>
    <ns0:x v="0"/>
    <ns0:x v="0"/>
    <ns0:x v="0"/>
    <ns0:x v="45"/>
    <ns0:x v="0"/>
  </ns0:r>
  <ns0:r>
    <ns0:x v="3"/>
    <ns0:x v="6"/>
    <ns0:x v="425"/>
    <ns0:x v="432"/>
    <ns0:x v="430"/>
    <ns0:x v="410"/>
    <ns0:x v="17"/>
    <ns0:x v="409"/>
    <ns0:x v="410"/>
    <ns0:x v="0"/>
    <ns0:x v="0"/>
    <ns0:x v="0"/>
    <ns0:x v="46"/>
    <ns0:x v="0"/>
  </ns0:r>
  <ns0:r>
    <ns0:x v="3"/>
    <ns0:x v="7"/>
    <ns0:x v="171"/>
    <ns0:x v="178"/>
    <ns0:x v="182"/>
    <ns0:x v="344"/>
    <ns0:x v="8"/>
    <ns0:x v="147"/>
    <ns0:x v="146"/>
    <ns0:x v="0"/>
    <ns0:x v="0"/>
    <ns0:x v="0"/>
    <ns0:x v="47"/>
    <ns0:x v="0"/>
  </ns0:r>
  <ns0:r>
    <ns0:x v="3"/>
    <ns0:x v="8"/>
    <ns0:x v="90"/>
    <ns0:x v="89"/>
    <ns0:x v="95"/>
    <ns0:x v="363"/>
    <ns0:x v="4"/>
    <ns0:x v="62"/>
    <ns0:x v="60"/>
    <ns0:x v="0"/>
    <ns0:x v="0"/>
    <ns0:x v="0"/>
    <ns0:x v="48"/>
    <ns0:x v="0"/>
  </ns0:r>
  <ns0:r>
    <ns0:x v="3"/>
    <ns0:x v="9"/>
    <ns0:x v="135"/>
    <ns0:x v="136"/>
    <ns0:x v="135"/>
    <ns0:x v="339"/>
    <ns0:x v="4"/>
    <ns0:x v="117"/>
    <ns0:x v="118"/>
    <ns0:x v="0"/>
    <ns0:x v="0"/>
    <ns0:x v="0"/>
    <ns0:x v="49"/>
    <ns0:x v="0"/>
  </ns0:r>
  <ns0:r>
    <ns0:x v="3"/>
    <ns0:x v="10"/>
    <ns0:x v="5"/>
    <ns0:x v="6"/>
    <ns0:x v="5"/>
    <ns0:x v="13"/>
    <ns0:x v="4"/>
    <ns0:x v="4"/>
    <ns0:x v="5"/>
    <ns0:x v="0"/>
    <ns0:x v="0"/>
    <ns0:x v="0"/>
    <ns0:x v="50"/>
    <ns0:x v="0"/>
  </ns0:r>
  <ns0:r>
    <ns0:x v="3"/>
    <ns0:x v="12"/>
    <ns0:x v="485"/>
    <ns0:x v="494"/>
    <ns0:x v="491"/>
    <ns0:x v="491"/>
    <ns0:x v="21"/>
    <ns0:x v="460"/>
    <ns0:x v="455"/>
    <ns0:x v="0"/>
    <ns0:x v="0"/>
    <ns0:x v="0"/>
    <ns0:x v="51"/>
    <ns0:x v="0"/>
  </ns0:r>
  <ns0:r>
    <ns0:x v="3"/>
    <ns0:x v="13"/>
    <ns0:x v="456"/>
    <ns0:x v="461"/>
    <ns0:x v="461"/>
    <ns0:x v="494"/>
    <ns0:x v="23"/>
    <ns0:x v="433"/>
    <ns0:x v="434"/>
    <ns0:x v="0"/>
    <ns0:x v="0"/>
    <ns0:x v="0"/>
    <ns0:x v="52"/>
    <ns0:x v="0"/>
  </ns0:r>
  <ns0:r>
    <ns0:x v="3"/>
    <ns0:x v="14"/>
    <ns0:x v="48"/>
    <ns0:x v="41"/>
    <ns0:x v="51"/>
    <ns0:x v="110"/>
    <ns0:x v="3"/>
    <ns0:x v="31"/>
    <ns0:x v="31"/>
    <ns0:x v="0"/>
    <ns0:x v="0"/>
    <ns0:x v="0"/>
    <ns0:x v="53"/>
    <ns0:x v="0"/>
  </ns0:r>
  <ns0:r>
    <ns0:x v="4"/>
    <ns0:x v="0"/>
    <ns0:x v="289"/>
    <ns0:x v="291"/>
    <ns0:x v="287"/>
    <ns0:x v="221"/>
    <ns0:x v="14"/>
    <ns0:x v="272"/>
    <ns0:x v="274"/>
    <ns0:x v="0"/>
    <ns0:x v="0"/>
    <ns0:x v="0"/>
    <ns0:x v="54"/>
    <ns0:x v="0"/>
  </ns0:r>
  <ns0:r>
    <ns0:x v="4"/>
    <ns0:x v="1"/>
    <ns0:x v="294"/>
    <ns0:x v="300"/>
    <ns0:x v="298"/>
    <ns0:x v="308"/>
    <ns0:x v="13"/>
    <ns0:x v="274"/>
    <ns0:x v="275"/>
    <ns0:x v="0"/>
    <ns0:x v="0"/>
    <ns0:x v="0"/>
    <ns0:x v="55"/>
    <ns0:x v="0"/>
  </ns0:r>
  <ns0:r>
    <ns0:x v="4"/>
    <ns0:x v="2"/>
    <ns0:x v="179"/>
    <ns0:x v="191"/>
    <ns0:x v="181"/>
    <ns0:x v="243"/>
    <ns0:x v="9"/>
    <ns0:x v="165"/>
    <ns0:x v="168"/>
    <ns0:x v="0"/>
    <ns0:x v="0"/>
    <ns0:x v="0"/>
    <ns0:x v="56"/>
    <ns0:x v="0"/>
  </ns0:r>
  <ns0:r>
    <ns0:x v="4"/>
    <ns0:x v="3"/>
    <ns0:x v="199"/>
    <ns0:x v="212"/>
    <ns0:x v="212"/>
    <ns0:x v="238"/>
    <ns0:x v="7"/>
    <ns0:x v="180"/>
    <ns0:x v="179"/>
    <ns0:x v="0"/>
    <ns0:x v="0"/>
    <ns0:x v="0"/>
    <ns0:x v="57"/>
    <ns0:x v="0"/>
  </ns0:r>
  <ns0:r>
    <ns0:x v="4"/>
    <ns0:x v="4"/>
    <ns0:x v="146"/>
    <ns0:x v="149"/>
    <ns0:x v="149"/>
    <ns0:x v="109"/>
    <ns0:x v="8"/>
    <ns0:x v="136"/>
    <ns0:x v="137"/>
    <ns0:x v="0"/>
    <ns0:x v="0"/>
    <ns0:x v="0"/>
    <ns0:x v="58"/>
    <ns0:x v="0"/>
  </ns0:r>
  <ns0:r>
    <ns0:x v="4"/>
    <ns0:x v="5"/>
    <ns0:x v="364"/>
    <ns0:x v="368"/>
    <ns0:x v="370"/>
    <ns0:x v="411"/>
    <ns0:x v="16"/>
    <ns0:x v="348"/>
    <ns0:x v="349"/>
    <ns0:x v="0"/>
    <ns0:x v="0"/>
    <ns0:x v="0"/>
    <ns0:x v="59"/>
    <ns0:x v="0"/>
  </ns0:r>
  <ns0:r>
    <ns0:x v="4"/>
    <ns0:x v="6"/>
    <ns0:x v="368"/>
    <ns0:x v="380"/>
    <ns0:x v="380"/>
    <ns0:x v="406"/>
    <ns0:x v="17"/>
    <ns0:x v="361"/>
    <ns0:x v="361"/>
    <ns0:x v="0"/>
    <ns0:x v="0"/>
    <ns0:x v="0"/>
    <ns0:x v="60"/>
    <ns0:x v="0"/>
  </ns0:r>
  <ns0:r>
    <ns0:x v="4"/>
    <ns0:x v="7"/>
    <ns0:x v="148"/>
    <ns0:x v="153"/>
    <ns0:x v="151"/>
    <ns0:x v="232"/>
    <ns0:x v="8"/>
    <ns0:x v="138"/>
    <ns0:x v="134"/>
    <ns0:x v="0"/>
    <ns0:x v="0"/>
    <ns0:x v="0"/>
    <ns0:x v="61"/>
    <ns0:x v="0"/>
  </ns0:r>
  <ns0:r>
    <ns0:x v="4"/>
    <ns0:x v="8"/>
    <ns0:x v="29"/>
    <ns0:x v="31"/>
    <ns0:x v="27"/>
    <ns0:x v="84"/>
    <ns0:x v="4"/>
    <ns0:x v="33"/>
    <ns0:x v="33"/>
    <ns0:x v="0"/>
    <ns0:x v="0"/>
    <ns0:x v="0"/>
    <ns0:x v="62"/>
    <ns0:x v="0"/>
  </ns0:r>
  <ns0:r>
    <ns0:x v="4"/>
    <ns0:x v="9"/>
    <ns0:x v="63"/>
    <ns0:x v="66"/>
    <ns0:x v="53"/>
    <ns0:x v="131"/>
    <ns0:x v="4"/>
    <ns0:x v="70"/>
    <ns0:x v="65"/>
    <ns0:x v="0"/>
    <ns0:x v="0"/>
    <ns0:x v="0"/>
    <ns0:x v="63"/>
    <ns0:x v="0"/>
  </ns0:r>
  <ns0:r>
    <ns0:x v="4"/>
    <ns0:x v="10"/>
    <ns0:x v="2"/>
    <ns0:x v="3"/>
    <ns0:x v="3"/>
    <ns0:x v="31"/>
    <ns0:x v="4"/>
    <ns0:x v="3"/>
    <ns0:x v="3"/>
    <ns0:x v="0"/>
    <ns0:x v="0"/>
    <ns0:x v="0"/>
    <ns0:x v="64"/>
    <ns0:x v="0"/>
  </ns0:r>
  <ns0:r>
    <ns0:x v="4"/>
    <ns0:x v="12"/>
    <ns0:x v="457"/>
    <ns0:x v="462"/>
    <ns0:x v="462"/>
    <ns0:x v="473"/>
    <ns0:x v="21"/>
    <ns0:x v="432"/>
    <ns0:x v="435"/>
    <ns0:x v="0"/>
    <ns0:x v="0"/>
    <ns0:x v="0"/>
    <ns0:x v="65"/>
    <ns0:x v="0"/>
  </ns0:r>
  <ns0:r>
    <ns0:x v="4"/>
    <ns0:x v="13"/>
    <ns0:x v="421"/>
    <ns0:x v="426"/>
    <ns0:x v="426"/>
    <ns0:x v="465"/>
    <ns0:x v="23"/>
    <ns0:x v="393"/>
    <ns0:x v="393"/>
    <ns0:x v="0"/>
    <ns0:x v="0"/>
    <ns0:x v="0"/>
    <ns0:x v="66"/>
    <ns0:x v="0"/>
  </ns0:r>
  <ns0:r>
    <ns0:x v="4"/>
    <ns0:x v="14"/>
    <ns0:x v="9"/>
    <ns0:x v="8"/>
    <ns0:x v="10"/>
    <ns0:x v="104"/>
    <ns0:x v="3"/>
    <ns0:x v="10"/>
    <ns0:x v="10"/>
    <ns0:x v="0"/>
    <ns0:x v="0"/>
    <ns0:x v="0"/>
    <ns0:x v="67"/>
    <ns0:x v="0"/>
  </ns0:r>
  <ns0:r>
    <ns0:x v="5"/>
    <ns0:x v="0"/>
    <ns0:x v="311"/>
    <ns0:x v="317"/>
    <ns0:x v="314"/>
    <ns0:x v="209"/>
    <ns0:x v="14"/>
    <ns0:x v="287"/>
    <ns0:x v="288"/>
    <ns0:x v="0"/>
    <ns0:x v="0"/>
    <ns0:x v="0"/>
    <ns0:x v="68"/>
    <ns0:x v="0"/>
  </ns0:r>
  <ns0:r>
    <ns0:x v="5"/>
    <ns0:x v="1"/>
    <ns0:x v="330"/>
    <ns0:x v="344"/>
    <ns0:x v="340"/>
    <ns0:x v="187"/>
    <ns0:x v="13"/>
    <ns0:x v="308"/>
    <ns0:x v="311"/>
    <ns0:x v="0"/>
    <ns0:x v="0"/>
    <ns0:x v="0"/>
    <ns0:x v="69"/>
    <ns0:x v="0"/>
  </ns0:r>
  <ns0:r>
    <ns0:x v="5"/>
    <ns0:x v="2"/>
    <ns0:x v="208"/>
    <ns0:x v="213"/>
    <ns0:x v="207"/>
    <ns0:x v="217"/>
    <ns0:x v="9"/>
    <ns0:x v="182"/>
    <ns0:x v="183"/>
    <ns0:x v="0"/>
    <ns0:x v="0"/>
    <ns0:x v="0"/>
    <ns0:x v="70"/>
    <ns0:x v="0"/>
  </ns0:r>
  <ns0:r>
    <ns0:x v="5"/>
    <ns0:x v="3"/>
    <ns0:x v="175"/>
    <ns0:x v="184"/>
    <ns0:x v="183"/>
    <ns0:x v="313"/>
    <ns0:x v="9"/>
    <ns0:x v="152"/>
    <ns0:x v="155"/>
    <ns0:x v="0"/>
    <ns0:x v="0"/>
    <ns0:x v="0"/>
    <ns0:x v="71"/>
    <ns0:x v="0"/>
  </ns0:r>
  <ns0:r>
    <ns0:x v="5"/>
    <ns0:x v="4"/>
    <ns0:x v="151"/>
    <ns0:x v="155"/>
    <ns0:x v="154"/>
    <ns0:x v="73"/>
    <ns0:x v="8"/>
    <ns0:x v="142"/>
    <ns0:x v="142"/>
    <ns0:x v="0"/>
    <ns0:x v="0"/>
    <ns0:x v="0"/>
    <ns0:x v="72"/>
    <ns0:x v="0"/>
  </ns0:r>
  <ns0:r>
    <ns0:x v="5"/>
    <ns0:x v="5"/>
    <ns0:x v="431"/>
    <ns0:x v="433"/>
    <ns0:x v="431"/>
    <ns0:x v="336"/>
    <ns0:x v="16"/>
    <ns0:x v="407"/>
    <ns0:x v="409"/>
    <ns0:x v="0"/>
    <ns0:x v="0"/>
    <ns0:x v="0"/>
    <ns0:x v="73"/>
    <ns0:x v="0"/>
  </ns0:r>
  <ns0:r>
    <ns0:x v="5"/>
    <ns0:x v="6"/>
    <ns0:x v="432"/>
    <ns0:x v="435"/>
    <ns0:x v="435"/>
    <ns0:x v="318"/>
    <ns0:x v="17"/>
    <ns0:x v="410"/>
    <ns0:x v="412"/>
    <ns0:x v="0"/>
    <ns0:x v="0"/>
    <ns0:x v="0"/>
    <ns0:x v="74"/>
    <ns0:x v="0"/>
  </ns0:r>
  <ns0:r>
    <ns0:x v="5"/>
    <ns0:x v="7"/>
    <ns0:x v="156"/>
    <ns0:x v="161"/>
    <ns0:x v="161"/>
    <ns0:x v="203"/>
    <ns0:x v="8"/>
    <ns0:x v="143"/>
    <ns0:x v="143"/>
    <ns0:x v="0"/>
    <ns0:x v="0"/>
    <ns0:x v="0"/>
    <ns0:x v="75"/>
    <ns0:x v="0"/>
  </ns0:r>
  <ns0:r>
    <ns0:x v="5"/>
    <ns0:x v="8"/>
    <ns0:x v="31"/>
    <ns0:x v="30"/>
    <ns0:x v="28"/>
    <ns0:x v="68"/>
    <ns0:x v="4"/>
    <ns0:x v="36"/>
    <ns0:x v="34"/>
    <ns0:x v="0"/>
    <ns0:x v="0"/>
    <ns0:x v="0"/>
    <ns0:x v="76"/>
    <ns0:x v="0"/>
  </ns0:r>
  <ns0:r>
    <ns0:x v="5"/>
    <ns0:x v="9"/>
    <ns0:x v="78"/>
    <ns0:x v="82"/>
    <ns0:x v="73"/>
    <ns0:x v="249"/>
    <ns0:x v="4"/>
    <ns0:x v="75"/>
    <ns0:x v="78"/>
    <ns0:x v="0"/>
    <ns0:x v="0"/>
    <ns0:x v="0"/>
    <ns0:x v="77"/>
    <ns0:x v="0"/>
  </ns0:r>
  <ns0:r>
    <ns0:x v="5"/>
    <ns0:x v="10"/>
    <ns0:x v="11"/>
    <ns0:x v="14"/>
    <ns0:x v="21"/>
    <ns0:x v="65"/>
    <ns0:x v="4"/>
    <ns0:x v="15"/>
    <ns0:x v="16"/>
    <ns0:x v="0"/>
    <ns0:x v="0"/>
    <ns0:x v="0"/>
    <ns0:x v="78"/>
    <ns0:x v="0"/>
  </ns0:r>
  <ns0:r>
    <ns0:x v="5"/>
    <ns0:x v="12"/>
    <ns0:x v="467"/>
    <ns0:x v="471"/>
    <ns0:x v="471"/>
    <ns0:x v="489"/>
    <ns0:x v="21"/>
    <ns0:x v="445"/>
    <ns0:x v="446"/>
    <ns0:x v="0"/>
    <ns0:x v="0"/>
    <ns0:x v="0"/>
    <ns0:x v="79"/>
    <ns0:x v="0"/>
  </ns0:r>
  <ns0:r>
    <ns0:x v="5"/>
    <ns0:x v="13"/>
    <ns0:x v="440"/>
    <ns0:x v="448"/>
    <ns0:x v="444"/>
    <ns0:x v="486"/>
    <ns0:x v="23"/>
    <ns0:x v="415"/>
    <ns0:x v="416"/>
    <ns0:x v="0"/>
    <ns0:x v="0"/>
    <ns0:x v="0"/>
    <ns0:x v="80"/>
    <ns0:x v="0"/>
  </ns0:r>
  <ns0:r>
    <ns0:x v="5"/>
    <ns0:x v="14"/>
    <ns0:x v="12"/>
    <ns0:x v="11"/>
    <ns0:x v="11"/>
    <ns0:x v="38"/>
    <ns0:x v="3"/>
    <ns0:x v="8"/>
    <ns0:x v="9"/>
    <ns0:x v="0"/>
    <ns0:x v="0"/>
    <ns0:x v="0"/>
    <ns0:x v="81"/>
    <ns0:x v="0"/>
  </ns0:r>
  <ns0:r>
    <ns0:x v="6"/>
    <ns0:x v="0"/>
    <ns0:x v="298"/>
    <ns0:x v="301"/>
    <ns0:x v="301"/>
    <ns0:x v="391"/>
    <ns0:x v="14"/>
    <ns0:x v="279"/>
    <ns0:x v="281"/>
    <ns0:x v="1"/>
    <ns0:x v="0"/>
    <ns0:x v="1"/>
    <ns0:x v="82"/>
    <ns0:x v="0"/>
  </ns0:r>
  <ns0:r>
    <ns0:x v="6"/>
    <ns0:x v="1"/>
    <ns0:x v="316"/>
    <ns0:x v="332"/>
    <ns0:x v="323"/>
    <ns0:x v="279"/>
    <ns0:x v="13"/>
    <ns0:x v="303"/>
    <ns0:x v="306"/>
    <ns0:x v="1"/>
    <ns0:x v="0"/>
    <ns0:x v="1"/>
    <ns0:x v="83"/>
    <ns0:x v="0"/>
  </ns0:r>
  <ns0:r>
    <ns0:x v="6"/>
    <ns0:x v="2"/>
    <ns0:x v="214"/>
    <ns0:x v="220"/>
    <ns0:x v="213"/>
    <ns0:x v="280"/>
    <ns0:x v="9"/>
    <ns0:x v="193"/>
    <ns0:x v="195"/>
    <ns0:x v="1"/>
    <ns0:x v="0"/>
    <ns0:x v="1"/>
    <ns0:x v="84"/>
    <ns0:x v="0"/>
  </ns0:r>
  <ns0:r>
    <ns0:x v="6"/>
    <ns0:x v="3"/>
    <ns0:x v="169"/>
    <ns0:x v="176"/>
    <ns0:x v="177"/>
    <ns0:x v="349"/>
    <ns0:x v="9"/>
    <ns0:x v="151"/>
    <ns0:x v="154"/>
    <ns0:x v="1"/>
    <ns0:x v="0"/>
    <ns0:x v="1"/>
    <ns0:x v="85"/>
    <ns0:x v="0"/>
  </ns0:r>
  <ns0:r>
    <ns0:x v="6"/>
    <ns0:x v="4"/>
    <ns0:x v="157"/>
    <ns0:x v="158"/>
    <ns0:x v="158"/>
    <ns0:x v="128"/>
    <ns0:x v="8"/>
    <ns0:x v="146"/>
    <ns0:x v="151"/>
    <ns0:x v="1"/>
    <ns0:x v="0"/>
    <ns0:x v="1"/>
    <ns0:x v="86"/>
    <ns0:x v="0"/>
  </ns0:r>
  <ns0:r>
    <ns0:x v="6"/>
    <ns0:x v="5"/>
    <ns0:x v="408"/>
    <ns0:x v="414"/>
    <ns0:x v="411"/>
    <ns0:x v="423"/>
    <ns0:x v="16"/>
    <ns0:x v="386"/>
    <ns0:x v="390"/>
    <ns0:x v="1"/>
    <ns0:x v="0"/>
    <ns0:x v="1"/>
    <ns0:x v="87"/>
    <ns0:x v="0"/>
  </ns0:r>
  <ns0:r>
    <ns0:x v="6"/>
    <ns0:x v="6"/>
    <ns0:x v="424"/>
    <ns0:x v="425"/>
    <ns0:x v="424"/>
    <ns0:x v="398"/>
    <ns0:x v="17"/>
    <ns0:x v="401"/>
    <ns0:x v="404"/>
    <ns0:x v="1"/>
    <ns0:x v="0"/>
    <ns0:x v="1"/>
    <ns0:x v="88"/>
    <ns0:x v="0"/>
  </ns0:r>
  <ns0:r>
    <ns0:x v="6"/>
    <ns0:x v="7"/>
    <ns0:x v="183"/>
    <ns0:x v="188"/>
    <ns0:x v="192"/>
    <ns0:x v="244"/>
    <ns0:x v="8"/>
    <ns0:x v="160"/>
    <ns0:x v="159"/>
    <ns0:x v="1"/>
    <ns0:x v="0"/>
    <ns0:x v="1"/>
    <ns0:x v="89"/>
    <ns0:x v="0"/>
  </ns0:r>
  <ns0:r>
    <ns0:x v="6"/>
    <ns0:x v="8"/>
    <ns0:x v="40"/>
    <ns0:x v="42"/>
    <ns0:x v="38"/>
    <ns0:x v="117"/>
    <ns0:x v="4"/>
    <ns0:x v="40"/>
    <ns0:x v="40"/>
    <ns0:x v="1"/>
    <ns0:x v="0"/>
    <ns0:x v="1"/>
    <ns0:x v="90"/>
    <ns0:x v="0"/>
  </ns0:r>
  <ns0:r>
    <ns0:x v="6"/>
    <ns0:x v="9"/>
    <ns0:x v="62"/>
    <ns0:x v="71"/>
    <ns0:x v="61"/>
    <ns0:x v="307"/>
    <ns0:x v="4"/>
    <ns0:x v="69"/>
    <ns0:x v="64"/>
    <ns0:x v="1"/>
    <ns0:x v="0"/>
    <ns0:x v="1"/>
    <ns0:x v="91"/>
    <ns0:x v="0"/>
  </ns0:r>
  <ns0:r>
    <ns0:x v="6"/>
    <ns0:x v="10"/>
    <ns0:x v="7"/>
    <ns0:x v="7"/>
    <ns0:x v="7"/>
    <ns0:x v="166"/>
    <ns0:x v="4"/>
    <ns0:x v="6"/>
    <ns0:x v="7"/>
    <ns0:x v="1"/>
    <ns0:x v="0"/>
    <ns0:x v="1"/>
    <ns0:x v="92"/>
    <ns0:x v="0"/>
  </ns0:r>
  <ns0:r>
    <ns0:x v="6"/>
    <ns0:x v="12"/>
    <ns0:x v="477"/>
    <ns0:x v="485"/>
    <ns0:x v="479"/>
    <ns0:x v="502"/>
    <ns0:x v="21"/>
    <ns0:x v="459"/>
    <ns0:x v="460"/>
    <ns0:x v="1"/>
    <ns0:x v="0"/>
    <ns0:x v="1"/>
    <ns0:x v="93"/>
    <ns0:x v="0"/>
  </ns0:r>
  <ns0:r>
    <ns0:x v="6"/>
    <ns0:x v="13"/>
    <ns0:x v="447"/>
    <ns0:x v="455"/>
    <ns0:x v="451"/>
    <ns0:x v="499"/>
    <ns0:x v="23"/>
    <ns0:x v="431"/>
    <ns0:x v="429"/>
    <ns0:x v="1"/>
    <ns0:x v="0"/>
    <ns0:x v="1"/>
    <ns0:x v="94"/>
    <ns0:x v="0"/>
  </ns0:r>
  <ns0:r>
    <ns0:x v="6"/>
    <ns0:x v="14"/>
    <ns0:x v="23"/>
    <ns0:x v="20"/>
    <ns0:x v="20"/>
    <ns0:x v="69"/>
    <ns0:x v="3"/>
    <ns0:x v="16"/>
    <ns0:x v="19"/>
    <ns0:x v="1"/>
    <ns0:x v="0"/>
    <ns0:x v="1"/>
    <ns0:x v="95"/>
    <ns0:x v="0"/>
  </ns0:r>
  <ns0:r>
    <ns0:x v="7"/>
    <ns0:x v="0"/>
    <ns0:x v="302"/>
    <ns0:x v="303"/>
    <ns0:x v="304"/>
    <ns0:x v="301"/>
    <ns0:x v="14"/>
    <ns0:x v="281"/>
    <ns0:x v="282"/>
    <ns0:x v="1"/>
    <ns0:x v="0"/>
    <ns0:x v="1"/>
    <ns0:x v="96"/>
    <ns0:x v="0"/>
  </ns0:r>
  <ns0:r>
    <ns0:x v="7"/>
    <ns0:x v="1"/>
    <ns0:x v="327"/>
    <ns0:x v="342"/>
    <ns0:x v="342"/>
    <ns0:x v="418"/>
    <ns0:x v="13"/>
    <ns0:x v="311"/>
    <ns0:x v="313"/>
    <ns0:x v="1"/>
    <ns0:x v="0"/>
    <ns0:x v="1"/>
    <ns0:x v="97"/>
    <ns0:x v="0"/>
  </ns0:r>
  <ns0:r>
    <ns0:x v="7"/>
    <ns0:x v="2"/>
    <ns0:x v="205"/>
    <ns0:x v="208"/>
    <ns0:x v="199"/>
    <ns0:x v="287"/>
    <ns0:x v="9"/>
    <ns0:x v="187"/>
    <ns0:x v="187"/>
    <ns0:x v="1"/>
    <ns0:x v="0"/>
    <ns0:x v="1"/>
    <ns0:x v="98"/>
    <ns0:x v="0"/>
  </ns0:r>
  <ns0:r>
    <ns0:x v="7"/>
    <ns0:x v="3"/>
    <ns0:x v="226"/>
    <ns0:x v="233"/>
    <ns0:x v="235"/>
    <ns0:x v="360"/>
    <ns0:x v="9"/>
    <ns0:x v="188"/>
    <ns0:x v="189"/>
    <ns0:x v="1"/>
    <ns0:x v="0"/>
    <ns0:x v="1"/>
    <ns0:x v="99"/>
    <ns0:x v="0"/>
  </ns0:r>
  <ns0:r>
    <ns0:x v="7"/>
    <ns0:x v="4"/>
    <ns0:x v="178"/>
    <ns0:x v="179"/>
    <ns0:x v="175"/>
    <ns0:x v="163"/>
    <ns0:x v="8"/>
    <ns0:x v="166"/>
    <ns0:x v="171"/>
    <ns0:x v="1"/>
    <ns0:x v="0"/>
    <ns0:x v="1"/>
    <ns0:x v="100"/>
    <ns0:x v="0"/>
  </ns0:r>
  <ns0:r>
    <ns0:x v="7"/>
    <ns0:x v="5"/>
    <ns0:x v="389"/>
    <ns0:x v="393"/>
    <ns0:x v="387"/>
    <ns0:x v="421"/>
    <ns0:x v="16"/>
    <ns0:x v="365"/>
    <ns0:x v="369"/>
    <ns0:x v="1"/>
    <ns0:x v="0"/>
    <ns0:x v="1"/>
    <ns0:x v="101"/>
    <ns0:x v="0"/>
  </ns0:r>
  <ns0:r>
    <ns0:x v="7"/>
    <ns0:x v="6"/>
    <ns0:x v="396"/>
    <ns0:x v="403"/>
    <ns0:x v="399"/>
    <ns0:x v="409"/>
    <ns0:x v="17"/>
    <ns0:x v="382"/>
    <ns0:x v="384"/>
    <ns0:x v="1"/>
    <ns0:x v="0"/>
    <ns0:x v="1"/>
    <ns0:x v="102"/>
    <ns0:x v="0"/>
  </ns0:r>
  <ns0:r>
    <ns0:x v="7"/>
    <ns0:x v="7"/>
    <ns0:x v="154"/>
    <ns0:x v="156"/>
    <ns0:x v="156"/>
    <ns0:x v="220"/>
    <ns0:x v="8"/>
    <ns0:x v="144"/>
    <ns0:x v="144"/>
    <ns0:x v="1"/>
    <ns0:x v="0"/>
    <ns0:x v="1"/>
    <ns0:x v="103"/>
    <ns0:x v="0"/>
  </ns0:r>
  <ns0:r>
    <ns0:x v="7"/>
    <ns0:x v="8"/>
    <ns0:x v="94"/>
    <ns0:x v="90"/>
    <ns0:x v="97"/>
    <ns0:x v="170"/>
    <ns0:x v="4"/>
    <ns0:x v="69"/>
    <ns0:x v="69"/>
    <ns0:x v="1"/>
    <ns0:x v="0"/>
    <ns0:x v="1"/>
    <ns0:x v="104"/>
    <ns0:x v="0"/>
  </ns0:r>
  <ns0:r>
    <ns0:x v="7"/>
    <ns0:x v="9"/>
    <ns0:x v="121"/>
    <ns0:x v="125"/>
    <ns0:x v="123"/>
    <ns0:x v="288"/>
    <ns0:x v="4"/>
    <ns0:x v="105"/>
    <ns0:x v="109"/>
    <ns0:x v="1"/>
    <ns0:x v="0"/>
    <ns0:x v="1"/>
    <ns0:x v="105"/>
    <ns0:x v="0"/>
  </ns0:r>
  <ns0:r>
    <ns0:x v="7"/>
    <ns0:x v="10"/>
    <ns0:x v="13"/>
    <ns0:x v="16"/>
    <ns0:x v="17"/>
    <ns0:x v="207"/>
    <ns0:x v="4"/>
    <ns0:x v="15"/>
    <ns0:x v="15"/>
    <ns0:x v="1"/>
    <ns0:x v="0"/>
    <ns0:x v="1"/>
    <ns0:x v="106"/>
    <ns0:x v="0"/>
  </ns0:r>
  <ns0:r>
    <ns0:x v="7"/>
    <ns0:x v="12"/>
    <ns0:x v="466"/>
    <ns0:x v="469"/>
    <ns0:x v="468"/>
    <ns0:x v="497"/>
    <ns0:x v="21"/>
    <ns0:x v="446"/>
    <ns0:x v="447"/>
    <ns0:x v="1"/>
    <ns0:x v="0"/>
    <ns0:x v="1"/>
    <ns0:x v="107"/>
    <ns0:x v="0"/>
  </ns0:r>
  <ns0:r>
    <ns0:x v="7"/>
    <ns0:x v="13"/>
    <ns0:x v="434"/>
    <ns0:x v="440"/>
    <ns0:x v="437"/>
    <ns0:x v="496"/>
    <ns0:x v="23"/>
    <ns0:x v="413"/>
    <ns0:x v="415"/>
    <ns0:x v="1"/>
    <ns0:x v="0"/>
    <ns0:x v="1"/>
    <ns0:x v="108"/>
    <ns0:x v="0"/>
  </ns0:r>
  <ns0:r>
    <ns0:x v="7"/>
    <ns0:x v="14"/>
    <ns0:x v="32"/>
    <ns0:x v="26"/>
    <ns0:x v="31"/>
    <ns0:x v="61"/>
    <ns0:x v="3"/>
    <ns0:x v="27"/>
    <ns0:x v="27"/>
    <ns0:x v="1"/>
    <ns0:x v="0"/>
    <ns0:x v="1"/>
    <ns0:x v="109"/>
    <ns0:x v="0"/>
  </ns0:r>
  <ns0:r>
    <ns0:x v="8"/>
    <ns0:x v="0"/>
    <ns0:x v="296"/>
    <ns0:x v="298"/>
    <ns0:x v="297"/>
    <ns0:x v="303"/>
    <ns0:x v="14"/>
    <ns0:x v="277"/>
    <ns0:x v="279"/>
    <ns0:x v="1"/>
    <ns0:x v="0"/>
    <ns0:x v="1"/>
    <ns0:x v="110"/>
    <ns0:x v="0"/>
  </ns0:r>
  <ns0:r>
    <ns0:x v="8"/>
    <ns0:x v="1"/>
    <ns0:x v="304"/>
    <ns0:x v="314"/>
    <ns0:x v="309"/>
    <ns0:x v="180"/>
    <ns0:x v="13"/>
    <ns0:x v="285"/>
    <ns0:x v="286"/>
    <ns0:x v="1"/>
    <ns0:x v="0"/>
    <ns0:x v="1"/>
    <ns0:x v="111"/>
    <ns0:x v="0"/>
  </ns0:r>
  <ns0:r>
    <ns0:x v="8"/>
    <ns0:x v="2"/>
    <ns0:x v="210"/>
    <ns0:x v="214"/>
    <ns0:x v="206"/>
    <ns0:x v="213"/>
    <ns0:x v="9"/>
    <ns0:x v="185"/>
    <ns0:x v="185"/>
    <ns0:x v="1"/>
    <ns0:x v="0"/>
    <ns0:x v="1"/>
    <ns0:x v="112"/>
    <ns0:x v="0"/>
  </ns0:r>
  <ns0:r>
    <ns0:x v="8"/>
    <ns0:x v="3"/>
    <ns0:x v="241"/>
    <ns0:x v="241"/>
    <ns0:x v="250"/>
    <ns0:x v="376"/>
    <ns0:x v="9"/>
    <ns0:x v="190"/>
    <ns0:x v="192"/>
    <ns0:x v="1"/>
    <ns0:x v="0"/>
    <ns0:x v="1"/>
    <ns0:x v="113"/>
    <ns0:x v="0"/>
  </ns0:r>
  <ns0:r>
    <ns0:x v="8"/>
    <ns0:x v="4"/>
    <ns0:x v="160"/>
    <ns0:x v="159"/>
    <ns0:x v="160"/>
    <ns0:x v="100"/>
    <ns0:x v="8"/>
    <ns0:x v="150"/>
    <ns0:x v="156"/>
    <ns0:x v="1"/>
    <ns0:x v="0"/>
    <ns0:x v="1"/>
    <ns0:x v="114"/>
    <ns0:x v="0"/>
  </ns0:r>
  <ns0:r>
    <ns0:x v="8"/>
    <ns0:x v="5"/>
    <ns0:x v="403"/>
    <ns0:x v="406"/>
    <ns0:x v="404"/>
    <ns0:x v="419"/>
    <ns0:x v="16"/>
    <ns0:x v="381"/>
    <ns0:x v="386"/>
    <ns0:x v="1"/>
    <ns0:x v="0"/>
    <ns0:x v="1"/>
    <ns0:x v="115"/>
    <ns0:x v="0"/>
  </ns0:r>
  <ns0:r>
    <ns0:x v="8"/>
    <ns0:x v="6"/>
    <ns0:x v="410"/>
    <ns0:x v="416"/>
    <ns0:x v="414"/>
    <ns0:x v="428"/>
    <ns0:x v="17"/>
    <ns0:x v="399"/>
    <ns0:x v="401"/>
    <ns0:x v="1"/>
    <ns0:x v="0"/>
    <ns0:x v="1"/>
    <ns0:x v="116"/>
    <ns0:x v="0"/>
  </ns0:r>
  <ns0:r>
    <ns0:x v="8"/>
    <ns0:x v="7"/>
    <ns0:x v="161"/>
    <ns0:x v="164"/>
    <ns0:x v="166"/>
    <ns0:x v="404"/>
    <ns0:x v="8"/>
    <ns0:x v="148"/>
    <ns0:x v="148"/>
    <ns0:x v="1"/>
    <ns0:x v="0"/>
    <ns0:x v="1"/>
    <ns0:x v="117"/>
    <ns0:x v="0"/>
  </ns0:r>
  <ns0:r>
    <ns0:x v="8"/>
    <ns0:x v="8"/>
    <ns0:x v="66"/>
    <ns0:x v="60"/>
    <ns0:x v="55"/>
    <ns0:x v="58"/>
    <ns0:x v="4"/>
    <ns0:x v="58"/>
    <ns0:x v="59"/>
    <ns0:x v="1"/>
    <ns0:x v="0"/>
    <ns0:x v="1"/>
    <ns0:x v="118"/>
    <ns0:x v="0"/>
  </ns0:r>
  <ns0:r>
    <ns0:x v="8"/>
    <ns0:x v="9"/>
    <ns0:x v="96"/>
    <ns0:x v="103"/>
    <ns0:x v="99"/>
    <ns0:x v="413"/>
    <ns0:x v="4"/>
    <ns0:x v="86"/>
    <ns0:x v="86"/>
    <ns0:x v="1"/>
    <ns0:x v="0"/>
    <ns0:x v="1"/>
    <ns0:x v="119"/>
    <ns0:x v="0"/>
  </ns0:r>
  <ns0:r>
    <ns0:x v="8"/>
    <ns0:x v="10"/>
    <ns0:x v="17"/>
    <ns0:x v="23"/>
    <ns0:x v="22"/>
    <ns0:x v="173"/>
    <ns0:x v="4"/>
    <ns0:x v="19"/>
    <ns0:x v="17"/>
    <ns0:x v="1"/>
    <ns0:x v="0"/>
    <ns0:x v="1"/>
    <ns0:x v="120"/>
    <ns0:x v="0"/>
  </ns0:r>
  <ns0:r>
    <ns0:x v="8"/>
    <ns0:x v="12"/>
    <ns0:x v="472"/>
    <ns0:x v="482"/>
    <ns0:x v="476"/>
    <ns0:x v="498"/>
    <ns0:x v="21"/>
    <ns0:x v="451"/>
    <ns0:x v="451"/>
    <ns0:x v="1"/>
    <ns0:x v="0"/>
    <ns0:x v="1"/>
    <ns0:x v="121"/>
    <ns0:x v="0"/>
  </ns0:r>
  <ns0:r>
    <ns0:x v="8"/>
    <ns0:x v="13"/>
    <ns0:x v="444"/>
    <ns0:x v="450"/>
    <ns0:x v="446"/>
    <ns0:x v="487"/>
    <ns0:x v="23"/>
    <ns0:x v="423"/>
    <ns0:x v="425"/>
    <ns0:x v="1"/>
    <ns0:x v="0"/>
    <ns0:x v="1"/>
    <ns0:x v="122"/>
    <ns0:x v="0"/>
  </ns0:r>
  <ns0:r>
    <ns0:x v="8"/>
    <ns0:x v="14"/>
    <ns0:x v="24"/>
    <ns0:x v="18"/>
    <ns0:x v="15"/>
    <ns0:x v="71"/>
    <ns0:x v="3"/>
    <ns0:x v="18"/>
    <ns0:x v="18"/>
    <ns0:x v="1"/>
    <ns0:x v="0"/>
    <ns0:x v="1"/>
    <ns0:x v="123"/>
    <ns0:x v="0"/>
  </ns0:r>
  <ns0:r>
    <ns0:x v="9"/>
    <ns0:x v="0"/>
    <ns0:x v="312"/>
    <ns0:x v="316"/>
    <ns0:x v="313"/>
    <ns0:x v="181"/>
    <ns0:x v="14"/>
    <ns0:x v="291"/>
    <ns0:x v="291"/>
    <ns0:x v="1"/>
    <ns0:x v="0"/>
    <ns0:x v="1"/>
    <ns0:x v="124"/>
    <ns0:x v="0"/>
  </ns0:r>
  <ns0:r>
    <ns0:x v="9"/>
    <ns0:x v="1"/>
    <ns0:x v="320"/>
    <ns0:x v="328"/>
    <ns0:x v="324"/>
    <ns0:x v="233"/>
    <ns0:x v="13"/>
    <ns0:x v="296"/>
    <ns0:x v="299"/>
    <ns0:x v="1"/>
    <ns0:x v="0"/>
    <ns0:x v="1"/>
    <ns0:x v="125"/>
    <ns0:x v="0"/>
  </ns0:r>
  <ns0:r>
    <ns0:x v="9"/>
    <ns0:x v="2"/>
    <ns0:x v="245"/>
    <ns0:x v="240"/>
    <ns0:x v="223"/>
    <ns0:x v="185"/>
    <ns0:x v="10"/>
    <ns0:x v="211"/>
    <ns0:x v="205"/>
    <ns0:x v="1"/>
    <ns0:x v="0"/>
    <ns0:x v="1"/>
    <ns0:x v="126"/>
    <ns0:x v="0"/>
  </ns0:r>
  <ns0:r>
    <ns0:x v="9"/>
    <ns0:x v="3"/>
    <ns0:x v="182"/>
    <ns0:x v="192"/>
    <ns0:x v="195"/>
    <ns0:x v="353"/>
    <ns0:x v="10"/>
    <ns0:x v="158"/>
    <ns0:x v="161"/>
    <ns0:x v="1"/>
    <ns0:x v="0"/>
    <ns0:x v="1"/>
    <ns0:x v="127"/>
    <ns0:x v="0"/>
  </ns0:r>
  <ns0:r>
    <ns0:x v="9"/>
    <ns0:x v="4"/>
    <ns0:x v="176"/>
    <ns0:x v="171"/>
    <ns0:x v="172"/>
    <ns0:x v="98"/>
    <ns0:x v="8"/>
    <ns0:x v="159"/>
    <ns0:x v="163"/>
    <ns0:x v="1"/>
    <ns0:x v="0"/>
    <ns0:x v="1"/>
    <ns0:x v="128"/>
    <ns0:x v="0"/>
  </ns0:r>
  <ns0:r>
    <ns0:x v="9"/>
    <ns0:x v="5"/>
    <ns0:x v="394"/>
    <ns0:x v="398"/>
    <ns0:x v="400"/>
    <ns0:x v="438"/>
    <ns0:x v="16"/>
    <ns0:x v="363"/>
    <ns0:x v="366"/>
    <ns0:x v="1"/>
    <ns0:x v="0"/>
    <ns0:x v="1"/>
    <ns0:x v="129"/>
    <ns0:x v="0"/>
  </ns0:r>
  <ns0:r>
    <ns0:x v="9"/>
    <ns0:x v="6"/>
    <ns0:x v="404"/>
    <ns0:x v="412"/>
    <ns0:x v="412"/>
    <ns0:x v="437"/>
    <ns0:x v="17"/>
    <ns0:x v="383"/>
    <ns0:x v="385"/>
    <ns0:x v="1"/>
    <ns0:x v="0"/>
    <ns0:x v="1"/>
    <ns0:x v="130"/>
    <ns0:x v="0"/>
  </ns0:r>
  <ns0:r>
    <ns0:x v="9"/>
    <ns0:x v="7"/>
    <ns0:x v="166"/>
    <ns0:x v="173"/>
    <ns0:x v="176"/>
    <ns0:x v="290"/>
    <ns0:x v="8"/>
    <ns0:x v="155"/>
    <ns0:x v="149"/>
    <ns0:x v="1"/>
    <ns0:x v="0"/>
    <ns0:x v="1"/>
    <ns0:x v="131"/>
    <ns0:x v="0"/>
  </ns0:r>
  <ns0:r>
    <ns0:x v="9"/>
    <ns0:x v="8"/>
    <ns0:x v="50"/>
    <ns0:x v="51"/>
    <ns0:x v="45"/>
    <ns0:x v="85"/>
    <ns0:x v="4"/>
    <ns0:x v="53"/>
    <ns0:x v="54"/>
    <ns0:x v="1"/>
    <ns0:x v="0"/>
    <ns0:x v="1"/>
    <ns0:x v="132"/>
    <ns0:x v="0"/>
  </ns0:r>
  <ns0:r>
    <ns0:x v="9"/>
    <ns0:x v="9"/>
    <ns0:x v="73"/>
    <ns0:x v="85"/>
    <ns0:x v="70"/>
    <ns0:x v="341"/>
    <ns0:x v="4"/>
    <ns0:x v="79"/>
    <ns0:x v="81"/>
    <ns0:x v="1"/>
    <ns0:x v="0"/>
    <ns0:x v="1"/>
    <ns0:x v="133"/>
    <ns0:x v="0"/>
  </ns0:r>
  <ns0:r>
    <ns0:x v="9"/>
    <ns0:x v="10"/>
    <ns0:x v="19"/>
    <ns0:x v="24"/>
    <ns0:x v="23"/>
    <ns0:x v="235"/>
    <ns0:x v="4"/>
    <ns0:x v="20"/>
    <ns0:x v="20"/>
    <ns0:x v="1"/>
    <ns0:x v="0"/>
    <ns0:x v="1"/>
    <ns0:x v="134"/>
    <ns0:x v="0"/>
  </ns0:r>
  <ns0:r>
    <ns0:x v="9"/>
    <ns0:x v="12"/>
    <ns0:x v="464"/>
    <ns0:x v="466"/>
    <ns0:x v="467"/>
    <ns0:x v="503"/>
    <ns0:x v="21"/>
    <ns0:x v="442"/>
    <ns0:x v="444"/>
    <ns0:x v="1"/>
    <ns0:x v="0"/>
    <ns0:x v="1"/>
    <ns0:x v="135"/>
    <ns0:x v="0"/>
  </ns0:r>
  <ns0:r>
    <ns0:x v="9"/>
    <ns0:x v="13"/>
    <ns0:x v="430"/>
    <ns0:x v="431"/>
    <ns0:x v="432"/>
    <ns0:x v="492"/>
    <ns0:x v="23"/>
    <ns0:x v="405"/>
    <ns0:x v="406"/>
    <ns0:x v="1"/>
    <ns0:x v="0"/>
    <ns0:x v="1"/>
    <ns0:x v="136"/>
    <ns0:x v="0"/>
  </ns0:r>
  <ns0:r>
    <ns0:x v="9"/>
    <ns0:x v="14"/>
    <ns0:x v="39"/>
    <ns0:x v="36"/>
    <ns0:x v="37"/>
    <ns0:x v="55"/>
    <ns0:x v="3"/>
    <ns0:x v="32"/>
    <ns0:x v="32"/>
    <ns0:x v="1"/>
    <ns0:x v="0"/>
    <ns0:x v="1"/>
    <ns0:x v="137"/>
    <ns0:x v="0"/>
  </ns0:r>
  <ns0:r>
    <ns0:x v="10"/>
    <ns0:x v="0"/>
    <ns0:x v="295"/>
    <ns0:x v="296"/>
    <ns0:x v="296"/>
    <ns0:x v="300"/>
    <ns0:x v="14"/>
    <ns0:x v="275"/>
    <ns0:x v="277"/>
    <ns0:x v="1"/>
    <ns0:x v="0"/>
    <ns0:x v="1"/>
    <ns0:x v="138"/>
    <ns0:x v="0"/>
  </ns0:r>
  <ns0:r>
    <ns0:x v="10"/>
    <ns0:x v="1"/>
    <ns0:x v="306"/>
    <ns0:x v="320"/>
    <ns0:x v="315"/>
    <ns0:x v="263"/>
    <ns0:x v="13"/>
    <ns0:x v="282"/>
    <ns0:x v="284"/>
    <ns0:x v="1"/>
    <ns0:x v="0"/>
    <ns0:x v="1"/>
    <ns0:x v="139"/>
    <ns0:x v="0"/>
  </ns0:r>
  <ns0:r>
    <ns0:x v="10"/>
    <ns0:x v="2"/>
    <ns0:x v="252"/>
    <ns0:x v="262"/>
    <ns0:x v="255"/>
    <ns0:x v="176"/>
    <ns0:x v="10"/>
    <ns0:x v="221"/>
    <ns0:x v="220"/>
    <ns0:x v="1"/>
    <ns0:x v="0"/>
    <ns0:x v="1"/>
    <ns0:x v="140"/>
    <ns0:x v="0"/>
  </ns0:r>
  <ns0:r>
    <ns0:x v="10"/>
    <ns0:x v="3"/>
    <ns0:x v="204"/>
    <ns0:x v="207"/>
    <ns0:x v="210"/>
    <ns0:x v="402"/>
    <ns0:x v="10"/>
    <ns0:x v="169"/>
    <ns0:x v="173"/>
    <ns0:x v="1"/>
    <ns0:x v="0"/>
    <ns0:x v="1"/>
    <ns0:x v="141"/>
    <ns0:x v="0"/>
  </ns0:r>
  <ns0:r>
    <ns0:x v="10"/>
    <ns0:x v="4"/>
    <ns0:x v="162"/>
    <ns0:x v="165"/>
    <ns0:x v="165"/>
    <ns0:x v="139"/>
    <ns0:x v="8"/>
    <ns0:x v="152"/>
    <ns0:x v="157"/>
    <ns0:x v="1"/>
    <ns0:x v="0"/>
    <ns0:x v="1"/>
    <ns0:x v="142"/>
    <ns0:x v="0"/>
  </ns0:r>
  <ns0:r>
    <ns0:x v="10"/>
    <ns0:x v="5"/>
    <ns0:x v="411"/>
    <ns0:x v="415"/>
    <ns0:x v="413"/>
    <ns0:x v="433"/>
    <ns0:x v="16"/>
    <ns0:x v="385"/>
    <ns0:x v="387"/>
    <ns0:x v="1"/>
    <ns0:x v="0"/>
    <ns0:x v="1"/>
    <ns0:x v="143"/>
    <ns0:x v="0"/>
  </ns0:r>
  <ns0:r>
    <ns0:x v="10"/>
    <ns0:x v="6"/>
    <ns0:x v="420"/>
    <ns0:x v="422"/>
    <ns0:x v="422"/>
    <ns0:x v="435"/>
    <ns0:x v="17"/>
    <ns0:x v="398"/>
    <ns0:x v="400"/>
    <ns0:x v="1"/>
    <ns0:x v="0"/>
    <ns0:x v="1"/>
    <ns0:x v="144"/>
    <ns0:x v="0"/>
  </ns0:r>
  <ns0:r>
    <ns0:x v="10"/>
    <ns0:x v="7"/>
    <ns0:x v="164"/>
    <ns0:x v="169"/>
    <ns0:x v="171"/>
    <ns0:x v="169"/>
    <ns0:x v="8"/>
    <ns0:x v="153"/>
    <ns0:x v="150"/>
    <ns0:x v="1"/>
    <ns0:x v="0"/>
    <ns0:x v="1"/>
    <ns0:x v="145"/>
    <ns0:x v="0"/>
  </ns0:r>
  <ns0:r>
    <ns0:x v="10"/>
    <ns0:x v="8"/>
    <ns0:x v="79"/>
    <ns0:x v="65"/>
    <ns0:x v="65"/>
    <ns0:x v="420"/>
    <ns0:x v="4"/>
    <ns0:x v="59"/>
    <ns0:x v="58"/>
    <ns0:x v="1"/>
    <ns0:x v="0"/>
    <ns0:x v="1"/>
    <ns0:x v="146"/>
    <ns0:x v="0"/>
  </ns0:r>
  <ns0:r>
    <ns0:x v="10"/>
    <ns0:x v="9"/>
    <ns0:x v="107"/>
    <ns0:x v="113"/>
    <ns0:x v="109"/>
    <ns0:x v="261"/>
    <ns0:x v="4"/>
    <ns0:x v="97"/>
    <ns0:x v="98"/>
    <ns0:x v="1"/>
    <ns0:x v="0"/>
    <ns0:x v="1"/>
    <ns0:x v="147"/>
    <ns0:x v="0"/>
  </ns0:r>
  <ns0:r>
    <ns0:x v="10"/>
    <ns0:x v="10"/>
    <ns0:x v="22"/>
    <ns0:x v="28"/>
    <ns0:x v="25"/>
    <ns0:x v="206"/>
    <ns0:x v="4"/>
    <ns0:x v="23"/>
    <ns0:x v="23"/>
    <ns0:x v="1"/>
    <ns0:x v="0"/>
    <ns0:x v="1"/>
    <ns0:x v="148"/>
    <ns0:x v="0"/>
  </ns0:r>
  <ns0:r>
    <ns0:x v="10"/>
    <ns0:x v="12"/>
    <ns0:x v="500"/>
    <ns0:x v="502"/>
    <ns0:x v="502"/>
    <ns0:x v="477"/>
    <ns0:x v="21"/>
    <ns0:x v="479"/>
    <ns0:x v="480"/>
    <ns0:x v="1"/>
    <ns0:x v="0"/>
    <ns0:x v="1"/>
    <ns0:x v="149"/>
    <ns0:x v="0"/>
  </ns0:r>
  <ns0:r>
    <ns0:x v="10"/>
    <ns0:x v="13"/>
    <ns0:x v="484"/>
    <ns0:x v="481"/>
    <ns0:x v="484"/>
    <ns0:x v="480"/>
    <ns0:x v="23"/>
    <ns0:x v="458"/>
    <ns0:x v="456"/>
    <ns0:x v="1"/>
    <ns0:x v="0"/>
    <ns0:x v="1"/>
    <ns0:x v="150"/>
    <ns0:x v="0"/>
  </ns0:r>
  <ns0:r>
    <ns0:x v="10"/>
    <ns0:x v="14"/>
    <ns0:x v="68"/>
    <ns0:x v="49"/>
    <ns0:x v="57"/>
    <ns0:x v="56"/>
    <ns0:x v="3"/>
    <ns0:x v="45"/>
    <ns0:x v="42"/>
    <ns0:x v="1"/>
    <ns0:x v="0"/>
    <ns0:x v="1"/>
    <ns0:x v="151"/>
    <ns0:x v="0"/>
  </ns0:r>
  <ns0:r>
    <ns0:x v="11"/>
    <ns0:x v="0"/>
    <ns0:x v="346"/>
    <ns0:x v="353"/>
    <ns0:x v="348"/>
    <ns0:x v="289"/>
    <ns0:x v="14"/>
    <ns0:x v="322"/>
    <ns0:x v="322"/>
    <ns0:x v="1"/>
    <ns0:x v="0"/>
    <ns0:x v="1"/>
    <ns0:x v="152"/>
    <ns0:x v="0"/>
  </ns0:r>
  <ns0:r>
    <ns0:x v="11"/>
    <ns0:x v="1"/>
    <ns0:x v="307"/>
    <ns0:x v="318"/>
    <ns0:x v="311"/>
    <ns0:x v="368"/>
    <ns0:x v="13"/>
    <ns0:x v="280"/>
    <ns0:x v="283"/>
    <ns0:x v="1"/>
    <ns0:x v="0"/>
    <ns0:x v="1"/>
    <ns0:x v="153"/>
    <ns0:x v="0"/>
  </ns0:r>
  <ns0:r>
    <ns0:x v="11"/>
    <ns0:x v="2"/>
    <ns0:x v="236"/>
    <ns0:x v="254"/>
    <ns0:x v="243"/>
    <ns0:x v="234"/>
    <ns0:x v="10"/>
    <ns0:x v="214"/>
    <ns0:x v="211"/>
    <ns0:x v="1"/>
    <ns0:x v="0"/>
    <ns0:x v="1"/>
    <ns0:x v="154"/>
    <ns0:x v="0"/>
  </ns0:r>
  <ns0:r>
    <ns0:x v="11"/>
    <ns0:x v="3"/>
    <ns0:x v="217"/>
    <ns0:x v="223"/>
    <ns0:x v="225"/>
    <ns0:x v="295"/>
    <ns0:x v="10"/>
    <ns0:x v="183"/>
    <ns0:x v="184"/>
    <ns0:x v="1"/>
    <ns0:x v="0"/>
    <ns0:x v="1"/>
    <ns0:x v="155"/>
    <ns0:x v="0"/>
  </ns0:r>
  <ns0:r>
    <ns0:x v="11"/>
    <ns0:x v="4"/>
    <ns0:x v="177"/>
    <ns0:x v="180"/>
    <ns0:x v="178"/>
    <ns0:x v="143"/>
    <ns0:x v="8"/>
    <ns0:x v="158"/>
    <ns0:x v="162"/>
    <ns0:x v="1"/>
    <ns0:x v="0"/>
    <ns0:x v="1"/>
    <ns0:x v="156"/>
    <ns0:x v="0"/>
  </ns0:r>
  <ns0:r>
    <ns0:x v="11"/>
    <ns0:x v="5"/>
    <ns0:x v="365"/>
    <ns0:x v="366"/>
    <ns0:x v="366"/>
    <ns0:x v="429"/>
    <ns0:x v="16"/>
    <ns0:x v="345"/>
    <ns0:x v="347"/>
    <ns0:x v="1"/>
    <ns0:x v="0"/>
    <ns0:x v="1"/>
    <ns0:x v="157"/>
    <ns0:x v="0"/>
  </ns0:r>
  <ns0:r>
    <ns0:x v="11"/>
    <ns0:x v="6"/>
    <ns0:x v="370"/>
    <ns0:x v="375"/>
    <ns0:x v="374"/>
    <ns0:x v="422"/>
    <ns0:x v="17"/>
    <ns0:x v="355"/>
    <ns0:x v="354"/>
    <ns0:x v="1"/>
    <ns0:x v="0"/>
    <ns0:x v="1"/>
    <ns0:x v="158"/>
    <ns0:x v="0"/>
  </ns0:r>
  <ns0:r>
    <ns0:x v="11"/>
    <ns0:x v="7"/>
    <ns0:x v="233"/>
    <ns0:x v="232"/>
    <ns0:x v="233"/>
    <ns0:x v="253"/>
    <ns0:x v="8"/>
    <ns0:x v="202"/>
    <ns0:x v="194"/>
    <ns0:x v="1"/>
    <ns0:x v="0"/>
    <ns0:x v="1"/>
    <ns0:x v="159"/>
    <ns0:x v="0"/>
  </ns0:r>
  <ns0:r>
    <ns0:x v="11"/>
    <ns0:x v="8"/>
    <ns0:x v="51"/>
    <ns0:x v="48"/>
    <ns0:x v="41"/>
    <ns0:x v="194"/>
    <ns0:x v="4"/>
    <ns0:x v="51"/>
    <ns0:x v="51"/>
    <ns0:x v="1"/>
    <ns0:x v="0"/>
    <ns0:x v="1"/>
    <ns0:x v="160"/>
    <ns0:x v="0"/>
  </ns0:r>
  <ns0:r>
    <ns0:x v="11"/>
    <ns0:x v="9"/>
    <ns0:x v="95"/>
    <ns0:x v="104"/>
    <ns0:x v="96"/>
    <ns0:x v="371"/>
    <ns0:x v="4"/>
    <ns0:x v="89"/>
    <ns0:x v="90"/>
    <ns0:x v="1"/>
    <ns0:x v="0"/>
    <ns0:x v="1"/>
    <ns0:x v="161"/>
    <ns0:x v="0"/>
  </ns0:r>
  <ns0:r>
    <ns0:x v="11"/>
    <ns0:x v="10"/>
    <ns0:x v="55"/>
    <ns0:x v="70"/>
    <ns0:x v="76"/>
    <ns0:x v="151"/>
    <ns0:x v="4"/>
    <ns0:x v="41"/>
    <ns0:x v="39"/>
    <ns0:x v="1"/>
    <ns0:x v="0"/>
    <ns0:x v="1"/>
    <ns0:x v="162"/>
    <ns0:x v="0"/>
  </ns0:r>
  <ns0:r>
    <ns0:x v="11"/>
    <ns0:x v="12"/>
    <ns0:x v="476"/>
    <ns0:x v="486"/>
    <ns0:x v="483"/>
    <ns0:x v="452"/>
    <ns0:x v="21"/>
    <ns0:x v="450"/>
    <ns0:x v="450"/>
    <ns0:x v="1"/>
    <ns0:x v="0"/>
    <ns0:x v="1"/>
    <ns0:x v="163"/>
    <ns0:x v="0"/>
  </ns0:r>
  <ns0:r>
    <ns0:x v="11"/>
    <ns0:x v="13"/>
    <ns0:x v="448"/>
    <ns0:x v="459"/>
    <ns0:x v="455"/>
    <ns0:x v="444"/>
    <ns0:x v="23"/>
    <ns0:x v="425"/>
    <ns0:x v="424"/>
    <ns0:x v="1"/>
    <ns0:x v="0"/>
    <ns0:x v="1"/>
    <ns0:x v="164"/>
    <ns0:x v="0"/>
  </ns0:r>
  <ns0:r>
    <ns0:x v="11"/>
    <ns0:x v="14"/>
    <ns0:x v="85"/>
    <ns0:x v="64"/>
    <ns0:x v="86"/>
    <ns0:x v="25"/>
    <ns0:x v="3"/>
    <ns0:x v="48"/>
    <ns0:x v="47"/>
    <ns0:x v="1"/>
    <ns0:x v="0"/>
    <ns0:x v="1"/>
    <ns0:x v="165"/>
    <ns0:x v="0"/>
  </ns0:r>
  <ns0:r>
    <ns0:x v="12"/>
    <ns0:x v="0"/>
    <ns0:x v="352"/>
    <ns0:x v="358"/>
    <ns0:x v="355"/>
    <ns0:x v="188"/>
    <ns0:x v="14"/>
    <ns0:x v="332"/>
    <ns0:x v="335"/>
    <ns0:x v="1"/>
    <ns0:x v="0"/>
    <ns0:x v="1"/>
    <ns0:x v="166"/>
    <ns0:x v="0"/>
  </ns0:r>
  <ns0:r>
    <ns0:x v="12"/>
    <ns0:x v="1"/>
    <ns0:x v="348"/>
    <ns0:x v="355"/>
    <ns0:x v="350"/>
    <ns0:x v="120"/>
    <ns0:x v="13"/>
    <ns0:x v="327"/>
    <ns0:x v="328"/>
    <ns0:x v="1"/>
    <ns0:x v="0"/>
    <ns0:x v="1"/>
    <ns0:x v="167"/>
    <ns0:x v="0"/>
  </ns0:r>
  <ns0:r>
    <ns0:x v="12"/>
    <ns0:x v="2"/>
    <ns0:x v="267"/>
    <ns0:x v="273"/>
    <ns0:x v="269"/>
    <ns0:x v="323"/>
    <ns0:x v="10"/>
    <ns0:x v="243"/>
    <ns0:x v="245"/>
    <ns0:x v="1"/>
    <ns0:x v="0"/>
    <ns0:x v="1"/>
    <ns0:x v="168"/>
    <ns0:x v="0"/>
  </ns0:r>
  <ns0:r>
    <ns0:x v="12"/>
    <ns0:x v="3"/>
    <ns0:x v="263"/>
    <ns0:x v="266"/>
    <ns0:x v="267"/>
    <ns0:x v="412"/>
    <ns0:x v="10"/>
    <ns0:x v="227"/>
    <ns0:x v="230"/>
    <ns0:x v="1"/>
    <ns0:x v="0"/>
    <ns0:x v="1"/>
    <ns0:x v="169"/>
    <ns0:x v="0"/>
  </ns0:r>
  <ns0:r>
    <ns0:x v="12"/>
    <ns0:x v="4"/>
    <ns0:x v="218"/>
    <ns0:x v="216"/>
    <ns0:x v="214"/>
    <ns0:x v="47"/>
    <ns0:x v="8"/>
    <ns0:x v="199"/>
    <ns0:x v="202"/>
    <ns0:x v="1"/>
    <ns0:x v="0"/>
    <ns0:x v="1"/>
    <ns0:x v="170"/>
    <ns0:x v="0"/>
  </ns0:r>
  <ns0:r>
    <ns0:x v="12"/>
    <ns0:x v="5"/>
    <ns0:x v="417"/>
    <ns0:x v="419"/>
    <ns0:x v="417"/>
    <ns0:x v="334"/>
    <ns0:x v="16"/>
    <ns0:x v="389"/>
    <ns0:x v="392"/>
    <ns0:x v="1"/>
    <ns0:x v="0"/>
    <ns0:x v="1"/>
    <ns0:x v="171"/>
    <ns0:x v="0"/>
  </ns0:r>
  <ns0:r>
    <ns0:x v="12"/>
    <ns0:x v="6"/>
    <ns0:x v="426"/>
    <ns0:x v="429"/>
    <ns0:x v="427"/>
    <ns0:x v="324"/>
    <ns0:x v="17"/>
    <ns0:x v="404"/>
    <ns0:x v="408"/>
    <ns0:x v="1"/>
    <ns0:x v="0"/>
    <ns0:x v="1"/>
    <ns0:x v="172"/>
    <ns0:x v="0"/>
  </ns0:r>
  <ns0:r>
    <ns0:x v="12"/>
    <ns0:x v="7"/>
    <ns0:x v="224"/>
    <ns0:x v="227"/>
    <ns0:x v="226"/>
    <ns0:x v="201"/>
    <ns0:x v="8"/>
    <ns0:x v="201"/>
    <ns0:x v="197"/>
    <ns0:x v="1"/>
    <ns0:x v="0"/>
    <ns0:x v="1"/>
    <ns0:x v="173"/>
    <ns0:x v="0"/>
  </ns0:r>
  <ns0:r>
    <ns0:x v="12"/>
    <ns0:x v="8"/>
    <ns0:x v="109"/>
    <ns0:x v="101"/>
    <ns0:x v="107"/>
    <ns0:x v="78"/>
    <ns0:x v="4"/>
    <ns0:x v="78"/>
    <ns0:x v="77"/>
    <ns0:x v="1"/>
    <ns0:x v="0"/>
    <ns0:x v="1"/>
    <ns0:x v="174"/>
    <ns0:x v="0"/>
  </ns0:r>
  <ns0:r>
    <ns0:x v="12"/>
    <ns0:x v="9"/>
    <ns0:x v="125"/>
    <ns0:x v="137"/>
    <ns0:x v="131"/>
    <ns0:x v="315"/>
    <ns0:x v="4"/>
    <ns0:x v="109"/>
    <ns0:x v="112"/>
    <ns0:x v="1"/>
    <ns0:x v="0"/>
    <ns0:x v="1"/>
    <ns0:x v="175"/>
    <ns0:x v="0"/>
  </ns0:r>
  <ns0:r>
    <ns0:x v="12"/>
    <ns0:x v="10"/>
    <ns0:x v="88"/>
    <ns0:x v="97"/>
    <ns0:x v="108"/>
    <ns0:x v="219"/>
    <ns0:x v="4"/>
    <ns0:x v="60"/>
    <ns0:x v="57"/>
    <ns0:x v="1"/>
    <ns0:x v="0"/>
    <ns0:x v="1"/>
    <ns0:x v="176"/>
    <ns0:x v="0"/>
  </ns0:r>
  <ns0:r>
    <ns0:x v="12"/>
    <ns0:x v="12"/>
    <ns0:x v="481"/>
    <ns0:x v="487"/>
    <ns0:x v="487"/>
    <ns0:x v="440"/>
    <ns0:x v="21"/>
    <ns0:x v="456"/>
    <ns0:x v="457"/>
    <ns0:x v="1"/>
    <ns0:x v="0"/>
    <ns0:x v="1"/>
    <ns0:x v="177"/>
    <ns0:x v="0"/>
  </ns0:r>
  <ns0:r>
    <ns0:x v="12"/>
    <ns0:x v="13"/>
    <ns0:x v="451"/>
    <ns0:x v="458"/>
    <ns0:x v="452"/>
    <ns0:x v="443"/>
    <ns0:x v="23"/>
    <ns0:x v="427"/>
    <ns0:x v="427"/>
    <ns0:x v="1"/>
    <ns0:x v="0"/>
    <ns0:x v="1"/>
    <ns0:x v="178"/>
    <ns0:x v="0"/>
  </ns0:r>
  <ns0:r>
    <ns0:x v="12"/>
    <ns0:x v="14"/>
    <ns0:x v="77"/>
    <ns0:x v="58"/>
    <ns0:x v="66"/>
    <ns0:x v="72"/>
    <ns0:x v="3"/>
    <ns0:x v="47"/>
    <ns0:x v="45"/>
    <ns0:x v="1"/>
    <ns0:x v="0"/>
    <ns0:x v="1"/>
    <ns0:x v="179"/>
    <ns0:x v="0"/>
  </ns0:r>
  <ns0:r>
    <ns0:x v="13"/>
    <ns0:x v="0"/>
    <ns0:x v="293"/>
    <ns0:x v="295"/>
    <ns0:x v="294"/>
    <ns0:x v="277"/>
    <ns0:x v="14"/>
    <ns0:x v="273"/>
    <ns0:x v="276"/>
    <ns0:x v="2"/>
    <ns0:x v="0"/>
    <ns0:x v="2"/>
    <ns0:x v="180"/>
    <ns0:x v="0"/>
  </ns0:r>
  <ns0:r>
    <ns0:x v="13"/>
    <ns0:x v="1"/>
    <ns0:x v="314"/>
    <ns0:x v="324"/>
    <ns0:x v="316"/>
    <ns0:x v="241"/>
    <ns0:x v="13"/>
    <ns0:x v="291"/>
    <ns0:x v="297"/>
    <ns0:x v="2"/>
    <ns0:x v="0"/>
    <ns0:x v="2"/>
    <ns0:x v="181"/>
    <ns0:x v="0"/>
  </ns0:r>
  <ns0:r>
    <ns0:x v="13"/>
    <ns0:x v="2"/>
    <ns0:x v="242"/>
    <ns0:x v="252"/>
    <ns0:x v="240"/>
    <ns0:x v="350"/>
    <ns0:x v="10"/>
    <ns0:x v="216"/>
    <ns0:x v="215"/>
    <ns0:x v="2"/>
    <ns0:x v="0"/>
    <ns0:x v="2"/>
    <ns0:x v="182"/>
    <ns0:x v="0"/>
  </ns0:r>
  <ns0:r>
    <ns0:x v="13"/>
    <ns0:x v="3"/>
    <ns0:x v="186"/>
    <ns0:x v="194"/>
    <ns0:x v="187"/>
    <ns0:x v="415"/>
    <ns0:x v="10"/>
    <ns0:x v="161"/>
    <ns0:x v="168"/>
    <ns0:x v="2"/>
    <ns0:x v="0"/>
    <ns0:x v="2"/>
    <ns0:x v="183"/>
    <ns0:x v="0"/>
  </ns0:r>
  <ns0:r>
    <ns0:x v="13"/>
    <ns0:x v="4"/>
    <ns0:x v="158"/>
    <ns0:x v="160"/>
    <ns0:x v="157"/>
    <ns0:x v="168"/>
    <ns0:x v="8"/>
    <ns0:x v="154"/>
    <ns0:x v="158"/>
    <ns0:x v="2"/>
    <ns0:x v="0"/>
    <ns0:x v="2"/>
    <ns0:x v="184"/>
    <ns0:x v="0"/>
  </ns0:r>
  <ns0:r>
    <ns0:x v="13"/>
    <ns0:x v="5"/>
    <ns0:x v="362"/>
    <ns0:x v="364"/>
    <ns0:x v="364"/>
    <ns0:x v="425"/>
    <ns0:x v="16"/>
    <ns0:x v="341"/>
    <ns0:x v="344"/>
    <ns0:x v="2"/>
    <ns0:x v="0"/>
    <ns0:x v="2"/>
    <ns0:x v="185"/>
    <ns0:x v="0"/>
  </ns0:r>
  <ns0:r>
    <ns0:x v="13"/>
    <ns0:x v="6"/>
    <ns0:x v="363"/>
    <ns0:x v="365"/>
    <ns0:x v="365"/>
    <ns0:x v="401"/>
    <ns0:x v="18"/>
    <ns0:x v="342"/>
    <ns0:x v="345"/>
    <ns0:x v="2"/>
    <ns0:x v="0"/>
    <ns0:x v="2"/>
    <ns0:x v="186"/>
    <ns0:x v="0"/>
  </ns0:r>
  <ns0:r>
    <ns0:x v="13"/>
    <ns0:x v="7"/>
    <ns0:x v="282"/>
    <ns0:x v="285"/>
    <ns0:x v="283"/>
    <ns0:x v="193"/>
    <ns0:x v="8"/>
    <ns0:x v="267"/>
    <ns0:x v="267"/>
    <ns0:x v="2"/>
    <ns0:x v="0"/>
    <ns0:x v="2"/>
    <ns0:x v="187"/>
    <ns0:x v="0"/>
  </ns0:r>
  <ns0:r>
    <ns0:x v="13"/>
    <ns0:x v="8"/>
    <ns0:x v="38"/>
    <ns0:x v="40"/>
    <ns0:x v="32"/>
    <ns0:x v="195"/>
    <ns0:x v="4"/>
    <ns0:x v="51"/>
    <ns0:x v="48"/>
    <ns0:x v="2"/>
    <ns0:x v="0"/>
    <ns0:x v="2"/>
    <ns0:x v="188"/>
    <ns0:x v="0"/>
  </ns0:r>
  <ns0:r>
    <ns0:x v="13"/>
    <ns0:x v="9"/>
    <ns0:x v="58"/>
    <ns0:x v="74"/>
    <ns0:x v="60"/>
    <ns0:x v="284"/>
    <ns0:x v="4"/>
    <ns0:x v="81"/>
    <ns0:x v="83"/>
    <ns0:x v="2"/>
    <ns0:x v="0"/>
    <ns0:x v="2"/>
    <ns0:x v="189"/>
    <ns0:x v="0"/>
  </ns0:r>
  <ns0:r>
    <ns0:x v="13"/>
    <ns0:x v="10"/>
    <ns0:x v="71"/>
    <ns0:x v="69"/>
    <ns0:x v="83"/>
    <ns0:x v="260"/>
    <ns0:x v="4"/>
    <ns0:x v="55"/>
    <ns0:x v="53"/>
    <ns0:x v="2"/>
    <ns0:x v="0"/>
    <ns0:x v="2"/>
    <ns0:x v="190"/>
    <ns0:x v="0"/>
  </ns0:r>
  <ns0:r>
    <ns0:x v="13"/>
    <ns0:x v="12"/>
    <ns0:x v="462"/>
    <ns0:x v="467"/>
    <ns0:x v="466"/>
    <ns0:x v="459"/>
    <ns0:x v="21"/>
    <ns0:x v="444"/>
    <ns0:x v="445"/>
    <ns0:x v="2"/>
    <ns0:x v="0"/>
    <ns0:x v="2"/>
    <ns0:x v="191"/>
    <ns0:x v="0"/>
  </ns0:r>
  <ns0:r>
    <ns0:x v="13"/>
    <ns0:x v="13"/>
    <ns0:x v="423"/>
    <ns0:x v="428"/>
    <ns0:x v="425"/>
    <ns0:x v="463"/>
    <ns0:x v="23"/>
    <ns0:x v="395"/>
    <ns0:x v="402"/>
    <ns0:x v="2"/>
    <ns0:x v="0"/>
    <ns0:x v="2"/>
    <ns0:x v="192"/>
    <ns0:x v="0"/>
  </ns0:r>
  <ns0:r>
    <ns0:x v="13"/>
    <ns0:x v="14"/>
    <ns0:x v="21"/>
    <ns0:x v="22"/>
    <ns0:x v="16"/>
    <ns0:x v="95"/>
    <ns0:x v="3"/>
    <ns0:x v="24"/>
    <ns0:x v="25"/>
    <ns0:x v="2"/>
    <ns0:x v="0"/>
    <ns0:x v="2"/>
    <ns0:x v="193"/>
    <ns0:x v="0"/>
  </ns0:r>
  <ns0:r>
    <ns0:x v="14"/>
    <ns0:x v="0"/>
    <ns0:x v="299"/>
    <ns0:x v="299"/>
    <ns0:x v="299"/>
    <ns0:x v="230"/>
    <ns0:x v="14"/>
    <ns0:x v="278"/>
    <ns0:x v="280"/>
    <ns0:x v="2"/>
    <ns0:x v="0"/>
    <ns0:x v="2"/>
    <ns0:x v="194"/>
    <ns0:x v="0"/>
  </ns0:r>
  <ns0:r>
    <ns0:x v="14"/>
    <ns0:x v="1"/>
    <ns0:x v="313"/>
    <ns0:x v="323"/>
    <ns0:x v="317"/>
    <ns0:x v="224"/>
    <ns0:x v="13"/>
    <ns0:x v="289"/>
    <ns0:x v="294"/>
    <ns0:x v="2"/>
    <ns0:x v="0"/>
    <ns0:x v="2"/>
    <ns0:x v="195"/>
    <ns0:x v="0"/>
  </ns0:r>
  <ns0:r>
    <ns0:x v="14"/>
    <ns0:x v="2"/>
    <ns0:x v="238"/>
    <ns0:x v="253"/>
    <ns0:x v="239"/>
    <ns0:x v="262"/>
    <ns0:x v="10"/>
    <ns0:x v="218"/>
    <ns0:x v="219"/>
    <ns0:x v="2"/>
    <ns0:x v="0"/>
    <ns0:x v="2"/>
    <ns0:x v="196"/>
    <ns0:x v="0"/>
  </ns0:r>
  <ns0:r>
    <ns0:x v="14"/>
    <ns0:x v="3"/>
    <ns0:x v="193"/>
    <ns0:x v="203"/>
    <ns0:x v="203"/>
    <ns0:x v="378"/>
    <ns0:x v="10"/>
    <ns0:x v="172"/>
    <ns0:x v="177"/>
    <ns0:x v="2"/>
    <ns0:x v="0"/>
    <ns0:x v="2"/>
    <ns0:x v="197"/>
    <ns0:x v="0"/>
  </ns0:r>
  <ns0:r>
    <ns0:x v="14"/>
    <ns0:x v="4"/>
    <ns0:x v="167"/>
    <ns0:x v="166"/>
    <ns0:x v="163"/>
    <ns0:x v="97"/>
    <ns0:x v="8"/>
    <ns0:x v="162"/>
    <ns0:x v="167"/>
    <ns0:x v="2"/>
    <ns0:x v="0"/>
    <ns0:x v="2"/>
    <ns0:x v="198"/>
    <ns0:x v="0"/>
  </ns0:r>
  <ns0:r>
    <ns0:x v="14"/>
    <ns0:x v="5"/>
    <ns0:x v="373"/>
    <ns0:x v="370"/>
    <ns0:x v="367"/>
    <ns0:x v="396"/>
    <ns0:x v="16"/>
    <ns0:x v="347"/>
    <ns0:x v="351"/>
    <ns0:x v="2"/>
    <ns0:x v="0"/>
    <ns0:x v="2"/>
    <ns0:x v="199"/>
    <ns0:x v="0"/>
  </ns0:r>
  <ns0:r>
    <ns0:x v="14"/>
    <ns0:x v="6"/>
    <ns0:x v="375"/>
    <ns0:x v="374"/>
    <ns0:x v="372"/>
    <ns0:x v="416"/>
    <ns0:x v="18"/>
    <ns0:x v="352"/>
    <ns0:x v="356"/>
    <ns0:x v="2"/>
    <ns0:x v="0"/>
    <ns0:x v="2"/>
    <ns0:x v="200"/>
    <ns0:x v="0"/>
  </ns0:r>
  <ns0:r>
    <ns0:x v="14"/>
    <ns0:x v="7"/>
    <ns0:x v="174"/>
    <ns0:x v="175"/>
    <ns0:x v="173"/>
    <ns0:x v="146"/>
    <ns0:x v="8"/>
    <ns0:x v="170"/>
    <ns0:x v="169"/>
    <ns0:x v="2"/>
    <ns0:x v="0"/>
    <ns0:x v="2"/>
    <ns0:x v="201"/>
    <ns0:x v="0"/>
  </ns0:r>
  <ns0:r>
    <ns0:x v="14"/>
    <ns0:x v="8"/>
    <ns0:x v="89"/>
    <ns0:x v="73"/>
    <ns0:x v="81"/>
    <ns0:x v="283"/>
    <ns0:x v="4"/>
    <ns0:x v="69"/>
    <ns0:x v="70"/>
    <ns0:x v="2"/>
    <ns0:x v="0"/>
    <ns0:x v="2"/>
    <ns0:x v="202"/>
    <ns0:x v="0"/>
  </ns0:r>
  <ns0:r>
    <ns0:x v="14"/>
    <ns0:x v="9"/>
    <ns0:x v="76"/>
    <ns0:x v="84"/>
    <ns0:x v="79"/>
    <ns0:x v="355"/>
    <ns0:x v="4"/>
    <ns0:x v="88"/>
    <ns0:x v="91"/>
    <ns0:x v="2"/>
    <ns0:x v="0"/>
    <ns0:x v="2"/>
    <ns0:x v="203"/>
    <ns0:x v="0"/>
  </ns0:r>
  <ns0:r>
    <ns0:x v="14"/>
    <ns0:x v="10"/>
    <ns0:x v="45"/>
    <ns0:x v="55"/>
    <ns0:x v="52"/>
    <ns0:x v="257"/>
    <ns0:x v="4"/>
    <ns0:x v="42"/>
    <ns0:x v="40"/>
    <ns0:x v="2"/>
    <ns0:x v="0"/>
    <ns0:x v="2"/>
    <ns0:x v="204"/>
    <ns0:x v="0"/>
  </ns0:r>
  <ns0:r>
    <ns0:x v="14"/>
    <ns0:x v="12"/>
    <ns0:x v="486"/>
    <ns0:x v="491"/>
    <ns0:x v="488"/>
    <ns0:x v="441"/>
    <ns0:x v="21"/>
    <ns0:x v="466"/>
    <ns0:x v="467"/>
    <ns0:x v="2"/>
    <ns0:x v="0"/>
    <ns0:x v="2"/>
    <ns0:x v="205"/>
    <ns0:x v="0"/>
  </ns0:r>
  <ns0:r>
    <ns0:x v="14"/>
    <ns0:x v="13"/>
    <ns0:x v="446"/>
    <ns0:x v="451"/>
    <ns0:x v="449"/>
    <ns0:x v="485"/>
    <ns0:x v="23"/>
    <ns0:x v="424"/>
    <ns0:x v="431"/>
    <ns0:x v="2"/>
    <ns0:x v="0"/>
    <ns0:x v="2"/>
    <ns0:x v="206"/>
    <ns0:x v="0"/>
  </ns0:r>
  <ns0:r>
    <ns0:x v="14"/>
    <ns0:x v="14"/>
    <ns0:x v="25"/>
    <ns0:x v="21"/>
    <ns0:x v="18"/>
    <ns0:x v="129"/>
    <ns0:x v="3"/>
    <ns0:x v="28"/>
    <ns0:x v="29"/>
    <ns0:x v="2"/>
    <ns0:x v="0"/>
    <ns0:x v="2"/>
    <ns0:x v="207"/>
    <ns0:x v="0"/>
  </ns0:r>
  <ns0:r>
    <ns0:x v="15"/>
    <ns0:x v="0"/>
    <ns0:x v="317"/>
    <ns0:x v="322"/>
    <ns0:x v="320"/>
    <ns0:x v="226"/>
    <ns0:x v="14"/>
    <ns0:x v="302"/>
    <ns0:x v="304"/>
    <ns0:x v="2"/>
    <ns0:x v="0"/>
    <ns0:x v="2"/>
    <ns0:x v="208"/>
    <ns0:x v="0"/>
  </ns0:r>
  <ns0:r>
    <ns0:x v="15"/>
    <ns0:x v="1"/>
    <ns0:x v="338"/>
    <ns0:x v="343"/>
    <ns0:x v="341"/>
    <ns0:x v="298"/>
    <ns0:x v="13"/>
    <ns0:x v="316"/>
    <ns0:x v="318"/>
    <ns0:x v="2"/>
    <ns0:x v="0"/>
    <ns0:x v="2"/>
    <ns0:x v="209"/>
    <ns0:x v="0"/>
  </ns0:r>
  <ns0:r>
    <ns0:x v="15"/>
    <ns0:x v="2"/>
    <ns0:x v="260"/>
    <ns0:x v="265"/>
    <ns0:x v="263"/>
    <ns0:x v="276"/>
    <ns0:x v="10"/>
    <ns0:x v="236"/>
    <ns0:x v="237"/>
    <ns0:x v="2"/>
    <ns0:x v="0"/>
    <ns0:x v="2"/>
    <ns0:x v="210"/>
    <ns0:x v="0"/>
  </ns0:r>
  <ns0:r>
    <ns0:x v="15"/>
    <ns0:x v="3"/>
    <ns0:x v="201"/>
    <ns0:x v="206"/>
    <ns0:x v="204"/>
    <ns0:x v="405"/>
    <ns0:x v="10"/>
    <ns0:x v="178"/>
    <ns0:x v="182"/>
    <ns0:x v="2"/>
    <ns0:x v="0"/>
    <ns0:x v="2"/>
    <ns0:x v="211"/>
    <ns0:x v="0"/>
  </ns0:r>
  <ns0:r>
    <ns0:x v="15"/>
    <ns0:x v="4"/>
    <ns0:x v="168"/>
    <ns0:x v="167"/>
    <ns0:x v="167"/>
    <ns0:x v="137"/>
    <ns0:x v="8"/>
    <ns0:x v="164"/>
    <ns0:x v="165"/>
    <ns0:x v="2"/>
    <ns0:x v="0"/>
    <ns0:x v="2"/>
    <ns0:x v="212"/>
    <ns0:x v="0"/>
  </ns0:r>
  <ns0:r>
    <ns0:x v="15"/>
    <ns0:x v="5"/>
    <ns0:x v="371"/>
    <ns0:x v="371"/>
    <ns0:x v="369"/>
    <ns0:x v="399"/>
    <ns0:x v="16"/>
    <ns0:x v="346"/>
    <ns0:x v="350"/>
    <ns0:x v="2"/>
    <ns0:x v="0"/>
    <ns0:x v="2"/>
    <ns0:x v="213"/>
    <ns0:x v="0"/>
  </ns0:r>
  <ns0:r>
    <ns0:x v="15"/>
    <ns0:x v="6"/>
    <ns0:x v="379"/>
    <ns0:x v="376"/>
    <ns0:x v="375"/>
    <ns0:x v="427"/>
    <ns0:x v="18"/>
    <ns0:x v="353"/>
    <ns0:x v="357"/>
    <ns0:x v="2"/>
    <ns0:x v="0"/>
    <ns0:x v="2"/>
    <ns0:x v="214"/>
    <ns0:x v="0"/>
  </ns0:r>
  <ns0:r>
    <ns0:x v="15"/>
    <ns0:x v="7"/>
    <ns0:x v="180"/>
    <ns0:x v="177"/>
    <ns0:x v="179"/>
    <ns0:x v="275"/>
    <ns0:x v="8"/>
    <ns0:x v="167"/>
    <ns0:x v="164"/>
    <ns0:x v="2"/>
    <ns0:x v="0"/>
    <ns0:x v="2"/>
    <ns0:x v="215"/>
    <ns0:x v="0"/>
  </ns0:r>
  <ns0:r>
    <ns0:x v="15"/>
    <ns0:x v="8"/>
    <ns0:x v="110"/>
    <ns0:x v="95"/>
    <ns0:x v="94"/>
    <ns0:x v="114"/>
    <ns0:x v="4"/>
    <ns0:x v="90"/>
    <ns0:x v="93"/>
    <ns0:x v="2"/>
    <ns0:x v="0"/>
    <ns0:x v="2"/>
    <ns0:x v="216"/>
    <ns0:x v="0"/>
  </ns0:r>
  <ns0:r>
    <ns0:x v="15"/>
    <ns0:x v="9"/>
    <ns0:x v="102"/>
    <ns0:x v="110"/>
    <ns0:x v="103"/>
    <ns0:x v="302"/>
    <ns0:x v="4"/>
    <ns0:x v="100"/>
    <ns0:x v="104"/>
    <ns0:x v="2"/>
    <ns0:x v="0"/>
    <ns0:x v="2"/>
    <ns0:x v="217"/>
    <ns0:x v="0"/>
  </ns0:r>
  <ns0:r>
    <ns0:x v="15"/>
    <ns0:x v="10"/>
    <ns0:x v="33"/>
    <ns0:x v="47"/>
    <ns0:x v="40"/>
    <ns0:x v="316"/>
    <ns0:x v="4"/>
    <ns0:x v="38"/>
    <ns0:x v="37"/>
    <ns0:x v="2"/>
    <ns0:x v="0"/>
    <ns0:x v="2"/>
    <ns0:x v="218"/>
    <ns0:x v="0"/>
  </ns0:r>
  <ns0:r>
    <ns0:x v="15"/>
    <ns0:x v="12"/>
    <ns0:x v="470"/>
    <ns0:x v="476"/>
    <ns0:x v="474"/>
    <ns0:x v="453"/>
    <ns0:x v="21"/>
    <ns0:x v="448"/>
    <ns0:x v="449"/>
    <ns0:x v="2"/>
    <ns0:x v="0"/>
    <ns0:x v="2"/>
    <ns0:x v="219"/>
    <ns0:x v="0"/>
  </ns0:r>
  <ns0:r>
    <ns0:x v="15"/>
    <ns0:x v="13"/>
    <ns0:x v="433"/>
    <ns0:x v="434"/>
    <ns0:x v="434"/>
    <ns0:x v="466"/>
    <ns0:x v="23"/>
    <ns0:x v="411"/>
    <ns0:x v="414"/>
    <ns0:x v="2"/>
    <ns0:x v="0"/>
    <ns0:x v="2"/>
    <ns0:x v="220"/>
    <ns0:x v="0"/>
  </ns0:r>
  <ns0:r>
    <ns0:x v="15"/>
    <ns0:x v="14"/>
    <ns0:x v="42"/>
    <ns0:x v="37"/>
    <ns0:x v="42"/>
    <ns0:x v="92"/>
    <ns0:x v="3"/>
    <ns0:x v="39"/>
    <ns0:x v="38"/>
    <ns0:x v="2"/>
    <ns0:x v="0"/>
    <ns0:x v="2"/>
    <ns0:x v="221"/>
    <ns0:x v="0"/>
  </ns0:r>
  <ns0:r>
    <ns0:x v="16"/>
    <ns0:x v="0"/>
    <ns0:x v="297"/>
    <ns0:x v="297"/>
    <ns0:x v="300"/>
    <ns0:x v="134"/>
    <ns0:x v="14"/>
    <ns0:x v="276"/>
    <ns0:x v="278"/>
    <ns0:x v="2"/>
    <ns0:x v="0"/>
    <ns0:x v="2"/>
    <ns0:x v="222"/>
    <ns0:x v="0"/>
  </ns0:r>
  <ns0:r>
    <ns0:x v="16"/>
    <ns0:x v="1"/>
    <ns0:x v="310"/>
    <ns0:x v="311"/>
    <ns0:x v="307"/>
    <ns0:x v="125"/>
    <ns0:x v="13"/>
    <ns0:x v="284"/>
    <ns0:x v="289"/>
    <ns0:x v="2"/>
    <ns0:x v="0"/>
    <ns0:x v="2"/>
    <ns0:x v="223"/>
    <ns0:x v="0"/>
  </ns0:r>
  <ns0:r>
    <ns0:x v="16"/>
    <ns0:x v="2"/>
    <ns0:x v="248"/>
    <ns0:x v="257"/>
    <ns0:x v="256"/>
    <ns0:x v="178"/>
    <ns0:x v="10"/>
    <ns0:x v="223"/>
    <ns0:x v="224"/>
    <ns0:x v="2"/>
    <ns0:x v="0"/>
    <ns0:x v="2"/>
    <ns0:x v="224"/>
    <ns0:x v="0"/>
  </ns0:r>
  <ns0:r>
    <ns0:x v="16"/>
    <ns0:x v="3"/>
    <ns0:x v="206"/>
    <ns0:x v="211"/>
    <ns0:x v="211"/>
    <ns0:x v="379"/>
    <ns0:x v="10"/>
    <ns0:x v="179"/>
    <ns0:x v="180"/>
    <ns0:x v="2"/>
    <ns0:x v="0"/>
    <ns0:x v="2"/>
    <ns0:x v="225"/>
    <ns0:x v="0"/>
  </ns0:r>
  <ns0:r>
    <ns0:x v="16"/>
    <ns0:x v="4"/>
    <ns0:x v="170"/>
    <ns0:x v="163"/>
    <ns0:x v="164"/>
    <ns0:x v="60"/>
    <ns0:x v="8"/>
    <ns0:x v="168"/>
    <ns0:x v="172"/>
    <ns0:x v="2"/>
    <ns0:x v="0"/>
    <ns0:x v="2"/>
    <ns0:x v="226"/>
    <ns0:x v="0"/>
  </ns0:r>
  <ns0:r>
    <ns0:x v="16"/>
    <ns0:x v="5"/>
    <ns0:x v="369"/>
    <ns0:x v="369"/>
    <ns0:x v="371"/>
    <ns0:x v="408"/>
    <ns0:x v="16"/>
    <ns0:x v="344"/>
    <ns0:x v="348"/>
    <ns0:x v="2"/>
    <ns0:x v="0"/>
    <ns0:x v="2"/>
    <ns0:x v="227"/>
    <ns0:x v="0"/>
  </ns0:r>
  <ns0:r>
    <ns0:x v="16"/>
    <ns0:x v="6"/>
    <ns0:x v="382"/>
    <ns0:x v="383"/>
    <ns0:x v="384"/>
    <ns0:x v="407"/>
    <ns0:x v="18"/>
    <ns0:x v="351"/>
    <ns0:x v="355"/>
    <ns0:x v="2"/>
    <ns0:x v="0"/>
    <ns0:x v="2"/>
    <ns0:x v="228"/>
    <ns0:x v="0"/>
  </ns0:r>
  <ns0:r>
    <ns0:x v="16"/>
    <ns0:x v="7"/>
    <ns0:x v="188"/>
    <ns0:x v="186"/>
    <ns0:x v="185"/>
    <ns0:x v="145"/>
    <ns0:x v="8"/>
    <ns0:x v="174"/>
    <ns0:x v="170"/>
    <ns0:x v="2"/>
    <ns0:x v="0"/>
    <ns0:x v="2"/>
    <ns0:x v="229"/>
    <ns0:x v="0"/>
  </ns0:r>
  <ns0:r>
    <ns0:x v="16"/>
    <ns0:x v="8"/>
    <ns0:x v="92"/>
    <ns0:x v="88"/>
    <ns0:x v="91"/>
    <ns0:x v="256"/>
    <ns0:x v="5"/>
    <ns0:x v="84"/>
    <ns0:x v="88"/>
    <ns0:x v="2"/>
    <ns0:x v="0"/>
    <ns0:x v="2"/>
    <ns0:x v="230"/>
    <ns0:x v="0"/>
  </ns0:r>
  <ns0:r>
    <ns0:x v="16"/>
    <ns0:x v="9"/>
    <ns0:x v="103"/>
    <ns0:x v="105"/>
    <ns0:x v="98"/>
    <ns0:x v="358"/>
    <ns0:x v="4"/>
    <ns0:x v="99"/>
    <ns0:x v="100"/>
    <ns0:x v="2"/>
    <ns0:x v="0"/>
    <ns0:x v="2"/>
    <ns0:x v="231"/>
    <ns0:x v="0"/>
  </ns0:r>
  <ns0:r>
    <ns0:x v="16"/>
    <ns0:x v="10"/>
    <ns0:x v="41"/>
    <ns0:x v="50"/>
    <ns0:x v="46"/>
    <ns0:x v="248"/>
    <ns0:x v="4"/>
    <ns0:x v="45"/>
    <ns0:x v="43"/>
    <ns0:x v="2"/>
    <ns0:x v="0"/>
    <ns0:x v="2"/>
    <ns0:x v="232"/>
    <ns0:x v="0"/>
  </ns0:r>
  <ns0:r>
    <ns0:x v="16"/>
    <ns0:x v="12"/>
    <ns0:x v="475"/>
    <ns0:x v="480"/>
    <ns0:x v="477"/>
    <ns0:x v="434"/>
    <ns0:x v="21"/>
    <ns0:x v="453"/>
    <ns0:x v="454"/>
    <ns0:x v="2"/>
    <ns0:x v="0"/>
    <ns0:x v="2"/>
    <ns0:x v="233"/>
    <ns0:x v="0"/>
  </ns0:r>
  <ns0:r>
    <ns0:x v="16"/>
    <ns0:x v="13"/>
    <ns0:x v="439"/>
    <ns0:x v="446"/>
    <ns0:x v="442"/>
    <ns0:x v="488"/>
    <ns0:x v="23"/>
    <ns0:x v="416"/>
    <ns0:x v="418"/>
    <ns0:x v="2"/>
    <ns0:x v="0"/>
    <ns0:x v="2"/>
    <ns0:x v="234"/>
    <ns0:x v="0"/>
  </ns0:r>
  <ns0:r>
    <ns0:x v="16"/>
    <ns0:x v="14"/>
    <ns0:x v="55"/>
    <ns0:x v="53"/>
    <ns0:x v="63"/>
    <ns0:x v="35"/>
    <ns0:x v="3"/>
    <ns0:x v="43"/>
    <ns0:x v="41"/>
    <ns0:x v="2"/>
    <ns0:x v="0"/>
    <ns0:x v="2"/>
    <ns0:x v="235"/>
    <ns0:x v="0"/>
  </ns0:r>
  <ns0:r>
    <ns0:x v="17"/>
    <ns0:x v="0"/>
    <ns0:x v="323"/>
    <ns0:x v="321"/>
    <ns0:x v="332"/>
    <ns0:x v="184"/>
    <ns0:x v="14"/>
    <ns0:x v="294"/>
    <ns0:x v="296"/>
    <ns0:x v="2"/>
    <ns0:x v="0"/>
    <ns0:x v="2"/>
    <ns0:x v="236"/>
    <ns0:x v="0"/>
  </ns0:r>
  <ns0:r>
    <ns0:x v="17"/>
    <ns0:x v="1"/>
    <ns0:x v="339"/>
    <ns0:x v="341"/>
    <ns0:x v="338"/>
    <ns0:x v="191"/>
    <ns0:x v="13"/>
    <ns0:x v="310"/>
    <ns0:x v="312"/>
    <ns0:x v="2"/>
    <ns0:x v="0"/>
    <ns0:x v="2"/>
    <ns0:x v="237"/>
    <ns0:x v="0"/>
  </ns0:r>
  <ns0:r>
    <ns0:x v="17"/>
    <ns0:x v="2"/>
    <ns0:x v="281"/>
    <ns0:x v="279"/>
    <ns0:x v="284"/>
    <ns0:x v="198"/>
    <ns0:x v="10"/>
    <ns0:x v="251"/>
    <ns0:x v="251"/>
    <ns0:x v="2"/>
    <ns0:x v="0"/>
    <ns0:x v="2"/>
    <ns0:x v="238"/>
    <ns0:x v="0"/>
  </ns0:r>
  <ns0:r>
    <ns0:x v="17"/>
    <ns0:x v="3"/>
    <ns0:x v="250"/>
    <ns0:x v="251"/>
    <ns0:x v="254"/>
    <ns0:x v="343"/>
    <ns0:x v="10"/>
    <ns0:x v="218"/>
    <ns0:x v="218"/>
    <ns0:x v="2"/>
    <ns0:x v="0"/>
    <ns0:x v="2"/>
    <ns0:x v="239"/>
    <ns0:x v="0"/>
  </ns0:r>
  <ns0:r>
    <ns0:x v="17"/>
    <ns0:x v="4"/>
    <ns0:x v="202"/>
    <ns0:x v="193"/>
    <ns0:x v="196"/>
    <ns0:x v="44"/>
    <ns0:x v="8"/>
    <ns0:x v="189"/>
    <ns0:x v="190"/>
    <ns0:x v="2"/>
    <ns0:x v="0"/>
    <ns0:x v="2"/>
    <ns0:x v="240"/>
    <ns0:x v="0"/>
  </ns0:r>
  <ns0:r>
    <ns0:x v="17"/>
    <ns0:x v="5"/>
    <ns0:x v="406"/>
    <ns0:x v="402"/>
    <ns0:x v="406"/>
    <ns0:x v="381"/>
    <ns0:x v="16"/>
    <ns0:x v="366"/>
    <ns0:x v="371"/>
    <ns0:x v="2"/>
    <ns0:x v="0"/>
    <ns0:x v="2"/>
    <ns0:x v="241"/>
    <ns0:x v="0"/>
  </ns0:r>
  <ns0:r>
    <ns0:x v="17"/>
    <ns0:x v="6"/>
    <ns0:x v="416"/>
    <ns0:x v="417"/>
    <ns0:x v="416"/>
    <ns0:x v="386"/>
    <ns0:x v="18"/>
    <ns0:x v="384"/>
    <ns0:x v="388"/>
    <ns0:x v="2"/>
    <ns0:x v="0"/>
    <ns0:x v="2"/>
    <ns0:x v="242"/>
    <ns0:x v="0"/>
  </ns0:r>
  <ns0:r>
    <ns0:x v="17"/>
    <ns0:x v="7"/>
    <ns0:x v="246"/>
    <ns0:x v="243"/>
    <ns0:x v="246"/>
    <ns0:x v="123"/>
    <ns0:x v="8"/>
    <ns0:x v="219"/>
    <ns0:x v="212"/>
    <ns0:x v="2"/>
    <ns0:x v="0"/>
    <ns0:x v="2"/>
    <ns0:x v="243"/>
    <ns0:x v="0"/>
  </ns0:r>
  <ns0:r>
    <ns0:x v="17"/>
    <ns0:x v="8"/>
    <ns0:x v="91"/>
    <ns0:x v="72"/>
    <ns0:x v="71"/>
    <ns0:x v="162"/>
    <ns0:x v="5"/>
    <ns0:x v="82"/>
    <ns0:x v="84"/>
    <ns0:x v="2"/>
    <ns0:x v="0"/>
    <ns0:x v="2"/>
    <ns0:x v="244"/>
    <ns0:x v="0"/>
  </ns0:r>
  <ns0:r>
    <ns0:x v="17"/>
    <ns0:x v="9"/>
    <ns0:x v="127"/>
    <ns0:x v="122"/>
    <ns0:x v="121"/>
    <ns0:x v="314"/>
    <ns0:x v="4"/>
    <ns0:x v="113"/>
    <ns0:x v="116"/>
    <ns0:x v="2"/>
    <ns0:x v="0"/>
    <ns0:x v="2"/>
    <ns0:x v="245"/>
    <ns0:x v="0"/>
  </ns0:r>
  <ns0:r>
    <ns0:x v="17"/>
    <ns0:x v="10"/>
    <ns0:x v="57"/>
    <ns0:x v="83"/>
    <ns0:x v="82"/>
    <ns0:x v="158"/>
    <ns0:x v="4"/>
    <ns0:x v="56"/>
    <ns0:x v="55"/>
    <ns0:x v="2"/>
    <ns0:x v="0"/>
    <ns0:x v="2"/>
    <ns0:x v="246"/>
    <ns0:x v="0"/>
  </ns0:r>
  <ns0:r>
    <ns0:x v="17"/>
    <ns0:x v="12"/>
    <ns0:x v="495"/>
    <ns0:x v="497"/>
    <ns0:x v="497"/>
    <ns0:x v="449"/>
    <ns0:x v="21"/>
    <ns0:x v="472"/>
    <ns0:x v="474"/>
    <ns0:x v="2"/>
    <ns0:x v="0"/>
    <ns0:x v="2"/>
    <ns0:x v="247"/>
    <ns0:x v="0"/>
  </ns0:r>
  <ns0:r>
    <ns0:x v="17"/>
    <ns0:x v="13"/>
    <ns0:x v="463"/>
    <ns0:x v="464"/>
    <ns0:x v="465"/>
    <ns0:x v="462"/>
    <ns0:x v="23"/>
    <ns0:x v="440"/>
    <ns0:x v="442"/>
    <ns0:x v="2"/>
    <ns0:x v="0"/>
    <ns0:x v="2"/>
    <ns0:x v="248"/>
    <ns0:x v="0"/>
  </ns0:r>
  <ns0:r>
    <ns0:x v="17"/>
    <ns0:x v="14"/>
    <ns0:x v="105"/>
    <ns0:x v="91"/>
    <ns0:x v="112"/>
    <ns0:x v="33"/>
    <ns0:x v="3"/>
    <ns0:x v="65"/>
    <ns0:x v="66"/>
    <ns0:x v="2"/>
    <ns0:x v="0"/>
    <ns0:x v="2"/>
    <ns0:x v="249"/>
    <ns0:x v="0"/>
  </ns0:r>
  <ns0:r>
    <ns0:x v="18"/>
    <ns0:x v="0"/>
    <ns0:x v="343"/>
    <ns0:x v="334"/>
    <ns0:x v="343"/>
    <ns0:x v="177"/>
    <ns0:x v="14"/>
    <ns0:x v="317"/>
    <ns0:x v="319"/>
    <ns0:x v="2"/>
    <ns0:x v="0"/>
    <ns0:x v="2"/>
    <ns0:x v="250"/>
    <ns0:x v="0"/>
  </ns0:r>
  <ns0:r>
    <ns0:x v="18"/>
    <ns0:x v="1"/>
    <ns0:x v="351"/>
    <ns0:x v="357"/>
    <ns0:x v="351"/>
    <ns0:x v="171"/>
    <ns0:x v="13"/>
    <ns0:x v="328"/>
    <ns0:x v="331"/>
    <ns0:x v="2"/>
    <ns0:x v="0"/>
    <ns0:x v="2"/>
    <ns0:x v="251"/>
    <ns0:x v="0"/>
  </ns0:r>
  <ns0:r>
    <ns0:x v="18"/>
    <ns0:x v="2"/>
    <ns0:x v="287"/>
    <ns0:x v="289"/>
    <ns0:x v="291"/>
    <ns0:x v="156"/>
    <ns0:x v="10"/>
    <ns0:x v="260"/>
    <ns0:x v="261"/>
    <ns0:x v="2"/>
    <ns0:x v="0"/>
    <ns0:x v="2"/>
    <ns0:x v="252"/>
    <ns0:x v="0"/>
  </ns0:r>
  <ns0:r>
    <ns0:x v="18"/>
    <ns0:x v="3"/>
    <ns0:x v="273"/>
    <ns0:x v="269"/>
    <ns0:x v="268"/>
    <ns0:x v="367"/>
    <ns0:x v="10"/>
    <ns0:x v="245"/>
    <ns0:x v="246"/>
    <ns0:x v="2"/>
    <ns0:x v="0"/>
    <ns0:x v="2"/>
    <ns0:x v="253"/>
    <ns0:x v="0"/>
  </ns0:r>
  <ns0:r>
    <ns0:x v="18"/>
    <ns0:x v="4"/>
    <ns0:x v="253"/>
    <ns0:x v="236"/>
    <ns0:x v="236"/>
    <ns0:x v="89"/>
    <ns0:x v="8"/>
    <ns0:x v="230"/>
    <ns0:x v="236"/>
    <ns0:x v="2"/>
    <ns0:x v="0"/>
    <ns0:x v="2"/>
    <ns0:x v="254"/>
    <ns0:x v="0"/>
  </ns0:r>
  <ns0:r>
    <ns0:x v="18"/>
    <ns0:x v="5"/>
    <ns0:x v="412"/>
    <ns0:x v="409"/>
    <ns0:x v="409"/>
    <ns0:x v="362"/>
    <ns0:x v="16"/>
    <ns0:x v="376"/>
    <ns0:x v="381"/>
    <ns0:x v="2"/>
    <ns0:x v="0"/>
    <ns0:x v="2"/>
    <ns0:x v="255"/>
    <ns0:x v="0"/>
  </ns0:r>
  <ns0:r>
    <ns0:x v="18"/>
    <ns0:x v="6"/>
    <ns0:x v="422"/>
    <ns0:x v="420"/>
    <ns0:x v="420"/>
    <ns0:x v="322"/>
    <ns0:x v="18"/>
    <ns0:x v="396"/>
    <ns0:x v="401"/>
    <ns0:x v="2"/>
    <ns0:x v="0"/>
    <ns0:x v="2"/>
    <ns0:x v="256"/>
    <ns0:x v="0"/>
  </ns0:r>
  <ns0:r>
    <ns0:x v="18"/>
    <ns0:x v="7"/>
    <ns0:x v="259"/>
    <ns0:x v="263"/>
    <ns0:x v="266"/>
    <ns0:x v="165"/>
    <ns0:x v="8"/>
    <ns0:x v="239"/>
    <ns0:x v="229"/>
    <ns0:x v="2"/>
    <ns0:x v="0"/>
    <ns0:x v="2"/>
    <ns0:x v="257"/>
    <ns0:x v="0"/>
  </ns0:r>
  <ns0:r>
    <ns0:x v="18"/>
    <ns0:x v="8"/>
    <ns0:x v="124"/>
    <ns0:x v="117"/>
    <ns0:x v="120"/>
    <ns0:x v="218"/>
    <ns0:x v="5"/>
    <ns0:x v="104"/>
    <ns0:x v="108"/>
    <ns0:x v="2"/>
    <ns0:x v="0"/>
    <ns0:x v="2"/>
    <ns0:x v="258"/>
    <ns0:x v="0"/>
  </ns0:r>
  <ns0:r>
    <ns0:x v="18"/>
    <ns0:x v="9"/>
    <ns0:x v="147"/>
    <ns0:x v="146"/>
    <ns0:x v="144"/>
    <ns0:x v="245"/>
    <ns0:x v="4"/>
    <ns0:x v="129"/>
    <ns0:x v="129"/>
    <ns0:x v="2"/>
    <ns0:x v="0"/>
    <ns0:x v="2"/>
    <ns0:x v="259"/>
    <ns0:x v="0"/>
  </ns0:r>
  <ns0:r>
    <ns0:x v="18"/>
    <ns0:x v="10"/>
    <ns0:x v="83"/>
    <ns0:x v="100"/>
    <ns0:x v="101"/>
    <ns0:x v="152"/>
    <ns0:x v="4"/>
    <ns0:x v="67"/>
    <ns0:x v="64"/>
    <ns0:x v="2"/>
    <ns0:x v="0"/>
    <ns0:x v="2"/>
    <ns0:x v="260"/>
    <ns0:x v="0"/>
  </ns0:r>
  <ns0:r>
    <ns0:x v="18"/>
    <ns0:x v="12"/>
    <ns0:x v="496"/>
    <ns0:x v="498"/>
    <ns0:x v="496"/>
    <ns0:x v="450"/>
    <ns0:x v="21"/>
    <ns0:x v="474"/>
    <ns0:x v="476"/>
    <ns0:x v="2"/>
    <ns0:x v="0"/>
    <ns0:x v="2"/>
    <ns0:x v="261"/>
    <ns0:x v="0"/>
  </ns0:r>
  <ns0:r>
    <ns0:x v="18"/>
    <ns0:x v="13"/>
    <ns0:x v="465"/>
    <ns0:x v="463"/>
    <ns0:x v="464"/>
    <ns0:x v="456"/>
    <ns0:x v="23"/>
    <ns0:x v="441"/>
    <ns0:x v="443"/>
    <ns0:x v="2"/>
    <ns0:x v="0"/>
    <ns0:x v="2"/>
    <ns0:x v="262"/>
    <ns0:x v="0"/>
  </ns0:r>
  <ns0:r>
    <ns0:x v="18"/>
    <ns0:x v="14"/>
    <ns0:x v="100"/>
    <ns0:x v="87"/>
    <ns0:x v="110"/>
    <ns0:x v="37"/>
    <ns0:x v="3"/>
    <ns0:x v="72"/>
    <ns0:x v="73"/>
    <ns0:x v="2"/>
    <ns0:x v="0"/>
    <ns0:x v="2"/>
    <ns0:x v="263"/>
    <ns0:x v="0"/>
  </ns0:r>
  <ns0:r>
    <ns0:x v="19"/>
    <ns0:x v="0"/>
    <ns0:x v="315"/>
    <ns0:x v="309"/>
    <ns0:x v="310"/>
    <ns0:x v="119"/>
    <ns0:x v="14"/>
    <ns0:x v="298"/>
    <ns0:x v="300"/>
    <ns0:x v="2"/>
    <ns0:x v="0"/>
    <ns0:x v="2"/>
    <ns0:x v="264"/>
    <ns0:x v="0"/>
  </ns0:r>
  <ns0:r>
    <ns0:x v="19"/>
    <ns0:x v="1"/>
    <ns0:x v="333"/>
    <ns0:x v="337"/>
    <ns0:x v="334"/>
    <ns0:x v="24"/>
    <ns0:x v="13"/>
    <ns0:x v="312"/>
    <ns0:x v="316"/>
    <ns0:x v="2"/>
    <ns0:x v="0"/>
    <ns0:x v="2"/>
    <ns0:x v="265"/>
    <ns0:x v="0"/>
  </ns0:r>
  <ns0:r>
    <ns0:x v="19"/>
    <ns0:x v="2"/>
    <ns0:x v="255"/>
    <ns0:x v="260"/>
    <ns0:x v="257"/>
    <ns0:x v="365"/>
    <ns0:x v="10"/>
    <ns0:x v="233"/>
    <ns0:x v="239"/>
    <ns0:x v="2"/>
    <ns0:x v="0"/>
    <ns0:x v="2"/>
    <ns0:x v="266"/>
    <ns0:x v="0"/>
  </ns0:r>
  <ns0:r>
    <ns0:x v="19"/>
    <ns0:x v="3"/>
    <ns0:x v="232"/>
    <ns0:x v="231"/>
    <ns0:x v="230"/>
    <ns0:x v="312"/>
    <ns0:x v="10"/>
    <ns0:x v="209"/>
    <ns0:x v="209"/>
    <ns0:x v="2"/>
    <ns0:x v="0"/>
    <ns0:x v="2"/>
    <ns0:x v="267"/>
    <ns0:x v="0"/>
  </ns0:r>
  <ns0:r>
    <ns0:x v="19"/>
    <ns0:x v="4"/>
    <ns0:x v="194"/>
    <ns0:x v="185"/>
    <ns0:x v="188"/>
    <ns0:x v="46"/>
    <ns0:x v="8"/>
    <ns0:x v="192"/>
    <ns0:x v="193"/>
    <ns0:x v="2"/>
    <ns0:x v="0"/>
    <ns0:x v="2"/>
    <ns0:x v="268"/>
    <ns0:x v="0"/>
  </ns0:r>
  <ns0:r>
    <ns0:x v="19"/>
    <ns0:x v="5"/>
    <ns0:x v="367"/>
    <ns0:x v="367"/>
    <ns0:x v="368"/>
    <ns0:x v="310"/>
    <ns0:x v="16"/>
    <ns0:x v="343"/>
    <ns0:x v="346"/>
    <ns0:x v="2"/>
    <ns0:x v="0"/>
    <ns0:x v="2"/>
    <ns0:x v="269"/>
    <ns0:x v="0"/>
  </ns0:r>
  <ns0:r>
    <ns0:x v="19"/>
    <ns0:x v="6"/>
    <ns0:x v="377"/>
    <ns0:x v="378"/>
    <ns0:x v="377"/>
    <ns0:x v="329"/>
    <ns0:x v="18"/>
    <ns0:x v="349"/>
    <ns0:x v="352"/>
    <ns0:x v="2"/>
    <ns0:x v="0"/>
    <ns0:x v="2"/>
    <ns0:x v="270"/>
    <ns0:x v="0"/>
  </ns0:r>
  <ns0:r>
    <ns0:x v="19"/>
    <ns0:x v="7"/>
    <ns0:x v="212"/>
    <ns0:x v="210"/>
    <ns0:x v="215"/>
    <ns0:x v="172"/>
    <ns0:x v="8"/>
    <ns0:x v="207"/>
    <ns0:x v="199"/>
    <ns0:x v="2"/>
    <ns0:x v="0"/>
    <ns0:x v="2"/>
    <ns0:x v="271"/>
    <ns0:x v="0"/>
  </ns0:r>
  <ns0:r>
    <ns0:x v="19"/>
    <ns0:x v="8"/>
    <ns0:x v="88"/>
    <ns0:x v="93"/>
    <ns0:x v="85"/>
    <ns0:x v="91"/>
    <ns0:x v="5"/>
    <ns0:x v="92"/>
    <ns0:x v="92"/>
    <ns0:x v="2"/>
    <ns0:x v="0"/>
    <ns0:x v="2"/>
    <ns0:x v="272"/>
    <ns0:x v="0"/>
  </ns0:r>
  <ns0:r>
    <ns0:x v="19"/>
    <ns0:x v="9"/>
    <ns0:x v="117"/>
    <ns0:x v="123"/>
    <ns0:x v="119"/>
    <ns0:x v="293"/>
    <ns0:x v="4"/>
    <ns0:x v="112"/>
    <ns0:x v="113"/>
    <ns0:x v="2"/>
    <ns0:x v="0"/>
    <ns0:x v="2"/>
    <ns0:x v="273"/>
    <ns0:x v="0"/>
  </ns0:r>
  <ns0:r>
    <ns0:x v="19"/>
    <ns0:x v="10"/>
    <ns0:x v="53"/>
    <ns0:x v="68"/>
    <ns0:x v="54"/>
    <ns0:x v="205"/>
    <ns0:x v="4"/>
    <ns0:x v="57"/>
    <ns0:x v="54"/>
    <ns0:x v="2"/>
    <ns0:x v="0"/>
    <ns0:x v="2"/>
    <ns0:x v="274"/>
    <ns0:x v="0"/>
  </ns0:r>
  <ns0:r>
    <ns0:x v="19"/>
    <ns0:x v="12"/>
    <ns0:x v="474"/>
    <ns0:x v="472"/>
    <ns0:x v="475"/>
    <ns0:x v="447"/>
    <ns0:x v="21"/>
    <ns0:x v="449"/>
    <ns0:x v="453"/>
    <ns0:x v="2"/>
    <ns0:x v="0"/>
    <ns0:x v="2"/>
    <ns0:x v="275"/>
    <ns0:x v="0"/>
  </ns0:r>
  <ns0:r>
    <ns0:x v="19"/>
    <ns0:x v="13"/>
    <ns0:x v="436"/>
    <ns0:x v="436"/>
    <ns0:x v="436"/>
    <ns0:x v="445"/>
    <ns0:x v="23"/>
    <ns0:x v="414"/>
    <ns0:x v="417"/>
    <ns0:x v="2"/>
    <ns0:x v="0"/>
    <ns0:x v="2"/>
    <ns0:x v="276"/>
    <ns0:x v="0"/>
  </ns0:r>
  <ns0:r>
    <ns0:x v="19"/>
    <ns0:x v="14"/>
    <ns0:x v="34"/>
    <ns0:x v="34"/>
    <ns0:x v="33"/>
    <ns0:x v="142"/>
    <ns0:x v="3"/>
    <ns0:x v="37"/>
    <ns0:x v="36"/>
    <ns0:x v="2"/>
    <ns0:x v="0"/>
    <ns0:x v="2"/>
    <ns0:x v="277"/>
    <ns0:x v="0"/>
  </ns0:r>
  <ns0:r>
    <ns0:x v="20"/>
    <ns0:x v="0"/>
    <ns0:x v="309"/>
    <ns0:x v="304"/>
    <ns0:x v="305"/>
    <ns0:x v="227"/>
    <ns0:x v="14"/>
    <ns0:x v="295"/>
    <ns0:x v="298"/>
    <ns0:x v="3"/>
    <ns0:x v="0"/>
    <ns0:x v="3"/>
    <ns0:x v="278"/>
    <ns0:x v="0"/>
  </ns0:r>
  <ns0:r>
    <ns0:x v="20"/>
    <ns0:x v="1"/>
    <ns0:x v="334"/>
    <ns0:x v="329"/>
    <ns0:x v="325"/>
    <ns0:x v="140"/>
    <ns0:x v="13"/>
    <ns0:x v="309"/>
    <ns0:x v="314"/>
    <ns0:x v="3"/>
    <ns0:x v="0"/>
    <ns0:x v="3"/>
    <ns0:x v="279"/>
    <ns0:x v="0"/>
  </ns0:r>
  <ns0:r>
    <ns0:x v="20"/>
    <ns0:x v="2"/>
    <ns0:x v="264"/>
    <ns0:x v="267"/>
    <ns0:x v="265"/>
    <ns0:x v="266"/>
    <ns0:x v="10"/>
    <ns0:x v="244"/>
    <ns0:x v="246"/>
    <ns0:x v="3"/>
    <ns0:x v="0"/>
    <ns0:x v="3"/>
    <ns0:x v="280"/>
    <ns0:x v="0"/>
  </ns0:r>
  <ns0:r>
    <ns0:x v="20"/>
    <ns0:x v="3"/>
    <ns0:x v="222"/>
    <ns0:x v="221"/>
    <ns0:x v="218"/>
    <ns0:x v="388"/>
    <ns0:x v="10"/>
    <ns0:x v="198"/>
    <ns0:x v="199"/>
    <ns0:x v="3"/>
    <ns0:x v="0"/>
    <ns0:x v="3"/>
    <ns0:x v="281"/>
    <ns0:x v="0"/>
  </ns0:r>
  <ns0:r>
    <ns0:x v="20"/>
    <ns0:x v="4"/>
    <ns0:x v="185"/>
    <ns0:x v="172"/>
    <ns0:x v="168"/>
    <ns0:x v="124"/>
    <ns0:x v="8"/>
    <ns0:x v="184"/>
    <ns0:x v="188"/>
    <ns0:x v="3"/>
    <ns0:x v="0"/>
    <ns0:x v="3"/>
    <ns0:x v="282"/>
    <ns0:x v="0"/>
  </ns0:r>
  <ns0:r>
    <ns0:x v="20"/>
    <ns0:x v="5"/>
    <ns0:x v="381"/>
    <ns0:x v="382"/>
    <ns0:x v="376"/>
    <ns0:x v="335"/>
    <ns0:x v="16"/>
    <ns0:x v="354"/>
    <ns0:x v="358"/>
    <ns0:x v="3"/>
    <ns0:x v="0"/>
    <ns0:x v="3"/>
    <ns0:x v="283"/>
    <ns0:x v="0"/>
  </ns0:r>
  <ns0:r>
    <ns0:x v="20"/>
    <ns0:x v="6"/>
    <ns0:x v="386"/>
    <ns0:x v="386"/>
    <ns0:x v="383"/>
    <ns0:x v="348"/>
    <ns0:x v="18"/>
    <ns0:x v="362"/>
    <ns0:x v="365"/>
    <ns0:x v="3"/>
    <ns0:x v="0"/>
    <ns0:x v="3"/>
    <ns0:x v="284"/>
    <ns0:x v="0"/>
  </ns0:r>
  <ns0:r>
    <ns0:x v="20"/>
    <ns0:x v="7"/>
    <ns0:x v="196"/>
    <ns0:x v="202"/>
    <ns0:x v="202"/>
    <ns0:x v="186"/>
    <ns0:x v="8"/>
    <ns0:x v="203"/>
    <ns0:x v="196"/>
    <ns0:x v="3"/>
    <ns0:x v="0"/>
    <ns0:x v="3"/>
    <ns0:x v="285"/>
    <ns0:x v="0"/>
  </ns0:r>
  <ns0:r>
    <ns0:x v="20"/>
    <ns0:x v="8"/>
    <ns0:x v="108"/>
    <ns0:x v="107"/>
    <ns0:x v="105"/>
    <ns0:x v="204"/>
    <ns0:x v="5"/>
    <ns0:x v="93"/>
    <ns0:x v="97"/>
    <ns0:x v="3"/>
    <ns0:x v="0"/>
    <ns0:x v="3"/>
    <ns0:x v="286"/>
    <ns0:x v="0"/>
  </ns0:r>
  <ns0:r>
    <ns0:x v="20"/>
    <ns0:x v="9"/>
    <ns0:x v="101"/>
    <ns0:x v="111"/>
    <ns0:x v="100"/>
    <ns0:x v="327"/>
    <ns0:x v="5"/>
    <ns0:x v="107"/>
    <ns0:x v="107"/>
    <ns0:x v="3"/>
    <ns0:x v="0"/>
    <ns0:x v="3"/>
    <ns0:x v="287"/>
    <ns0:x v="0"/>
  </ns0:r>
  <ns0:r>
    <ns0:x v="20"/>
    <ns0:x v="10"/>
    <ns0:x v="65"/>
    <ns0:x v="80"/>
    <ns0:x v="69"/>
    <ns0:x v="167"/>
    <ns0:x v="4"/>
    <ns0:x v="63"/>
    <ns0:x v="62"/>
    <ns0:x v="3"/>
    <ns0:x v="0"/>
    <ns0:x v="3"/>
    <ns0:x v="288"/>
    <ns0:x v="0"/>
  </ns0:r>
  <ns0:r>
    <ns0:x v="20"/>
    <ns0:x v="12"/>
    <ns0:x v="471"/>
    <ns0:x v="473"/>
    <ns0:x v="469"/>
    <ns0:x v="495"/>
    <ns0:x v="21"/>
    <ns0:x v="457"/>
    <ns0:x v="461"/>
    <ns0:x v="3"/>
    <ns0:x v="0"/>
    <ns0:x v="3"/>
    <ns0:x v="289"/>
    <ns0:x v="0"/>
  </ns0:r>
  <ns0:r>
    <ns0:x v="20"/>
    <ns0:x v="13"/>
    <ns0:x v="438"/>
    <ns0:x v="441"/>
    <ns0:x v="439"/>
    <ns0:x v="484"/>
    <ns0:x v="23"/>
    <ns0:x v="418"/>
    <ns0:x v="420"/>
    <ns0:x v="3"/>
    <ns0:x v="0"/>
    <ns0:x v="3"/>
    <ns0:x v="290"/>
    <ns0:x v="0"/>
  </ns0:r>
  <ns0:r>
    <ns0:x v="20"/>
    <ns0:x v="14"/>
    <ns0:x v="49"/>
    <ns0:x v="45"/>
    <ns0:x v="47"/>
    <ns0:x v="102"/>
    <ns0:x v="3"/>
    <ns0:x v="49"/>
    <ns0:x v="49"/>
    <ns0:x v="3"/>
    <ns0:x v="0"/>
    <ns0:x v="3"/>
    <ns0:x v="291"/>
    <ns0:x v="0"/>
  </ns0:r>
  <ns0:r>
    <ns0:x v="21"/>
    <ns0:x v="0"/>
    <ns0:x v="324"/>
    <ns0:x v="315"/>
    <ns0:x v="321"/>
    <ns0:x v="317"/>
    <ns0:x v="14"/>
    <ns0:x v="305"/>
    <ns0:x v="309"/>
    <ns0:x v="3"/>
    <ns0:x v="0"/>
    <ns0:x v="3"/>
    <ns0:x v="292"/>
    <ns0:x v="0"/>
  </ns0:r>
  <ns0:r>
    <ns0:x v="21"/>
    <ns0:x v="1"/>
    <ns0:x v="347"/>
    <ns0:x v="338"/>
    <ns0:x v="346"/>
    <ns0:x v="254"/>
    <ns0:x v="13"/>
    <ns0:x v="321"/>
    <ns0:x v="326"/>
    <ns0:x v="3"/>
    <ns0:x v="0"/>
    <ns0:x v="3"/>
    <ns0:x v="293"/>
    <ns0:x v="0"/>
  </ns0:r>
  <ns0:r>
    <ns0:x v="21"/>
    <ns0:x v="2"/>
    <ns0:x v="271"/>
    <ns0:x v="274"/>
    <ns0:x v="272"/>
    <ns0:x v="309"/>
    <ns0:x v="10"/>
    <ns0:x v="248"/>
    <ns0:x v="252"/>
    <ns0:x v="3"/>
    <ns0:x v="0"/>
    <ns0:x v="3"/>
    <ns0:x v="294"/>
    <ns0:x v="0"/>
  </ns0:r>
  <ns0:r>
    <ns0:x v="21"/>
    <ns0:x v="3"/>
    <ns0:x v="228"/>
    <ns0:x v="217"/>
    <ns0:x v="227"/>
    <ns0:x v="384"/>
    <ns0:x v="10"/>
    <ns0:x v="205"/>
    <ns0:x v="208"/>
    <ns0:x v="3"/>
    <ns0:x v="0"/>
    <ns0:x v="3"/>
    <ns0:x v="295"/>
    <ns0:x v="0"/>
  </ns0:r>
  <ns0:r>
    <ns0:x v="21"/>
    <ns0:x v="4"/>
    <ns0:x v="198"/>
    <ns0:x v="187"/>
    <ns0:x v="189"/>
    <ns0:x v="87"/>
    <ns0:x v="8"/>
    <ns0:x v="197"/>
    <ns0:x v="200"/>
    <ns0:x v="3"/>
    <ns0:x v="0"/>
    <ns0:x v="3"/>
    <ns0:x v="296"/>
    <ns0:x v="0"/>
  </ns0:r>
  <ns0:r>
    <ns0:x v="21"/>
    <ns0:x v="5"/>
    <ns0:x v="395"/>
    <ns0:x v="389"/>
    <ns0:x v="388"/>
    <ns0:x v="366"/>
    <ns0:x v="16"/>
    <ns0:x v="373"/>
    <ns0:x v="378"/>
    <ns0:x v="3"/>
    <ns0:x v="0"/>
    <ns0:x v="3"/>
    <ns0:x v="297"/>
    <ns0:x v="0"/>
  </ns0:r>
  <ns0:r>
    <ns0:x v="21"/>
    <ns0:x v="6"/>
    <ns0:x v="407"/>
    <ns0:x v="404"/>
    <ns0:x v="403"/>
    <ns0:x v="370"/>
    <ns0:x v="18"/>
    <ns0:x v="390"/>
    <ns0:x v="396"/>
    <ns0:x v="3"/>
    <ns0:x v="0"/>
    <ns0:x v="3"/>
    <ns0:x v="298"/>
    <ns0:x v="0"/>
  </ns0:r>
  <ns0:r>
    <ns0:x v="21"/>
    <ns0:x v="7"/>
    <ns0:x v="239"/>
    <ns0:x v="229"/>
    <ns0:x v="241"/>
    <ns0:x v="294"/>
    <ns0:x v="8"/>
    <ns0:x v="224"/>
    <ns0:x v="225"/>
    <ns0:x v="3"/>
    <ns0:x v="0"/>
    <ns0:x v="3"/>
    <ns0:x v="299"/>
    <ns0:x v="0"/>
  </ns0:r>
  <ns0:r>
    <ns0:x v="21"/>
    <ns0:x v="8"/>
    <ns0:x v="106"/>
    <ns0:x v="86"/>
    <ns0:x v="89"/>
    <ns0:x v="265"/>
    <ns0:x v="6"/>
    <ns0:x v="91"/>
    <ns0:x v="94"/>
    <ns0:x v="3"/>
    <ns0:x v="0"/>
    <ns0:x v="3"/>
    <ns0:x v="300"/>
    <ns0:x v="0"/>
  </ns0:r>
  <ns0:r>
    <ns0:x v="21"/>
    <ns0:x v="9"/>
    <ns0:x v="130"/>
    <ns0:x v="121"/>
    <ns0:x v="126"/>
    <ns0:x v="325"/>
    <ns0:x v="5"/>
    <ns0:x v="119"/>
    <ns0:x v="121"/>
    <ns0:x v="3"/>
    <ns0:x v="0"/>
    <ns0:x v="3"/>
    <ns0:x v="301"/>
    <ns0:x v="0"/>
  </ns0:r>
  <ns0:r>
    <ns0:x v="21"/>
    <ns0:x v="10"/>
    <ns0:x v="123"/>
    <ns0:x v="129"/>
    <ns0:x v="137"/>
    <ns0:x v="211"/>
    <ns0:x v="4"/>
    <ns0:x v="108"/>
    <ns0:x v="111"/>
    <ns0:x v="3"/>
    <ns0:x v="0"/>
    <ns0:x v="3"/>
    <ns0:x v="302"/>
    <ns0:x v="0"/>
  </ns0:r>
  <ns0:r>
    <ns0:x v="21"/>
    <ns0:x v="12"/>
    <ns0:x v="478"/>
    <ns0:x v="475"/>
    <ns0:x v="473"/>
    <ns0:x v="472"/>
    <ns0:x v="21"/>
    <ns0:x v="461"/>
    <ns0:x v="462"/>
    <ns0:x v="3"/>
    <ns0:x v="0"/>
    <ns0:x v="3"/>
    <ns0:x v="303"/>
    <ns0:x v="0"/>
  </ns0:r>
  <ns0:r>
    <ns0:x v="21"/>
    <ns0:x v="13"/>
    <ns0:x v="442"/>
    <ns0:x v="438"/>
    <ns0:x v="440"/>
    <ns0:x v="483"/>
    <ns0:x v="23"/>
    <ns0:x v="419"/>
    <ns0:x v="422"/>
    <ns0:x v="3"/>
    <ns0:x v="0"/>
    <ns0:x v="3"/>
    <ns0:x v="304"/>
    <ns0:x v="0"/>
  </ns0:r>
  <ns0:r>
    <ns0:x v="21"/>
    <ns0:x v="14"/>
    <ns0:x v="47"/>
    <ns0:x v="46"/>
    <ns0:x v="49"/>
    <ns0:x v="45"/>
    <ns0:x v="3"/>
    <ns0:x v="50"/>
    <ns0:x v="50"/>
    <ns0:x v="3"/>
    <ns0:x v="0"/>
    <ns0:x v="3"/>
    <ns0:x v="305"/>
    <ns0:x v="0"/>
  </ns0:r>
  <ns0:r>
    <ns0:x v="22"/>
    <ns0:x v="0"/>
    <ns0:x v="358"/>
    <ns0:x v="347"/>
    <ns0:x v="358"/>
    <ns0:x v="345"/>
    <ns0:x v="14"/>
    <ns0:x v="335"/>
    <ns0:x v="338"/>
    <ns0:x v="3"/>
    <ns0:x v="0"/>
    <ns0:x v="3"/>
    <ns0:x v="306"/>
    <ns0:x v="0"/>
  </ns0:r>
  <ns0:r>
    <ns0:x v="22"/>
    <ns0:x v="1"/>
    <ns0:x v="355"/>
    <ns0:x v="352"/>
    <ns0:x v="354"/>
    <ns0:x v="479"/>
    <ns0:x v="13"/>
    <ns0:x v="331"/>
    <ns0:x v="334"/>
    <ns0:x v="3"/>
    <ns0:x v="0"/>
    <ns0:x v="3"/>
    <ns0:x v="307"/>
    <ns0:x v="0"/>
  </ns0:r>
  <ns0:r>
    <ns0:x v="22"/>
    <ns0:x v="2"/>
    <ns0:x v="279"/>
    <ns0:x v="286"/>
    <ns0:x v="288"/>
    <ns0:x v="271"/>
    <ns0:x v="10"/>
    <ns0:x v="258"/>
    <ns0:x v="260"/>
    <ns0:x v="3"/>
    <ns0:x v="0"/>
    <ns0:x v="3"/>
    <ns0:x v="308"/>
    <ns0:x v="0"/>
  </ns0:r>
  <ns0:r>
    <ns0:x v="22"/>
    <ns0:x v="3"/>
    <ns0:x v="249"/>
    <ns0:x v="239"/>
    <ns0:x v="244"/>
    <ns0:x v="430"/>
    <ns0:x v="10"/>
    <ns0:x v="217"/>
    <ns0:x v="221"/>
    <ns0:x v="3"/>
    <ns0:x v="0"/>
    <ns0:x v="3"/>
    <ns0:x v="309"/>
    <ns0:x v="0"/>
  </ns0:r>
  <ns0:r>
    <ns0:x v="22"/>
    <ns0:x v="4"/>
    <ns0:x v="197"/>
    <ns0:x v="196"/>
    <ns0:x v="197"/>
    <ns0:x v="83"/>
    <ns0:x v="8"/>
    <ns0:x v="195"/>
    <ns0:x v="201"/>
    <ns0:x v="3"/>
    <ns0:x v="0"/>
    <ns0:x v="3"/>
    <ns0:x v="310"/>
    <ns0:x v="0"/>
  </ns0:r>
  <ns0:r>
    <ns0:x v="22"/>
    <ns0:x v="5"/>
    <ns0:x v="400"/>
    <ns0:x v="397"/>
    <ns0:x v="394"/>
    <ns0:x v="424"/>
    <ns0:x v="16"/>
    <ns0:x v="380"/>
    <ns0:x v="383"/>
    <ns0:x v="3"/>
    <ns0:x v="0"/>
    <ns0:x v="3"/>
    <ns0:x v="311"/>
    <ns0:x v="0"/>
  </ns0:r>
  <ns0:r>
    <ns0:x v="22"/>
    <ns0:x v="6"/>
    <ns0:x v="405"/>
    <ns0:x v="405"/>
    <ns0:x v="402"/>
    <ns0:x v="426"/>
    <ns0:x v="18"/>
    <ns0:x v="388"/>
    <ns0:x v="391"/>
    <ns0:x v="3"/>
    <ns0:x v="0"/>
    <ns0:x v="3"/>
    <ns0:x v="312"/>
    <ns0:x v="0"/>
  </ns0:r>
  <ns0:r>
    <ns0:x v="22"/>
    <ns0:x v="7"/>
    <ns0:x v="209"/>
    <ns0:x v="209"/>
    <ns0:x v="216"/>
    <ns0:x v="264"/>
    <ns0:x v="8"/>
    <ns0:x v="213"/>
    <ns0:x v="204"/>
    <ns0:x v="3"/>
    <ns0:x v="0"/>
    <ns0:x v="3"/>
    <ns0:x v="313"/>
    <ns0:x v="0"/>
  </ns0:r>
  <ns0:r>
    <ns0:x v="22"/>
    <ns0:x v="8"/>
    <ns0:x v="115"/>
    <ns0:x v="102"/>
    <ns0:x v="111"/>
    <ns0:x v="52"/>
    <ns0:x v="6"/>
    <ns0:x v="99"/>
    <ns0:x v="103"/>
    <ns0:x v="3"/>
    <ns0:x v="0"/>
    <ns0:x v="3"/>
    <ns0:x v="314"/>
    <ns0:x v="0"/>
  </ns0:r>
  <ns0:r>
    <ns0:x v="22"/>
    <ns0:x v="9"/>
    <ns0:x v="138"/>
    <ns0:x v="132"/>
    <ns0:x v="130"/>
    <ns0:x v="359"/>
    <ns0:x v="5"/>
    <ns0:x v="127"/>
    <ns0:x v="127"/>
    <ns0:x v="3"/>
    <ns0:x v="0"/>
    <ns0:x v="3"/>
    <ns0:x v="315"/>
    <ns0:x v="0"/>
  </ns0:r>
  <ns0:r>
    <ns0:x v="22"/>
    <ns0:x v="10"/>
    <ns0:x v="70"/>
    <ns0:x v="78"/>
    <ns0:x v="80"/>
    <ns0:x v="189"/>
    <ns0:x v="4"/>
    <ns0:x v="72"/>
    <ns0:x v="72"/>
    <ns0:x v="3"/>
    <ns0:x v="0"/>
    <ns0:x v="3"/>
    <ns0:x v="316"/>
    <ns0:x v="0"/>
  </ns0:r>
  <ns0:r>
    <ns0:x v="22"/>
    <ns0:x v="12"/>
    <ns0:x v="492"/>
    <ns0:x v="492"/>
    <ns0:x v="489"/>
    <ns0:x v="500"/>
    <ns0:x v="21"/>
    <ns0:x v="471"/>
    <ns0:x v="472"/>
    <ns0:x v="3"/>
    <ns0:x v="0"/>
    <ns0:x v="3"/>
    <ns0:x v="317"/>
    <ns0:x v="0"/>
  </ns0:r>
  <ns0:r>
    <ns0:x v="22"/>
    <ns0:x v="13"/>
    <ns0:x v="459"/>
    <ns0:x v="456"/>
    <ns0:x v="456"/>
    <ns0:x v="501"/>
    <ns0:x v="23"/>
    <ns0:x v="435"/>
    <ns0:x v="437"/>
    <ns0:x v="3"/>
    <ns0:x v="0"/>
    <ns0:x v="3"/>
    <ns0:x v="318"/>
    <ns0:x v="0"/>
  </ns0:r>
  <ns0:r>
    <ns0:x v="22"/>
    <ns0:x v="14"/>
    <ns0:x v="82"/>
    <ns0:x v="62"/>
    <ns0:x v="77"/>
    <ns0:x v="30"/>
    <ns0:x v="3"/>
    <ns0:x v="66"/>
    <ns0:x v="67"/>
    <ns0:x v="3"/>
    <ns0:x v="0"/>
    <ns0:x v="3"/>
    <ns0:x v="319"/>
    <ns0:x v="0"/>
  </ns0:r>
  <ns0:r>
    <ns0:x v="23"/>
    <ns0:x v="0"/>
    <ns0:x v="318"/>
    <ns0:x v="306"/>
    <ns0:x v="319"/>
    <ns0:x v="150"/>
    <ns0:x v="14"/>
    <ns0:x v="290"/>
    <ns0:x v="292"/>
    <ns0:x v="3"/>
    <ns0:x v="0"/>
    <ns0:x v="3"/>
    <ns0:x v="320"/>
    <ns0:x v="0"/>
  </ns0:r>
  <ns0:r>
    <ns0:x v="23"/>
    <ns0:x v="1"/>
    <ns0:x v="340"/>
    <ns0:x v="330"/>
    <ns0:x v="337"/>
    <ns0:x v="106"/>
    <ns0:x v="13"/>
    <ns0:x v="313"/>
    <ns0:x v="320"/>
    <ns0:x v="3"/>
    <ns0:x v="0"/>
    <ns0:x v="3"/>
    <ns0:x v="321"/>
    <ns0:x v="0"/>
  </ns0:r>
  <ns0:r>
    <ns0:x v="23"/>
    <ns0:x v="2"/>
    <ns0:x v="278"/>
    <ns0:x v="281"/>
    <ns0:x v="281"/>
    <ns0:x v="153"/>
    <ns0:x v="10"/>
    <ns0:x v="256"/>
    <ns0:x v="256"/>
    <ns0:x v="3"/>
    <ns0:x v="0"/>
    <ns0:x v="3"/>
    <ns0:x v="322"/>
    <ns0:x v="0"/>
  </ns0:r>
  <ns0:r>
    <ns0:x v="23"/>
    <ns0:x v="3"/>
    <ns0:x v="221"/>
    <ns0:x v="215"/>
    <ns0:x v="224"/>
    <ns0:x v="372"/>
    <ns0:x v="10"/>
    <ns0:x v="191"/>
    <ns0:x v="191"/>
    <ns0:x v="3"/>
    <ns0:x v="0"/>
    <ns0:x v="3"/>
    <ns0:x v="323"/>
    <ns0:x v="0"/>
  </ns0:r>
  <ns0:r>
    <ns0:x v="23"/>
    <ns0:x v="4"/>
    <ns0:x v="165"/>
    <ns0:x v="162"/>
    <ns0:x v="162"/>
    <ns0:x v="80"/>
    <ns0:x v="8"/>
    <ns0:x v="171"/>
    <ns0:x v="175"/>
    <ns0:x v="3"/>
    <ns0:x v="0"/>
    <ns0:x v="3"/>
    <ns0:x v="324"/>
    <ns0:x v="0"/>
  </ns0:r>
  <ns0:r>
    <ns0:x v="23"/>
    <ns0:x v="5"/>
    <ns0:x v="397"/>
    <ns0:x v="395"/>
    <ns0:x v="396"/>
    <ns0:x v="369"/>
    <ns0:x v="16"/>
    <ns0:x v="378"/>
    <ns0:x v="382"/>
    <ns0:x v="3"/>
    <ns0:x v="0"/>
    <ns0:x v="3"/>
    <ns0:x v="325"/>
    <ns0:x v="0"/>
  </ns0:r>
  <ns0:r>
    <ns0:x v="23"/>
    <ns0:x v="6"/>
    <ns0:x v="409"/>
    <ns0:x v="407"/>
    <ns0:x v="410"/>
    <ns0:x v="389"/>
    <ns0:x v="18"/>
    <ns0:x v="392"/>
    <ns0:x v="397"/>
    <ns0:x v="3"/>
    <ns0:x v="0"/>
    <ns0:x v="3"/>
    <ns0:x v="326"/>
    <ns0:x v="0"/>
  </ns0:r>
  <ns0:r>
    <ns0:x v="23"/>
    <ns0:x v="7"/>
    <ns0:x v="227"/>
    <ns0:x v="224"/>
    <ns0:x v="237"/>
    <ns0:x v="242"/>
    <ns0:x v="8"/>
    <ns0:x v="220"/>
    <ns0:x v="214"/>
    <ns0:x v="3"/>
    <ns0:x v="0"/>
    <ns0:x v="3"/>
    <ns0:x v="327"/>
    <ns0:x v="0"/>
  </ns0:r>
  <ns0:r>
    <ns0:x v="23"/>
    <ns0:x v="8"/>
    <ns0:x v="98"/>
    <ns0:x v="94"/>
    <ns0:x v="92"/>
    <ns0:x v="63"/>
    <ns0:x v="7"/>
    <ns0:x v="98"/>
    <ns0:x v="101"/>
    <ns0:x v="3"/>
    <ns0:x v="0"/>
    <ns0:x v="3"/>
    <ns0:x v="328"/>
    <ns0:x v="0"/>
  </ns0:r>
  <ns0:r>
    <ns0:x v="23"/>
    <ns0:x v="9"/>
    <ns0:x v="129"/>
    <ns0:x v="124"/>
    <ns0:x v="127"/>
    <ns0:x v="297"/>
    <ns0:x v="6"/>
    <ns0:x v="125"/>
    <ns0:x v="126"/>
    <ns0:x v="3"/>
    <ns0:x v="0"/>
    <ns0:x v="3"/>
    <ns0:x v="329"/>
    <ns0:x v="0"/>
  </ns0:r>
  <ns0:r>
    <ns0:x v="23"/>
    <ns0:x v="10"/>
    <ns0:x v="56"/>
    <ns0:x v="77"/>
    <ns0:x v="72"/>
    <ns0:x v="236"/>
    <ns0:x v="4"/>
    <ns0:x v="68"/>
    <ns0:x v="66"/>
    <ns0:x v="3"/>
    <ns0:x v="0"/>
    <ns0:x v="3"/>
    <ns0:x v="330"/>
    <ns0:x v="0"/>
  </ns0:r>
  <ns0:r>
    <ns0:x v="23"/>
    <ns0:x v="12"/>
    <ns0:x v="489"/>
    <ns0:x v="478"/>
    <ns0:x v="486"/>
    <ns0:x v="478"/>
    <ns0:x v="21"/>
    <ns0:x v="463"/>
    <ns0:x v="464"/>
    <ns0:x v="3"/>
    <ns0:x v="0"/>
    <ns0:x v="3"/>
    <ns0:x v="331"/>
    <ns0:x v="0"/>
  </ns0:r>
  <ns0:r>
    <ns0:x v="23"/>
    <ns0:x v="13"/>
    <ns0:x v="453"/>
    <ns0:x v="443"/>
    <ns0:x v="447"/>
    <ns0:x v="490"/>
    <ns0:x v="23"/>
    <ns0:x v="422"/>
    <ns0:x v="426"/>
    <ns0:x v="3"/>
    <ns0:x v="0"/>
    <ns0:x v="3"/>
    <ns0:x v="332"/>
    <ns0:x v="0"/>
  </ns0:r>
  <ns0:r>
    <ns0:x v="23"/>
    <ns0:x v="14"/>
    <ns0:x v="44"/>
    <ns0:x v="44"/>
    <ns0:x v="44"/>
    <ns0:x v="62"/>
    <ns0:x v="3"/>
    <ns0:x v="54"/>
    <ns0:x v="54"/>
    <ns0:x v="3"/>
    <ns0:x v="0"/>
    <ns0:x v="3"/>
    <ns0:x v="333"/>
    <ns0:x v="0"/>
  </ns0:r>
  <ns0:r>
    <ns0:x v="24"/>
    <ns0:x v="0"/>
    <ns0:x v="325"/>
    <ns0:x v="308"/>
    <ns0:x v="328"/>
    <ns0:x v="258"/>
    <ns0:x v="14"/>
    <ns0:x v="293"/>
    <ns0:x v="293"/>
    <ns0:x v="3"/>
    <ns0:x v="0"/>
    <ns0:x v="3"/>
    <ns0:x v="334"/>
    <ns0:x v="0"/>
  </ns0:r>
  <ns0:r>
    <ns0:x v="24"/>
    <ns0:x v="1"/>
    <ns0:x v="357"/>
    <ns0:x v="359"/>
    <ns0:x v="359"/>
    <ns0:x v="164"/>
    <ns0:x v="13"/>
    <ns0:x v="336"/>
    <ns0:x v="339"/>
    <ns0:x v="3"/>
    <ns0:x v="0"/>
    <ns0:x v="3"/>
    <ns0:x v="335"/>
    <ns0:x v="0"/>
  </ns0:r>
  <ns0:r>
    <ns0:x v="24"/>
    <ns0:x v="2"/>
    <ns0:x v="292"/>
    <ns0:x v="294"/>
    <ns0:x v="295"/>
    <ns0:x v="159"/>
    <ns0:x v="10"/>
    <ns0:x v="271"/>
    <ns0:x v="273"/>
    <ns0:x v="3"/>
    <ns0:x v="0"/>
    <ns0:x v="3"/>
    <ns0:x v="336"/>
    <ns0:x v="0"/>
  </ns0:r>
  <ns0:r>
    <ns0:x v="24"/>
    <ns0:x v="3"/>
    <ns0:x v="262"/>
    <ns0:x v="256"/>
    <ns0:x v="262"/>
    <ns0:x v="361"/>
    <ns0:x v="10"/>
    <ns0:x v="232"/>
    <ns0:x v="233"/>
    <ns0:x v="3"/>
    <ns0:x v="0"/>
    <ns0:x v="3"/>
    <ns0:x v="337"/>
    <ns0:x v="0"/>
  </ns0:r>
  <ns0:r>
    <ns0:x v="24"/>
    <ns0:x v="4"/>
    <ns0:x v="215"/>
    <ns0:x v="199"/>
    <ns0:x v="208"/>
    <ns0:x v="59"/>
    <ns0:x v="8"/>
    <ns0:x v="204"/>
    <ns0:x v="206"/>
    <ns0:x v="3"/>
    <ns0:x v="0"/>
    <ns0:x v="3"/>
    <ns0:x v="338"/>
    <ns0:x v="0"/>
  </ns0:r>
  <ns0:r>
    <ns0:x v="24"/>
    <ns0:x v="5"/>
    <ns0:x v="399"/>
    <ns0:x v="391"/>
    <ns0:x v="401"/>
    <ns0:x v="320"/>
    <ns0:x v="16"/>
    <ns0:x v="372"/>
    <ns0:x v="375"/>
    <ns0:x v="3"/>
    <ns0:x v="0"/>
    <ns0:x v="3"/>
    <ns0:x v="339"/>
    <ns0:x v="0"/>
  </ns0:r>
  <ns0:r>
    <ns0:x v="24"/>
    <ns0:x v="6"/>
    <ns0:x v="415"/>
    <ns0:x v="410"/>
    <ns0:x v="415"/>
    <ns0:x v="342"/>
    <ns0:x v="18"/>
    <ns0:x v="397"/>
    <ns0:x v="399"/>
    <ns0:x v="3"/>
    <ns0:x v="0"/>
    <ns0:x v="3"/>
    <ns0:x v="340"/>
    <ns0:x v="0"/>
  </ns0:r>
  <ns0:r>
    <ns0:x v="24"/>
    <ns0:x v="7"/>
    <ns0:x v="268"/>
    <ns0:x v="270"/>
    <ns0:x v="274"/>
    <ns0:x v="115"/>
    <ns0:x v="9"/>
    <ns0:x v="254"/>
    <ns0:x v="253"/>
    <ns0:x v="3"/>
    <ns0:x v="0"/>
    <ns0:x v="3"/>
    <ns0:x v="341"/>
    <ns0:x v="0"/>
  </ns0:r>
  <ns0:r>
    <ns0:x v="24"/>
    <ns0:x v="8"/>
    <ns0:x v="133"/>
    <ns0:x v="128"/>
    <ns0:x v="128"/>
    <ns0:x v="182"/>
    <ns0:x v="7"/>
    <ns0:x v="115"/>
    <ns0:x v="115"/>
    <ns0:x v="3"/>
    <ns0:x v="0"/>
    <ns0:x v="3"/>
    <ns0:x v="342"/>
    <ns0:x v="0"/>
  </ns0:r>
  <ns0:r>
    <ns0:x v="24"/>
    <ns0:x v="9"/>
    <ns0:x v="152"/>
    <ns0:x v="152"/>
    <ns0:x v="153"/>
    <ns0:x v="225"/>
    <ns0:x v="6"/>
    <ns0:x v="139"/>
    <ns0:x v="139"/>
    <ns0:x v="3"/>
    <ns0:x v="0"/>
    <ns0:x v="3"/>
    <ns0:x v="343"/>
    <ns0:x v="0"/>
  </ns0:r>
  <ns0:r>
    <ns0:x v="24"/>
    <ns0:x v="10"/>
    <ns0:x v="119"/>
    <ns0:x v="130"/>
    <ns0:x v="129"/>
    <ns0:x v="240"/>
    <ns0:x v="4"/>
    <ns0:x v="101"/>
    <ns0:x v="102"/>
    <ns0:x v="3"/>
    <ns0:x v="0"/>
    <ns0:x v="3"/>
    <ns0:x v="344"/>
    <ns0:x v="0"/>
  </ns0:r>
  <ns0:r>
    <ns0:x v="24"/>
    <ns0:x v="12"/>
    <ns0:x v="493"/>
    <ns0:x v="490"/>
    <ns0:x v="493"/>
    <ns0:x v="467"/>
    <ns0:x v="21"/>
    <ns0:x v="470"/>
    <ns0:x v="469"/>
    <ns0:x v="3"/>
    <ns0:x v="0"/>
    <ns0:x v="3"/>
    <ns0:x v="345"/>
    <ns0:x v="0"/>
  </ns0:r>
  <ns0:r>
    <ns0:x v="24"/>
    <ns0:x v="13"/>
    <ns0:x v="460"/>
    <ns0:x v="457"/>
    <ns0:x v="458"/>
    <ns0:x v="448"/>
    <ns0:x v="23"/>
    <ns0:x v="434"/>
    <ns0:x v="436"/>
    <ns0:x v="3"/>
    <ns0:x v="0"/>
    <ns0:x v="3"/>
    <ns0:x v="346"/>
    <ns0:x v="0"/>
  </ns0:r>
  <ns0:r>
    <ns0:x v="24"/>
    <ns0:x v="14"/>
    <ns0:x v="143"/>
    <ns0:x v="134"/>
    <ns0:x v="147"/>
    <ns0:x v="34"/>
    <ns0:x v="3"/>
    <ns0:x v="111"/>
    <ns0:x v="115"/>
    <ns0:x v="3"/>
    <ns0:x v="0"/>
    <ns0:x v="3"/>
    <ns0:x v="347"/>
    <ns0:x v="0"/>
  </ns0:r>
  <ns0:r>
    <ns0:x v="25"/>
    <ns0:x v="0"/>
    <ns0:x v="354"/>
    <ns0:x v="349"/>
    <ns0:x v="357"/>
    <ns0:x v="138"/>
    <ns0:x v="14"/>
    <ns0:x v="329"/>
    <ns0:x v="333"/>
    <ns0:x v="3"/>
    <ns0:x v="0"/>
    <ns0:x v="3"/>
    <ns0:x v="348"/>
    <ns0:x v="0"/>
  </ns0:r>
  <ns0:r>
    <ns0:x v="25"/>
    <ns0:x v="1"/>
    <ns0:x v="359"/>
    <ns0:x v="360"/>
    <ns0:x v="360"/>
    <ns0:x v="121"/>
    <ns0:x v="13"/>
    <ns0:x v="338"/>
    <ns0:x v="341"/>
    <ns0:x v="3"/>
    <ns0:x v="0"/>
    <ns0:x v="3"/>
    <ns0:x v="349"/>
    <ns0:x v="0"/>
  </ns0:r>
  <ns0:r>
    <ns0:x v="25"/>
    <ns0:x v="2"/>
    <ns0:x v="285"/>
    <ns0:x v="283"/>
    <ns0:x v="289"/>
    <ns0:x v="192"/>
    <ns0:x v="10"/>
    <ns0:x v="264"/>
    <ns0:x v="265"/>
    <ns0:x v="3"/>
    <ns0:x v="0"/>
    <ns0:x v="3"/>
    <ns0:x v="350"/>
    <ns0:x v="0"/>
  </ns0:r>
  <ns0:r>
    <ns0:x v="25"/>
    <ns0:x v="3"/>
    <ns0:x v="284"/>
    <ns0:x v="276"/>
    <ns0:x v="282"/>
    <ns0:x v="291"/>
    <ns0:x v="10"/>
    <ns0:x v="257"/>
    <ns0:x v="258"/>
    <ns0:x v="3"/>
    <ns0:x v="0"/>
    <ns0:x v="3"/>
    <ns0:x v="351"/>
    <ns0:x v="0"/>
  </ns0:r>
  <ns0:r>
    <ns0:x v="25"/>
    <ns0:x v="4"/>
    <ns0:x v="265"/>
    <ns0:x v="255"/>
    <ns0:x v="259"/>
    <ns0:x v="90"/>
    <ns0:x v="8"/>
    <ns0:x v="247"/>
    <ns0:x v="249"/>
    <ns0:x v="3"/>
    <ns0:x v="0"/>
    <ns0:x v="3"/>
    <ns0:x v="352"/>
    <ns0:x v="0"/>
  </ns0:r>
  <ns0:r>
    <ns0:x v="25"/>
    <ns0:x v="5"/>
    <ns0:x v="441"/>
    <ns0:x v="437"/>
    <ns0:x v="443"/>
    <ns0:x v="304"/>
    <ns0:x v="16"/>
    <ns0:x v="420"/>
    <ns0:x v="421"/>
    <ns0:x v="3"/>
    <ns0:x v="0"/>
    <ns0:x v="3"/>
    <ns0:x v="353"/>
    <ns0:x v="0"/>
  </ns0:r>
  <ns0:r>
    <ns0:x v="25"/>
    <ns0:x v="6"/>
    <ns0:x v="454"/>
    <ns0:x v="449"/>
    <ns0:x v="457"/>
    <ns0:x v="273"/>
    <ns0:x v="18"/>
    <ns0:x v="438"/>
    <ns0:x v="439"/>
    <ns0:x v="3"/>
    <ns0:x v="0"/>
    <ns0:x v="3"/>
    <ns0:x v="354"/>
    <ns0:x v="0"/>
  </ns0:r>
  <ns0:r>
    <ns0:x v="25"/>
    <ns0:x v="7"/>
    <ns0:x v="269"/>
    <ns0:x v="268"/>
    <ns0:x v="275"/>
    <ns0:x v="157"/>
    <ns0:x v="9"/>
    <ns0:x v="252"/>
    <ns0:x v="248"/>
    <ns0:x v="3"/>
    <ns0:x v="0"/>
    <ns0:x v="3"/>
    <ns0:x v="355"/>
    <ns0:x v="0"/>
  </ns0:r>
  <ns0:r>
    <ns0:x v="25"/>
    <ns0:x v="8"/>
    <ns0:x v="141"/>
    <ns0:x v="135"/>
    <ns0:x v="136"/>
    <ns0:x v="116"/>
    <ns0:x v="7"/>
    <ns0:x v="124"/>
    <ns0:x v="124"/>
    <ns0:x v="3"/>
    <ns0:x v="0"/>
    <ns0:x v="3"/>
    <ns0:x v="356"/>
    <ns0:x v="0"/>
  </ns0:r>
  <ns0:r>
    <ns0:x v="25"/>
    <ns0:x v="9"/>
    <ns0:x v="153"/>
    <ns0:x v="154"/>
    <ns0:x v="155"/>
    <ns0:x v="274"/>
    <ns0:x v="6"/>
    <ns0:x v="140"/>
    <ns0:x v="141"/>
    <ns0:x v="3"/>
    <ns0:x v="0"/>
    <ns0:x v="3"/>
    <ns0:x v="357"/>
    <ns0:x v="0"/>
  </ns0:r>
  <ns0:r>
    <ns0:x v="25"/>
    <ns0:x v="10"/>
    <ns0:x v="97"/>
    <ns0:x v="116"/>
    <ns0:x v="117"/>
    <ns0:x v="333"/>
    <ns0:x v="4"/>
    <ns0:x v="87"/>
    <ns0:x v="85"/>
    <ns0:x v="3"/>
    <ns0:x v="0"/>
    <ns0:x v="3"/>
    <ns0:x v="358"/>
    <ns0:x v="0"/>
  </ns0:r>
  <ns0:r>
    <ns0:x v="25"/>
    <ns0:x v="12"/>
    <ns0:x v="499"/>
    <ns0:x v="501"/>
    <ns0:x v="500"/>
    <ns0:x v="457"/>
    <ns0:x v="21"/>
    <ns0:x v="478"/>
    <ns0:x v="479"/>
    <ns0:x v="3"/>
    <ns0:x v="0"/>
    <ns0:x v="3"/>
    <ns0:x v="359"/>
    <ns0:x v="0"/>
  </ns0:r>
  <ns0:r>
    <ns0:x v="25"/>
    <ns0:x v="13"/>
    <ns0:x v="473"/>
    <ns0:x v="468"/>
    <ns0:x v="470"/>
    <ns0:x v="458"/>
    <ns0:x v="23"/>
    <ns0:x v="447"/>
    <ns0:x v="448"/>
    <ns0:x v="3"/>
    <ns0:x v="0"/>
    <ns0:x v="3"/>
    <ns0:x v="360"/>
    <ns0:x v="0"/>
  </ns0:r>
  <ns0:r>
    <ns0:x v="25"/>
    <ns0:x v="14"/>
    <ns0:x v="112"/>
    <ns0:x v="109"/>
    <ns0:x v="115"/>
    <ns0:x v="39"/>
    <ns0:x v="3"/>
    <ns0:x v="83"/>
    <ns0:x v="87"/>
    <ns0:x v="3"/>
    <ns0:x v="0"/>
    <ns0:x v="3"/>
    <ns0:x v="361"/>
    <ns0:x v="0"/>
  </ns0:r>
  <ns0:r>
    <ns0:x v="26"/>
    <ns0:x v="0"/>
    <ns0:x v="321"/>
    <ns0:x v="312"/>
    <ns0:x v="327"/>
    <ns0:x v="179"/>
    <ns0:x v="14"/>
    <ns0:x v="297"/>
    <ns0:x v="303"/>
    <ns0:x v="3"/>
    <ns0:x v="0"/>
    <ns0:x v="3"/>
    <ns0:x v="362"/>
    <ns0:x v="0"/>
  </ns0:r>
  <ns0:r>
    <ns0:x v="26"/>
    <ns0:x v="1"/>
    <ns0:x v="328"/>
    <ns0:x v="325"/>
    <ns0:x v="329"/>
    <ns0:x v="64"/>
    <ns0:x v="13"/>
    <ns0:x v="304"/>
    <ns0:x v="307"/>
    <ns0:x v="3"/>
    <ns0:x v="0"/>
    <ns0:x v="3"/>
    <ns0:x v="363"/>
    <ns0:x v="0"/>
  </ns0:r>
  <ns0:r>
    <ns0:x v="26"/>
    <ns0:x v="2"/>
    <ns0:x v="270"/>
    <ns0:x v="271"/>
    <ns0:x v="273"/>
    <ns0:x v="214"/>
    <ns0:x v="10"/>
    <ns0:x v="250"/>
    <ns0:x v="254"/>
    <ns0:x v="3"/>
    <ns0:x v="0"/>
    <ns0:x v="3"/>
    <ns0:x v="364"/>
    <ns0:x v="0"/>
  </ns0:r>
  <ns0:r>
    <ns0:x v="26"/>
    <ns0:x v="3"/>
    <ns0:x v="251"/>
    <ns0:x v="238"/>
    <ns0:x v="249"/>
    <ns0:x v="352"/>
    <ns0:x v="9"/>
    <ns0:x v="224"/>
    <ns0:x v="228"/>
    <ns0:x v="3"/>
    <ns0:x v="0"/>
    <ns0:x v="3"/>
    <ns0:x v="365"/>
    <ns0:x v="0"/>
  </ns0:r>
  <ns0:r>
    <ns0:x v="26"/>
    <ns0:x v="4"/>
    <ns0:x v="207"/>
    <ns0:x v="197"/>
    <ns0:x v="205"/>
    <ns0:x v="27"/>
    <ns0:x v="8"/>
    <ns0:x v="206"/>
    <ns0:x v="210"/>
    <ns0:x v="3"/>
    <ns0:x v="0"/>
    <ns0:x v="3"/>
    <ns0:x v="366"/>
    <ns0:x v="0"/>
  </ns0:r>
  <ns0:r>
    <ns0:x v="26"/>
    <ns0:x v="5"/>
    <ns0:x v="378"/>
    <ns0:x v="373"/>
    <ns0:x v="382"/>
    <ns0:x v="374"/>
    <ns0:x v="16"/>
    <ns0:x v="356"/>
    <ns0:x v="359"/>
    <ns0:x v="3"/>
    <ns0:x v="0"/>
    <ns0:x v="3"/>
    <ns0:x v="367"/>
    <ns0:x v="0"/>
  </ns0:r>
  <ns0:r>
    <ns0:x v="26"/>
    <ns0:x v="6"/>
    <ns0:x v="385"/>
    <ns0:x v="384"/>
    <ns0:x v="389"/>
    <ns0:x v="382"/>
    <ns0:x v="18"/>
    <ns0:x v="368"/>
    <ns0:x v="370"/>
    <ns0:x v="3"/>
    <ns0:x v="0"/>
    <ns0:x v="3"/>
    <ns0:x v="368"/>
    <ns0:x v="0"/>
  </ns0:r>
  <ns0:r>
    <ns0:x v="26"/>
    <ns0:x v="7"/>
    <ns0:x v="229"/>
    <ns0:x v="235"/>
    <ns0:x v="253"/>
    <ns0:x v="174"/>
    <ns0:x v="9"/>
    <ns0:x v="226"/>
    <ns0:x v="226"/>
    <ns0:x v="3"/>
    <ns0:x v="0"/>
    <ns0:x v="3"/>
    <ns0:x v="369"/>
    <ns0:x v="0"/>
  </ns0:r>
  <ns0:r>
    <ns0:x v="26"/>
    <ns0:x v="8"/>
    <ns0:x v="136"/>
    <ns0:x v="126"/>
    <ns0:x v="125"/>
    <ns0:x v="108"/>
    <ns0:x v="7"/>
    <ns0:x v="118"/>
    <ns0:x v="122"/>
    <ns0:x v="3"/>
    <ns0:x v="0"/>
    <ns0:x v="3"/>
    <ns0:x v="370"/>
    <ns0:x v="0"/>
  </ns0:r>
  <ns0:r>
    <ns0:x v="26"/>
    <ns0:x v="9"/>
    <ns0:x v="145"/>
    <ns0:x v="142"/>
    <ns0:x v="143"/>
    <ns0:x v="278"/>
    <ns0:x v="6"/>
    <ns0:x v="130"/>
    <ns0:x v="130"/>
    <ns0:x v="3"/>
    <ns0:x v="0"/>
    <ns0:x v="3"/>
    <ns0:x v="371"/>
    <ns0:x v="0"/>
  </ns0:r>
  <ns0:r>
    <ns0:x v="26"/>
    <ns0:x v="10"/>
    <ns0:x v="72"/>
    <ns0:x v="96"/>
    <ns0:x v="88"/>
    <ns0:x v="392"/>
    <ns0:x v="4"/>
    <ns0:x v="73"/>
    <ns0:x v="74"/>
    <ns0:x v="3"/>
    <ns0:x v="0"/>
    <ns0:x v="3"/>
    <ns0:x v="372"/>
    <ns0:x v="0"/>
  </ns0:r>
  <ns0:r>
    <ns0:x v="26"/>
    <ns0:x v="12"/>
    <ns0:x v="487"/>
    <ns0:x v="483"/>
    <ns0:x v="490"/>
    <ns0:x v="451"/>
    <ns0:x v="21"/>
    <ns0:x v="465"/>
    <ns0:x v="466"/>
    <ns0:x v="3"/>
    <ns0:x v="0"/>
    <ns0:x v="3"/>
    <ns0:x v="373"/>
    <ns0:x v="0"/>
  </ns0:r>
  <ns0:r>
    <ns0:x v="26"/>
    <ns0:x v="13"/>
    <ns0:x v="452"/>
    <ns0:x v="447"/>
    <ns0:x v="453"/>
    <ns0:x v="460"/>
    <ns0:x v="23"/>
    <ns0:x v="426"/>
    <ns0:x v="432"/>
    <ns0:x v="3"/>
    <ns0:x v="0"/>
    <ns0:x v="3"/>
    <ns0:x v="374"/>
    <ns0:x v="0"/>
  </ns0:r>
  <ns0:r>
    <ns0:x v="26"/>
    <ns0:x v="14"/>
    <ns0:x v="28"/>
    <ns0:x v="32"/>
    <ns0:x v="29"/>
    <ns0:x v="49"/>
    <ns0:x v="3"/>
    <ns0:x v="46"/>
    <ns0:x v="46"/>
    <ns0:x v="3"/>
    <ns0:x v="0"/>
    <ns0:x v="3"/>
    <ns0:x v="375"/>
    <ns0:x v="0"/>
  </ns0:r>
  <ns0:r>
    <ns0:x v="27"/>
    <ns0:x v="0"/>
    <ns0:x v="301"/>
    <ns0:x v="302"/>
    <ns0:x v="303"/>
    <ns0:x v="127"/>
    <ns0:x v="14"/>
    <ns0:x v="283"/>
    <ns0:x v="285"/>
    <ns0:x v="4"/>
    <ns0:x v="0"/>
    <ns0:x v="4"/>
    <ns0:x v="376"/>
    <ns0:x v="0"/>
  </ns0:r>
  <ns0:r>
    <ns0:x v="27"/>
    <ns0:x v="1"/>
    <ns0:x v="329"/>
    <ns0:x v="333"/>
    <ns0:x v="326"/>
    <ns0:x v="74"/>
    <ns0:x v="13"/>
    <ns0:x v="314"/>
    <ns0:x v="315"/>
    <ns0:x v="4"/>
    <ns0:x v="0"/>
    <ns0:x v="4"/>
    <ns0:x v="377"/>
    <ns0:x v="0"/>
  </ns0:r>
  <ns0:r>
    <ns0:x v="27"/>
    <ns0:x v="2"/>
    <ns0:x v="272"/>
    <ns0:x v="275"/>
    <ns0:x v="271"/>
    <ns0:x v="223"/>
    <ns0:x v="10"/>
    <ns0:x v="255"/>
    <ns0:x v="257"/>
    <ns0:x v="4"/>
    <ns0:x v="0"/>
    <ns0:x v="4"/>
    <ns0:x v="378"/>
    <ns0:x v="0"/>
  </ns0:r>
  <ns0:r>
    <ns0:x v="27"/>
    <ns0:x v="3"/>
    <ns0:x v="261"/>
    <ns0:x v="259"/>
    <ns0:x v="260"/>
    <ns0:x v="400"/>
    <ns0:x v="9"/>
    <ns0:x v="240"/>
    <ns0:x v="243"/>
    <ns0:x v="4"/>
    <ns0:x v="0"/>
    <ns0:x v="4"/>
    <ns0:x v="379"/>
    <ns0:x v="0"/>
  </ns0:r>
  <ns0:r>
    <ns0:x v="27"/>
    <ns0:x v="4"/>
    <ns0:x v="195"/>
    <ns0:x v="195"/>
    <ns0:x v="190"/>
    <ns0:x v="212"/>
    <ns0:x v="9"/>
    <ns0:x v="215"/>
    <ns0:x v="217"/>
    <ns0:x v="4"/>
    <ns0:x v="0"/>
    <ns0:x v="4"/>
    <ns0:x v="380"/>
    <ns0:x v="0"/>
  </ns0:r>
  <ns0:r>
    <ns0:x v="27"/>
    <ns0:x v="5"/>
    <ns0:x v="376"/>
    <ns0:x v="381"/>
    <ns0:x v="379"/>
    <ns0:x v="383"/>
    <ns0:x v="16"/>
    <ns0:x v="359"/>
    <ns0:x v="362"/>
    <ns0:x v="4"/>
    <ns0:x v="0"/>
    <ns0:x v="4"/>
    <ns0:x v="381"/>
    <ns0:x v="0"/>
  </ns0:r>
  <ns0:r>
    <ns0:x v="27"/>
    <ns0:x v="6"/>
    <ns0:x v="383"/>
    <ns0:x v="388"/>
    <ns0:x v="386"/>
    <ns0:x v="380"/>
    <ns0:x v="17"/>
    <ns0:x v="371"/>
    <ns0:x v="373"/>
    <ns0:x v="4"/>
    <ns0:x v="0"/>
    <ns0:x v="4"/>
    <ns0:x v="382"/>
    <ns0:x v="0"/>
  </ns0:r>
  <ns0:r>
    <ns0:x v="27"/>
    <ns0:x v="7"/>
    <ns0:x v="213"/>
    <ns0:x v="230"/>
    <ns0:x v="228"/>
    <ns0:x v="197"/>
    <ns0:x v="9"/>
    <ns0:x v="225"/>
    <ns0:x v="223"/>
    <ns0:x v="4"/>
    <ns0:x v="0"/>
    <ns0:x v="4"/>
    <ns0:x v="383"/>
    <ns0:x v="0"/>
  </ns0:r>
  <ns0:r>
    <ns0:x v="27"/>
    <ns0:x v="8"/>
    <ns0:x v="120"/>
    <ns0:x v="118"/>
    <ns0:x v="116"/>
    <ns0:x v="113"/>
    <ns0:x v="7"/>
    <ns0:x v="116"/>
    <ns0:x v="117"/>
    <ns0:x v="4"/>
    <ns0:x v="0"/>
    <ns0:x v="4"/>
    <ns0:x v="384"/>
    <ns0:x v="0"/>
  </ns0:r>
  <ns0:r>
    <ns0:x v="27"/>
    <ns0:x v="9"/>
    <ns0:x v="137"/>
    <ns0:x v="140"/>
    <ns0:x v="140"/>
    <ns0:x v="311"/>
    <ns0:x v="6"/>
    <ns0:x v="132"/>
    <ns0:x v="132"/>
    <ns0:x v="4"/>
    <ns0:x v="0"/>
    <ns0:x v="4"/>
    <ns0:x v="385"/>
    <ns0:x v="0"/>
  </ns0:r>
  <ns0:r>
    <ns0:x v="27"/>
    <ns0:x v="10"/>
    <ns0:x v="86"/>
    <ns0:x v="106"/>
    <ns0:x v="102"/>
    <ns0:x v="292"/>
    <ns0:x v="4"/>
    <ns0:x v="85"/>
    <ns0:x v="89"/>
    <ns0:x v="4"/>
    <ns0:x v="0"/>
    <ns0:x v="4"/>
    <ns0:x v="386"/>
    <ns0:x v="0"/>
  </ns0:r>
  <ns0:r>
    <ns0:x v="27"/>
    <ns0:x v="12"/>
    <ns0:x v="469"/>
    <ns0:x v="474"/>
    <ns0:x v="472"/>
    <ns0:x v="481"/>
    <ns0:x v="20"/>
    <ns0:x v="455"/>
    <ns0:x v="458"/>
    <ns0:x v="4"/>
    <ns0:x v="0"/>
    <ns0:x v="4"/>
    <ns0:x v="387"/>
    <ns0:x v="0"/>
  </ns0:r>
  <ns0:r>
    <ns0:x v="27"/>
    <ns0:x v="13"/>
    <ns0:x v="435"/>
    <ns0:x v="439"/>
    <ns0:x v="438"/>
    <ns0:x v="476"/>
    <ns0:x v="23"/>
    <ns0:x v="417"/>
    <ns0:x v="419"/>
    <ns0:x v="4"/>
    <ns0:x v="0"/>
    <ns0:x v="4"/>
    <ns0:x v="388"/>
    <ns0:x v="0"/>
  </ns0:r>
  <ns0:r>
    <ns0:x v="27"/>
    <ns0:x v="14"/>
    <ns0:x v="61"/>
    <ns0:x v="61"/>
    <ns0:x v="59"/>
    <ns0:x v="53"/>
    <ns0:x v="3"/>
    <ns0:x v="64"/>
    <ns0:x v="63"/>
    <ns0:x v="4"/>
    <ns0:x v="0"/>
    <ns0:x v="4"/>
    <ns0:x v="389"/>
    <ns0:x v="0"/>
  </ns0:r>
  <ns0:r>
    <ns0:x v="28"/>
    <ns0:x v="0"/>
    <ns0:x v="303"/>
    <ns0:x v="307"/>
    <ns0:x v="306"/>
    <ns0:x v="196"/>
    <ns0:x v="14"/>
    <ns0:x v="288"/>
    <ns0:x v="290"/>
    <ns0:x v="4"/>
    <ns0:x v="0"/>
    <ns0:x v="4"/>
    <ns0:x v="390"/>
    <ns0:x v="0"/>
  </ns0:r>
  <ns0:r>
    <ns0:x v="28"/>
    <ns0:x v="1"/>
    <ns0:x v="342"/>
    <ns0:x v="335"/>
    <ns0:x v="330"/>
    <ns0:x v="147"/>
    <ns0:x v="13"/>
    <ns0:x v="326"/>
    <ns0:x v="330"/>
    <ns0:x v="4"/>
    <ns0:x v="0"/>
    <ns0:x v="4"/>
    <ns0:x v="391"/>
    <ns0:x v="0"/>
  </ns0:r>
  <ns0:r>
    <ns0:x v="28"/>
    <ns0:x v="2"/>
    <ns0:x v="277"/>
    <ns0:x v="278"/>
    <ns0:x v="276"/>
    <ns0:x v="202"/>
    <ns0:x v="10"/>
    <ns0:x v="259"/>
    <ns0:x v="262"/>
    <ns0:x v="4"/>
    <ns0:x v="0"/>
    <ns0:x v="4"/>
    <ns0:x v="392"/>
    <ns0:x v="0"/>
  </ns0:r>
  <ns0:r>
    <ns0:x v="28"/>
    <ns0:x v="3"/>
    <ns0:x v="247"/>
    <ns0:x v="244"/>
    <ns0:x v="247"/>
    <ns0:x v="326"/>
    <ns0:x v="9"/>
    <ns0:x v="231"/>
    <ns0:x v="235"/>
    <ns0:x v="4"/>
    <ns0:x v="0"/>
    <ns0:x v="4"/>
    <ns0:x v="393"/>
    <ns0:x v="0"/>
  </ns0:r>
  <ns0:r>
    <ns0:x v="28"/>
    <ns0:x v="4"/>
    <ns0:x v="184"/>
    <ns0:x v="182"/>
    <ns0:x v="180"/>
    <ns0:x v="66"/>
    <ns0:x v="9"/>
    <ns0:x v="194"/>
    <ns0:x v="198"/>
    <ns0:x v="4"/>
    <ns0:x v="0"/>
    <ns0:x v="4"/>
    <ns0:x v="394"/>
    <ns0:x v="0"/>
  </ns0:r>
  <ns0:r>
    <ns0:x v="28"/>
    <ns0:x v="5"/>
    <ns0:x v="419"/>
    <ns0:x v="421"/>
    <ns0:x v="419"/>
    <ns0:x v="347"/>
    <ns0:x v="16"/>
    <ns0:x v="402"/>
    <ns0:x v="405"/>
    <ns0:x v="4"/>
    <ns0:x v="0"/>
    <ns0:x v="4"/>
    <ns0:x v="395"/>
    <ns0:x v="0"/>
  </ns0:r>
  <ns0:r>
    <ns0:x v="28"/>
    <ns0:x v="6"/>
    <ns0:x v="428"/>
    <ns0:x v="430"/>
    <ns0:x v="428"/>
    <ns0:x v="338"/>
    <ns0:x v="17"/>
    <ns0:x v="412"/>
    <ns0:x v="413"/>
    <ns0:x v="4"/>
    <ns0:x v="0"/>
    <ns0:x v="4"/>
    <ns0:x v="396"/>
    <ns0:x v="0"/>
  </ns0:r>
  <ns0:r>
    <ns0:x v="28"/>
    <ns0:x v="7"/>
    <ns0:x v="225"/>
    <ns0:x v="234"/>
    <ns0:x v="229"/>
    <ns0:x v="250"/>
    <ns0:x v="9"/>
    <ns0:x v="229"/>
    <ns0:x v="222"/>
    <ns0:x v="4"/>
    <ns0:x v="0"/>
    <ns0:x v="4"/>
    <ns0:x v="397"/>
    <ns0:x v="0"/>
  </ns0:r>
  <ns0:r>
    <ns0:x v="28"/>
    <ns0:x v="8"/>
    <ns0:x v="104"/>
    <ns0:x v="98"/>
    <ns0:x v="93"/>
    <ns0:x v="57"/>
    <ns0:x v="7"/>
    <ns0:x v="102"/>
    <ns0:x v="106"/>
    <ns0:x v="4"/>
    <ns0:x v="0"/>
    <ns0:x v="4"/>
    <ns0:x v="398"/>
    <ns0:x v="0"/>
  </ns0:r>
  <ns0:r>
    <ns0:x v="28"/>
    <ns0:x v="9"/>
    <ns0:x v="139"/>
    <ns0:x v="139"/>
    <ns0:x v="139"/>
    <ns0:x v="337"/>
    <ns0:x v="6"/>
    <ns0:x v="131"/>
    <ns0:x v="131"/>
    <ns0:x v="4"/>
    <ns0:x v="0"/>
    <ns0:x v="4"/>
    <ns0:x v="399"/>
    <ns0:x v="0"/>
  </ns0:r>
  <ns0:r>
    <ns0:x v="28"/>
    <ns0:x v="10"/>
    <ns0:x v="60"/>
    <ns0:x v="92"/>
    <ns0:x v="75"/>
    <ns0:x v="282"/>
    <ns0:x v="4"/>
    <ns0:x v="81"/>
    <ns0:x v="82"/>
    <ns0:x v="4"/>
    <ns0:x v="0"/>
    <ns0:x v="4"/>
    <ns0:x v="400"/>
    <ns0:x v="0"/>
  </ns0:r>
  <ns0:r>
    <ns0:x v="28"/>
    <ns0:x v="12"/>
    <ns0:x v="482"/>
    <ns0:x v="484"/>
    <ns0:x v="480"/>
    <ns0:x v="454"/>
    <ns0:x v="20"/>
    <ns0:x v="467"/>
    <ns0:x v="468"/>
    <ns0:x v="4"/>
    <ns0:x v="0"/>
    <ns0:x v="4"/>
    <ns0:x v="401"/>
    <ns0:x v="0"/>
  </ns0:r>
  <ns0:r>
    <ns0:x v="28"/>
    <ns0:x v="13"/>
    <ns0:x v="443"/>
    <ns0:x v="444"/>
    <ns0:x v="441"/>
    <ns0:x v="470"/>
    <ns0:x v="23"/>
    <ns0:x v="430"/>
    <ns0:x v="433"/>
    <ns0:x v="4"/>
    <ns0:x v="0"/>
    <ns0:x v="4"/>
    <ns0:x v="402"/>
    <ns0:x v="0"/>
  </ns0:r>
  <ns0:r>
    <ns0:x v="28"/>
    <ns0:x v="14"/>
    <ns0:x v="52"/>
    <ns0:x v="54"/>
    <ns0:x v="50"/>
    <ns0:x v="88"/>
    <ns0:x v="3"/>
    <ns0:x v="57"/>
    <ns0:x v="56"/>
    <ns0:x v="4"/>
    <ns0:x v="0"/>
    <ns0:x v="4"/>
    <ns0:x v="403"/>
    <ns0:x v="0"/>
  </ns0:r>
  <ns0:r>
    <ns0:x v="28"/>
    <ns0:x v="16"/>
    <ns0:x v="36"/>
    <ns0:x v="33"/>
    <ns0:x v="35"/>
    <ns0:x v="9"/>
    <ns0:x v="1"/>
    <ns0:x v="34"/>
    <ns0:x v="17"/>
    <ns0:x v="4"/>
    <ns0:x v="0"/>
    <ns0:x v="4"/>
    <ns0:x v="404"/>
    <ns0:x v="0"/>
  </ns0:r>
  <ns0:r>
    <ns0:x v="29"/>
    <ns0:x v="0"/>
    <ns0:x v="305"/>
    <ns0:x v="310"/>
    <ns0:x v="308"/>
    <ns0:x v="200"/>
    <ns0:x v="14"/>
    <ns0:x v="301"/>
    <ns0:x v="305"/>
    <ns0:x v="4"/>
    <ns0:x v="0"/>
    <ns0:x v="4"/>
    <ns0:x v="405"/>
    <ns0:x v="0"/>
  </ns0:r>
  <ns0:r>
    <ns0:x v="29"/>
    <ns0:x v="1"/>
    <ns0:x v="337"/>
    <ns0:x v="336"/>
    <ns0:x v="333"/>
    <ns0:x v="42"/>
    <ns0:x v="13"/>
    <ns0:x v="318"/>
    <ns0:x v="324"/>
    <ns0:x v="4"/>
    <ns0:x v="0"/>
    <ns0:x v="4"/>
    <ns0:x v="406"/>
    <ns0:x v="0"/>
  </ns0:r>
  <ns0:r>
    <ns0:x v="29"/>
    <ns0:x v="2"/>
    <ns0:x v="275"/>
    <ns0:x v="280"/>
    <ns0:x v="277"/>
    <ns0:x v="364"/>
    <ns0:x v="10"/>
    <ns0:x v="261"/>
    <ns0:x v="263"/>
    <ns0:x v="4"/>
    <ns0:x v="0"/>
    <ns0:x v="4"/>
    <ns0:x v="407"/>
    <ns0:x v="0"/>
  </ns0:r>
  <ns0:r>
    <ns0:x v="29"/>
    <ns0:x v="3"/>
    <ns0:x v="244"/>
    <ns0:x v="249"/>
    <ns0:x v="252"/>
    <ns0:x v="397"/>
    <ns0:x v="9"/>
    <ns0:x v="238"/>
    <ns0:x v="240"/>
    <ns0:x v="4"/>
    <ns0:x v="0"/>
    <ns0:x v="4"/>
    <ns0:x v="408"/>
    <ns0:x v="0"/>
  </ns0:r>
  <ns0:r>
    <ns0:x v="29"/>
    <ns0:x v="4"/>
    <ns0:x v="191"/>
    <ns0:x v="190"/>
    <ns0:x v="191"/>
    <ns0:x v="111"/>
    <ns0:x v="9"/>
    <ns0:x v="208"/>
    <ns0:x v="212"/>
    <ns0:x v="4"/>
    <ns0:x v="0"/>
    <ns0:x v="4"/>
    <ns0:x v="409"/>
    <ns0:x v="0"/>
  </ns0:r>
  <ns0:r>
    <ns0:x v="29"/>
    <ns0:x v="5"/>
    <ns0:x v="388"/>
    <ns0:x v="394"/>
    <ns0:x v="392"/>
    <ns0:x v="403"/>
    <ns0:x v="16"/>
    <ns0:x v="374"/>
    <ns0:x v="377"/>
    <ns0:x v="4"/>
    <ns0:x v="0"/>
    <ns0:x v="4"/>
    <ns0:x v="410"/>
    <ns0:x v="0"/>
  </ns0:r>
  <ns0:r>
    <ns0:x v="29"/>
    <ns0:x v="6"/>
    <ns0:x v="402"/>
    <ns0:x v="408"/>
    <ns0:x v="405"/>
    <ns0:x v="357"/>
    <ns0:x v="17"/>
    <ns0:x v="391"/>
    <ns0:x v="395"/>
    <ns0:x v="4"/>
    <ns0:x v="0"/>
    <ns0:x v="4"/>
    <ns0:x v="411"/>
    <ns0:x v="0"/>
  </ns0:r>
  <ns0:r>
    <ns0:x v="29"/>
    <ns0:x v="7"/>
    <ns0:x v="220"/>
    <ns0:x v="237"/>
    <ns0:x v="232"/>
    <ns0:x v="160"/>
    <ns0:x v="9"/>
    <ns0:x v="238"/>
    <ns0:x v="234"/>
    <ns0:x v="4"/>
    <ns0:x v="0"/>
    <ns0:x v="4"/>
    <ns0:x v="412"/>
    <ns0:x v="0"/>
  </ns0:r>
  <ns0:r>
    <ns0:x v="29"/>
    <ns0:x v="8"/>
    <ns0:x v="116"/>
    <ns0:x v="120"/>
    <ns0:x v="122"/>
    <ns0:x v="86"/>
    <ns0:x v="7"/>
    <ns0:x v="110"/>
    <ns0:x v="114"/>
    <ns0:x v="4"/>
    <ns0:x v="0"/>
    <ns0:x v="4"/>
    <ns0:x v="413"/>
    <ns0:x v="0"/>
  </ns0:r>
  <ns0:r>
    <ns0:x v="29"/>
    <ns0:x v="9"/>
    <ns0:x v="144"/>
    <ns0:x v="147"/>
    <ns0:x v="148"/>
    <ns0:x v="305"/>
    <ns0:x v="6"/>
    <ns0:x v="135"/>
    <ns0:x v="136"/>
    <ns0:x v="4"/>
    <ns0:x v="0"/>
    <ns0:x v="4"/>
    <ns0:x v="414"/>
    <ns0:x v="0"/>
  </ns0:r>
  <ns0:r>
    <ns0:x v="29"/>
    <ns0:x v="10"/>
    <ns0:x v="84"/>
    <ns0:x v="99"/>
    <ns0:x v="90"/>
    <ns0:x v="175"/>
    <ns0:x v="4"/>
    <ns0:x v="80"/>
    <ns0:x v="80"/>
    <ns0:x v="4"/>
    <ns0:x v="0"/>
    <ns0:x v="4"/>
    <ns0:x v="415"/>
    <ns0:x v="0"/>
  </ns0:r>
  <ns0:r>
    <ns0:x v="29"/>
    <ns0:x v="12"/>
    <ns0:x v="483"/>
    <ns0:x v="488"/>
    <ns0:x v="485"/>
    <ns0:x v="475"/>
    <ns0:x v="20"/>
    <ns0:x v="468"/>
    <ns0:x v="471"/>
    <ns0:x v="4"/>
    <ns0:x v="0"/>
    <ns0:x v="4"/>
    <ns0:x v="416"/>
    <ns0:x v="0"/>
  </ns0:r>
  <ns0:r>
    <ns0:x v="29"/>
    <ns0:x v="13"/>
    <ns0:x v="450"/>
    <ns0:x v="453"/>
    <ns0:x v="450"/>
    <ns0:x v="471"/>
    <ns0:x v="23"/>
    <ns0:x v="436"/>
    <ns0:x v="438"/>
    <ns0:x v="4"/>
    <ns0:x v="0"/>
    <ns0:x v="4"/>
    <ns0:x v="417"/>
    <ns0:x v="0"/>
  </ns0:r>
  <ns0:r>
    <ns0:x v="29"/>
    <ns0:x v="14"/>
    <ns0:x v="67"/>
    <ns0:x v="67"/>
    <ns0:x v="64"/>
    <ns0:x v="32"/>
    <ns0:x v="3"/>
    <ns0:x v="71"/>
    <ns0:x v="71"/>
    <ns0:x v="4"/>
    <ns0:x v="0"/>
    <ns0:x v="4"/>
    <ns0:x v="418"/>
    <ns0:x v="0"/>
  </ns0:r>
  <ns0:r>
    <ns0:x v="29"/>
    <ns0:x v="16"/>
    <ns0:x v="15"/>
    <ns0:x v="15"/>
    <ns0:x v="13"/>
    <ns0:x v="15"/>
    <ns0:x v="1"/>
    <ns0:x v="9"/>
    <ns0:x v="8"/>
    <ns0:x v="4"/>
    <ns0:x v="0"/>
    <ns0:x v="4"/>
    <ns0:x v="419"/>
    <ns0:x v="0"/>
  </ns0:r>
  <ns0:r>
    <ns0:x v="30"/>
    <ns0:x v="0"/>
    <ns0:x v="308"/>
    <ns0:x v="313"/>
    <ns0:x v="312"/>
    <ns0:x v="296"/>
    <ns0:x v="15"/>
    <ns0:x v="292"/>
    <ns0:x v="295"/>
    <ns0:x v="4"/>
    <ns0:x v="0"/>
    <ns0:x v="4"/>
    <ns0:x v="420"/>
    <ns0:x v="0"/>
  </ns0:r>
  <ns0:r>
    <ns0:x v="30"/>
    <ns0:x v="1"/>
    <ns0:x v="335"/>
    <ns0:x v="331"/>
    <ns0:x v="331"/>
    <ns0:x v="149"/>
    <ns0:x v="13"/>
    <ns0:x v="319"/>
    <ns0:x v="323"/>
    <ns0:x v="4"/>
    <ns0:x v="0"/>
    <ns0:x v="4"/>
    <ns0:x v="421"/>
    <ns0:x v="0"/>
  </ns0:r>
  <ns0:r>
    <ns0:x v="30"/>
    <ns0:x v="2"/>
    <ns0:x v="280"/>
    <ns0:x v="284"/>
    <ns0:x v="280"/>
    <ns0:x v="247"/>
    <ns0:x v="11"/>
    <ns0:x v="263"/>
    <ns0:x v="266"/>
    <ns0:x v="4"/>
    <ns0:x v="0"/>
    <ns0:x v="4"/>
    <ns0:x v="422"/>
    <ns0:x v="0"/>
  </ns0:r>
  <ns0:r>
    <ns0:x v="30"/>
    <ns0:x v="3"/>
    <ns0:x v="216"/>
    <ns0:x v="222"/>
    <ns0:x v="219"/>
    <ns0:x v="394"/>
    <ns0:x v="9"/>
    <ns0:x v="212"/>
    <ns0:x v="216"/>
    <ns0:x v="4"/>
    <ns0:x v="0"/>
    <ns0:x v="4"/>
    <ns0:x v="423"/>
    <ns0:x v="0"/>
  </ns0:r>
  <ns0:r>
    <ns0:x v="30"/>
    <ns0:x v="4"/>
    <ns0:x v="192"/>
    <ns0:x v="200"/>
    <ns0:x v="201"/>
    <ns0:x v="41"/>
    <ns0:x v="9"/>
    <ns0:x v="210"/>
    <ns0:x v="207"/>
    <ns0:x v="4"/>
    <ns0:x v="0"/>
    <ns0:x v="4"/>
    <ns0:x v="424"/>
    <ns0:x v="0"/>
  </ns0:r>
  <ns0:r>
    <ns0:x v="30"/>
    <ns0:x v="5"/>
    <ns0:x v="374"/>
    <ns0:x v="379"/>
    <ns0:x v="381"/>
    <ns0:x v="331"/>
    <ns0:x v="16"/>
    <ns0:x v="360"/>
    <ns0:x v="364"/>
    <ns0:x v="4"/>
    <ns0:x v="0"/>
    <ns0:x v="4"/>
    <ns0:x v="425"/>
    <ns0:x v="0"/>
  </ns0:r>
  <ns0:r>
    <ns0:x v="30"/>
    <ns0:x v="6"/>
    <ns0:x v="384"/>
    <ns0:x v="387"/>
    <ns0:x v="390"/>
    <ns0:x v="321"/>
    <ns0:x v="18"/>
    <ns0:x v="369"/>
    <ns0:x v="372"/>
    <ns0:x v="4"/>
    <ns0:x v="0"/>
    <ns0:x v="4"/>
    <ns0:x v="426"/>
    <ns0:x v="0"/>
  </ns0:r>
  <ns0:r>
    <ns0:x v="30"/>
    <ns0:x v="7"/>
    <ns0:x v="231"/>
    <ns0:x v="246"/>
    <ns0:x v="245"/>
    <ns0:x v="215"/>
    <ns0:x v="9"/>
    <ns0:x v="241"/>
    <ns0:x v="231"/>
    <ns0:x v="4"/>
    <ns0:x v="0"/>
    <ns0:x v="4"/>
    <ns0:x v="427"/>
    <ns0:x v="0"/>
  </ns0:r>
  <ns0:r>
    <ns0:x v="30"/>
    <ns0:x v="8"/>
    <ns0:x v="118"/>
    <ns0:x v="127"/>
    <ns0:x v="124"/>
    <ns0:x v="75"/>
    <ns0:x v="7"/>
    <ns0:x v="122"/>
    <ns0:x v="123"/>
    <ns0:x v="4"/>
    <ns0:x v="0"/>
    <ns0:x v="4"/>
    <ns0:x v="428"/>
    <ns0:x v="0"/>
  </ns0:r>
  <ns0:r>
    <ns0:x v="30"/>
    <ns0:x v="9"/>
    <ns0:x v="128"/>
    <ns0:x v="138"/>
    <ns0:x v="134"/>
    <ns0:x v="346"/>
    <ns0:x v="6"/>
    <ns0:x v="128"/>
    <ns0:x v="128"/>
    <ns0:x v="4"/>
    <ns0:x v="0"/>
    <ns0:x v="4"/>
    <ns0:x v="429"/>
    <ns0:x v="0"/>
  </ns0:r>
  <ns0:r>
    <ns0:x v="30"/>
    <ns0:x v="10"/>
    <ns0:x v="93"/>
    <ns0:x v="108"/>
    <ns0:x v="104"/>
    <ns0:x v="281"/>
    <ns0:x v="5"/>
    <ns0:x v="96"/>
    <ns0:x v="95"/>
    <ns0:x v="4"/>
    <ns0:x v="0"/>
    <ns0:x v="4"/>
    <ns0:x v="430"/>
    <ns0:x v="0"/>
  </ns0:r>
  <ns0:r>
    <ns0:x v="30"/>
    <ns0:x v="11"/>
    <ns0:x v="18"/>
    <ns0:x v="12"/>
    <ns0:x v="19"/>
    <ns0:x v="26"/>
    <ns0:x v="4"/>
    <ns0:x v="17"/>
    <ns0:x v="18"/>
    <ns0:x v="4"/>
    <ns0:x v="0"/>
    <ns0:x v="4"/>
    <ns0:x v="431"/>
    <ns0:x v="0"/>
  </ns0:r>
  <ns0:r>
    <ns0:x v="30"/>
    <ns0:x v="12"/>
    <ns0:x v="479"/>
    <ns0:x v="479"/>
    <ns0:x v="482"/>
    <ns0:x v="464"/>
    <ns0:x v="20"/>
    <ns0:x v="462"/>
    <ns0:x v="463"/>
    <ns0:x v="4"/>
    <ns0:x v="0"/>
    <ns0:x v="4"/>
    <ns0:x v="432"/>
    <ns0:x v="0"/>
  </ns0:r>
  <ns0:r>
    <ns0:x v="30"/>
    <ns0:x v="13"/>
    <ns0:x v="445"/>
    <ns0:x v="445"/>
    <ns0:x v="445"/>
    <ns0:x v="455"/>
    <ns0:x v="23"/>
    <ns0:x v="429"/>
    <ns0:x v="428"/>
    <ns0:x v="4"/>
    <ns0:x v="0"/>
    <ns0:x v="4"/>
    <ns0:x v="433"/>
    <ns0:x v="0"/>
  </ns0:r>
  <ns0:r>
    <ns0:x v="30"/>
    <ns0:x v="14"/>
    <ns0:x v="81"/>
    <ns0:x v="79"/>
    <ns0:x v="87"/>
    <ns0:x v="40"/>
    <ns0:x v="3"/>
    <ns0:x v="77"/>
    <ns0:x v="79"/>
    <ns0:x v="4"/>
    <ns0:x v="0"/>
    <ns0:x v="4"/>
    <ns0:x v="434"/>
    <ns0:x v="0"/>
  </ns0:r>
  <ns0:r>
    <ns0:x v="30"/>
    <ns0:x v="16"/>
    <ns0:x v="16"/>
    <ns0:x v="17"/>
    <ns0:x v="12"/>
    <ns0:x v="12"/>
    <ns0:x v="1"/>
    <ns0:x v="11"/>
    <ns0:x v="11"/>
    <ns0:x v="4"/>
    <ns0:x v="0"/>
    <ns0:x v="4"/>
    <ns0:x v="435"/>
    <ns0:x v="0"/>
  </ns0:r>
  <ns0:r>
    <ns0:x v="31"/>
    <ns0:x v="0"/>
    <ns0:x v="349"/>
    <ns0:x v="351"/>
    <ns0:x v="352"/>
    <ns0:x v="328"/>
    <ns0:x v="15"/>
    <ns0:x v="330"/>
    <ns0:x v="332"/>
    <ns0:x v="4"/>
    <ns0:x v="0"/>
    <ns0:x v="4"/>
    <ns0:x v="436"/>
    <ns0:x v="0"/>
  </ns0:r>
  <ns0:r>
    <ns0:x v="31"/>
    <ns0:x v="1"/>
    <ns0:x v="350"/>
    <ns0:x v="354"/>
    <ns0:x v="353"/>
    <ns0:x v="190"/>
    <ns0:x v="13"/>
    <ns0:x v="333"/>
    <ns0:x v="336"/>
    <ns0:x v="4"/>
    <ns0:x v="0"/>
    <ns0:x v="4"/>
    <ns0:x v="437"/>
    <ns0:x v="0"/>
  </ns0:r>
  <ns0:r>
    <ns0:x v="31"/>
    <ns0:x v="2"/>
    <ns0:x v="288"/>
    <ns0:x v="290"/>
    <ns0:x v="290"/>
    <ns0:x v="107"/>
    <ns0:x v="11"/>
    <ns0:x v="269"/>
    <ns0:x v="271"/>
    <ns0:x v="4"/>
    <ns0:x v="0"/>
    <ns0:x v="4"/>
    <ns0:x v="438"/>
    <ns0:x v="0"/>
  </ns0:r>
  <ns0:r>
    <ns0:x v="31"/>
    <ns0:x v="3"/>
    <ns0:x v="258"/>
    <ns0:x v="261"/>
    <ns0:x v="261"/>
    <ns0:x v="267"/>
    <ns0:x v="9"/>
    <ns0:x v="242"/>
    <ns0:x v="244"/>
    <ns0:x v="4"/>
    <ns0:x v="0"/>
    <ns0:x v="4"/>
    <ns0:x v="439"/>
    <ns0:x v="0"/>
  </ns0:r>
  <ns0:r>
    <ns0:x v="31"/>
    <ns0:x v="4"/>
    <ns0:x v="243"/>
    <ns0:x v="226"/>
    <ns0:x v="231"/>
    <ns0:x v="21"/>
    <ns0:x v="9"/>
    <ns0:x v="237"/>
    <ns0:x v="241"/>
    <ns0:x v="4"/>
    <ns0:x v="0"/>
    <ns0:x v="4"/>
    <ns0:x v="440"/>
    <ns0:x v="0"/>
  </ns0:r>
  <ns0:r>
    <ns0:x v="31"/>
    <ns0:x v="5"/>
    <ns0:x v="413"/>
    <ns0:x v="411"/>
    <ns0:x v="418"/>
    <ns0:x v="377"/>
    <ns0:x v="16"/>
    <ns0:x v="394"/>
    <ns0:x v="394"/>
    <ns0:x v="4"/>
    <ns0:x v="0"/>
    <ns0:x v="4"/>
    <ns0:x v="441"/>
    <ns0:x v="0"/>
  </ns0:r>
  <ns0:r>
    <ns0:x v="31"/>
    <ns0:x v="6"/>
    <ns0:x v="418"/>
    <ns0:x v="418"/>
    <ns0:x v="423"/>
    <ns0:x v="387"/>
    <ns0:x v="17"/>
    <ns0:x v="403"/>
    <ns0:x v="403"/>
    <ns0:x v="4"/>
    <ns0:x v="0"/>
    <ns0:x v="4"/>
    <ns0:x v="442"/>
    <ns0:x v="0"/>
  </ns0:r>
  <ns0:r>
    <ns0:x v="31"/>
    <ns0:x v="7"/>
    <ns0:x v="257"/>
    <ns0:x v="264"/>
    <ns0:x v="264"/>
    <ns0:x v="255"/>
    <ns0:x v="9"/>
    <ns0:x v="249"/>
    <ns0:x v="250"/>
    <ns0:x v="4"/>
    <ns0:x v="0"/>
    <ns0:x v="4"/>
    <ns0:x v="443"/>
    <ns0:x v="0"/>
  </ns0:r>
  <ns0:r>
    <ns0:x v="31"/>
    <ns0:x v="8"/>
    <ns0:x v="132"/>
    <ns0:x v="133"/>
    <ns0:x v="132"/>
    <ns0:x v="76"/>
    <ns0:x v="7"/>
    <ns0:x v="120"/>
    <ns0:x v="119"/>
    <ns0:x v="4"/>
    <ns0:x v="0"/>
    <ns0:x v="4"/>
    <ns0:x v="444"/>
    <ns0:x v="0"/>
  </ns0:r>
  <ns0:r>
    <ns0:x v="31"/>
    <ns0:x v="9"/>
    <ns0:x v="149"/>
    <ns0:x v="150"/>
    <ns0:x v="150"/>
    <ns0:x v="228"/>
    <ns0:x v="6"/>
    <ns0:x v="141"/>
    <ns0:x v="140"/>
    <ns0:x v="4"/>
    <ns0:x v="0"/>
    <ns0:x v="4"/>
    <ns0:x v="445"/>
    <ns0:x v="0"/>
  </ns0:r>
  <ns0:r>
    <ns0:x v="31"/>
    <ns0:x v="10"/>
    <ns0:x v="134"/>
    <ns0:x v="143"/>
    <ns0:x v="142"/>
    <ns0:x v="81"/>
    <ns0:x v="5"/>
    <ns0:x v="114"/>
    <ns0:x v="114"/>
    <ns0:x v="4"/>
    <ns0:x v="0"/>
    <ns0:x v="4"/>
    <ns0:x v="446"/>
    <ns0:x v="0"/>
  </ns0:r>
  <ns0:r>
    <ns0:x v="31"/>
    <ns0:x v="11"/>
    <ns0:x v="14"/>
    <ns0:x v="13"/>
    <ns0:x v="14"/>
    <ns0:x v="50"/>
    <ns0:x v="4"/>
    <ns0:x v="7"/>
    <ns0:x v="8"/>
    <ns0:x v="4"/>
    <ns0:x v="0"/>
    <ns0:x v="4"/>
    <ns0:x v="447"/>
    <ns0:x v="0"/>
  </ns0:r>
  <ns0:r>
    <ns0:x v="31"/>
    <ns0:x v="12"/>
    <ns0:x v="501"/>
    <ns0:x v="503"/>
    <ns0:x v="503"/>
    <ns0:x v="436"/>
    <ns0:x v="20"/>
    <ns0:x v="480"/>
    <ns0:x v="481"/>
    <ns0:x v="4"/>
    <ns0:x v="0"/>
    <ns0:x v="4"/>
    <ns0:x v="448"/>
    <ns0:x v="0"/>
  </ns0:r>
  <ns0:r>
    <ns0:x v="31"/>
    <ns0:x v="13"/>
    <ns0:x v="497"/>
    <ns0:x v="496"/>
    <ns0:x v="499"/>
    <ns0:x v="439"/>
    <ns0:x v="23"/>
    <ns0:x v="476"/>
    <ns0:x v="477"/>
    <ns0:x v="4"/>
    <ns0:x v="0"/>
    <ns0:x v="4"/>
    <ns0:x v="449"/>
    <ns0:x v="0"/>
  </ns0:r>
  <ns0:r>
    <ns0:x v="31"/>
    <ns0:x v="14"/>
    <ns0:x v="114"/>
    <ns0:x v="114"/>
    <ns0:x v="114"/>
    <ns0:x v="43"/>
    <ns0:x v="3"/>
    <ns0:x v="95"/>
    <ns0:x v="99"/>
    <ns0:x v="4"/>
    <ns0:x v="0"/>
    <ns0:x v="4"/>
    <ns0:x v="450"/>
    <ns0:x v="0"/>
  </ns0:r>
  <ns0:r>
    <ns0:x v="31"/>
    <ns0:x v="16"/>
    <ns0:x v="27"/>
    <ns0:x v="35"/>
    <ns0:x v="34"/>
    <ns0:x v="17"/>
    <ns0:x v="1"/>
    <ns0:x v="22"/>
    <ns0:x v="22"/>
    <ns0:x v="4"/>
    <ns0:x v="0"/>
    <ns0:x v="4"/>
    <ns0:x v="451"/>
    <ns0:x v="0"/>
  </ns0:r>
  <ns0:r>
    <ns0:x v="32"/>
    <ns0:x v="0"/>
    <ns0:x v="360"/>
    <ns0:x v="362"/>
    <ns0:x v="363"/>
    <ns0:x v="251"/>
    <ns0:x v="15"/>
    <ns0:x v="339"/>
    <ns0:x v="342"/>
    <ns0:x v="4"/>
    <ns0:x v="0"/>
    <ns0:x v="4"/>
    <ns0:x v="452"/>
    <ns0:x v="0"/>
  </ns0:r>
  <ns0:r>
    <ns0:x v="32"/>
    <ns0:x v="1"/>
    <ns0:x v="361"/>
    <ns0:x v="363"/>
    <ns0:x v="362"/>
    <ns0:x v="132"/>
    <ns0:x v="13"/>
    <ns0:x v="340"/>
    <ns0:x v="343"/>
    <ns0:x v="4"/>
    <ns0:x v="0"/>
    <ns0:x v="4"/>
    <ns0:x v="453"/>
    <ns0:x v="0"/>
  </ns0:r>
  <ns0:r>
    <ns0:x v="32"/>
    <ns0:x v="2"/>
    <ns0:x v="291"/>
    <ns0:x v="293"/>
    <ns0:x v="293"/>
    <ns0:x v="272"/>
    <ns0:x v="11"/>
    <ns0:x v="270"/>
    <ns0:x v="272"/>
    <ns0:x v="4"/>
    <ns0:x v="0"/>
    <ns0:x v="4"/>
    <ns0:x v="454"/>
    <ns0:x v="0"/>
  </ns0:r>
  <ns0:r>
    <ns0:x v="32"/>
    <ns0:x v="3"/>
    <ns0:x v="286"/>
    <ns0:x v="287"/>
    <ns0:x v="286"/>
    <ns0:x v="306"/>
    <ns0:x v="9"/>
    <ns0:x v="269"/>
    <ns0:x v="270"/>
    <ns0:x v="4"/>
    <ns0:x v="0"/>
    <ns0:x v="4"/>
    <ns0:x v="455"/>
    <ns0:x v="0"/>
  </ns0:r>
  <ns0:r>
    <ns0:x v="32"/>
    <ns0:x v="4"/>
    <ns0:x v="254"/>
    <ns0:x v="247"/>
    <ns0:x v="251"/>
    <ns0:x v="96"/>
    <ns0:x v="9"/>
    <ns0:x v="246"/>
    <ns0:x v="247"/>
    <ns0:x v="4"/>
    <ns0:x v="0"/>
    <ns0:x v="4"/>
    <ns0:x v="456"/>
    <ns0:x v="0"/>
  </ns0:r>
  <ns0:r>
    <ns0:x v="32"/>
    <ns0:x v="5"/>
    <ns0:x v="427"/>
    <ns0:x v="424"/>
    <ns0:x v="429"/>
    <ns0:x v="373"/>
    <ns0:x v="16"/>
    <ns0:x v="406"/>
    <ns0:x v="407"/>
    <ns0:x v="4"/>
    <ns0:x v="0"/>
    <ns0:x v="4"/>
    <ns0:x v="457"/>
    <ns0:x v="0"/>
  </ns0:r>
  <ns0:r>
    <ns0:x v="32"/>
    <ns0:x v="6"/>
    <ns0:x v="429"/>
    <ns0:x v="427"/>
    <ns0:x v="433"/>
    <ns0:x v="351"/>
    <ns0:x v="17"/>
    <ns0:x v="408"/>
    <ns0:x v="411"/>
    <ns0:x v="4"/>
    <ns0:x v="0"/>
    <ns0:x v="4"/>
    <ns0:x v="458"/>
    <ns0:x v="0"/>
  </ns0:r>
  <ns0:r>
    <ns0:x v="32"/>
    <ns0:x v="7"/>
    <ns0:x v="274"/>
    <ns0:x v="277"/>
    <ns0:x v="278"/>
    <ns0:x v="229"/>
    <ns0:x v="9"/>
    <ns0:x v="262"/>
    <ns0:x v="259"/>
    <ns0:x v="4"/>
    <ns0:x v="0"/>
    <ns0:x v="4"/>
    <ns0:x v="459"/>
    <ns0:x v="0"/>
  </ns0:r>
  <ns0:r>
    <ns0:x v="32"/>
    <ns0:x v="8"/>
    <ns0:x v="150"/>
    <ns0:x v="151"/>
    <ns0:x v="152"/>
    <ns0:x v="70"/>
    <ns0:x v="7"/>
    <ns0:x v="137"/>
    <ns0:x v="138"/>
    <ns0:x v="4"/>
    <ns0:x v="0"/>
    <ns0:x v="4"/>
    <ns0:x v="460"/>
    <ns0:x v="0"/>
  </ns0:r>
  <ns0:r>
    <ns0:x v="32"/>
    <ns0:x v="9"/>
    <ns0:x v="187"/>
    <ns0:x v="189"/>
    <ns0:x v="194"/>
    <ns0:x v="216"/>
    <ns0:x v="6"/>
    <ns0:x v="177"/>
    <ns0:x v="174"/>
    <ns0:x v="4"/>
    <ns0:x v="0"/>
    <ns0:x v="4"/>
    <ns0:x v="461"/>
    <ns0:x v="0"/>
  </ns0:r>
  <ns0:r>
    <ns0:x v="32"/>
    <ns0:x v="10"/>
    <ns0:x v="142"/>
    <ns0:x v="148"/>
    <ns0:x v="146"/>
    <ns0:x v="135"/>
    <ns0:x v="5"/>
    <ns0:x v="126"/>
    <ns0:x v="124"/>
    <ns0:x v="4"/>
    <ns0:x v="0"/>
    <ns0:x v="4"/>
    <ns0:x v="462"/>
    <ns0:x v="0"/>
  </ns0:r>
  <ns0:r>
    <ns0:x v="32"/>
    <ns0:x v="11"/>
    <ns0:x v="30"/>
    <ns0:x v="25"/>
    <ns0:x v="30"/>
    <ns0:x v="93"/>
    <ns0:x v="4"/>
    <ns0:x v="21"/>
    <ns0:x v="21"/>
    <ns0:x v="4"/>
    <ns0:x v="0"/>
    <ns0:x v="4"/>
    <ns0:x v="463"/>
    <ns0:x v="0"/>
  </ns0:r>
  <ns0:r>
    <ns0:x v="32"/>
    <ns0:x v="12"/>
    <ns0:x v="498"/>
    <ns0:x v="500"/>
    <ns0:x v="501"/>
    <ns0:x v="446"/>
    <ns0:x v="20"/>
    <ns0:x v="477"/>
    <ns0:x v="478"/>
    <ns0:x v="4"/>
    <ns0:x v="0"/>
    <ns0:x v="4"/>
    <ns0:x v="464"/>
    <ns0:x v="0"/>
  </ns0:r>
  <ns0:r>
    <ns0:x v="32"/>
    <ns0:x v="13"/>
    <ns0:x v="480"/>
    <ns0:x v="470"/>
    <ns0:x v="478"/>
    <ns0:x v="442"/>
    <ns0:x v="23"/>
    <ns0:x v="452"/>
    <ns0:x v="452"/>
    <ns0:x v="4"/>
    <ns0:x v="0"/>
    <ns0:x v="4"/>
    <ns0:x v="465"/>
    <ns0:x v="0"/>
  </ns0:r>
  <ns0:r>
    <ns0:x v="32"/>
    <ns0:x v="14"/>
    <ns0:x v="111"/>
    <ns0:x v="112"/>
    <ns0:x v="113"/>
    <ns0:x v="54"/>
    <ns0:x v="3"/>
    <ns0:x v="94"/>
    <ns0:x v="96"/>
    <ns0:x v="4"/>
    <ns0:x v="0"/>
    <ns0:x v="4"/>
    <ns0:x v="466"/>
    <ns0:x v="0"/>
  </ns0:r>
  <ns0:r>
    <ns0:x v="32"/>
    <ns0:x v="16"/>
    <ns0:x v="43"/>
    <ns0:x v="43"/>
    <ns0:x v="43"/>
    <ns0:x v="130"/>
    <ns0:x v="1"/>
    <ns0:x v="30"/>
    <ns0:x v="30"/>
    <ns0:x v="4"/>
    <ns0:x v="0"/>
    <ns0:x v="4"/>
    <ns0:x v="467"/>
    <ns0:x v="0"/>
  </ns0:r>
  <ns0:r>
    <ns0:x v="33"/>
    <ns0:x v="0"/>
    <ns0:x v="326"/>
    <ns0:x v="327"/>
    <ns0:x v="336"/>
    <ns0:x v="23"/>
    <ns0:x v="15"/>
    <ns0:x v="315"/>
    <ns0:x v="317"/>
    <ns0:x v="4"/>
    <ns0:x v="0"/>
    <ns0:x v="4"/>
    <ns0:x v="468"/>
    <ns0:x v="0"/>
  </ns0:r>
  <ns0:r>
    <ns0:x v="33"/>
    <ns0:x v="1"/>
    <ns0:x v="353"/>
    <ns0:x v="356"/>
    <ns0:x v="356"/>
    <ns0:x v="14"/>
    <ns0:x v="13"/>
    <ns0:x v="334"/>
    <ns0:x v="337"/>
    <ns0:x v="4"/>
    <ns0:x v="0"/>
    <ns0:x v="4"/>
    <ns0:x v="469"/>
    <ns0:x v="0"/>
  </ns0:r>
  <ns0:r>
    <ns0:x v="33"/>
    <ns0:x v="2"/>
    <ns0:x v="283"/>
    <ns0:x v="288"/>
    <ns0:x v="285"/>
    <ns0:x v="19"/>
    <ns0:x v="12"/>
    <ns0:x v="266"/>
    <ns0:x v="268"/>
    <ns0:x v="4"/>
    <ns0:x v="0"/>
    <ns0:x v="4"/>
    <ns0:x v="470"/>
    <ns0:x v="0"/>
  </ns0:r>
  <ns0:r>
    <ns0:x v="33"/>
    <ns0:x v="3"/>
    <ns0:x v="266"/>
    <ns0:x v="272"/>
    <ns0:x v="270"/>
    <ns0:x v="94"/>
    <ns0:x v="10"/>
    <ns0:x v="253"/>
    <ns0:x v="255"/>
    <ns0:x v="4"/>
    <ns0:x v="0"/>
    <ns0:x v="4"/>
    <ns0:x v="471"/>
    <ns0:x v="0"/>
  </ns0:r>
  <ns0:r>
    <ns0:x v="33"/>
    <ns0:x v="4"/>
    <ns0:x v="223"/>
    <ns0:x v="218"/>
    <ns0:x v="222"/>
    <ns0:x v="8"/>
    <ns0:x v="10"/>
    <ns0:x v="234"/>
    <ns0:x v="238"/>
    <ns0:x v="4"/>
    <ns0:x v="0"/>
    <ns0:x v="4"/>
    <ns0:x v="472"/>
    <ns0:x v="0"/>
  </ns0:r>
  <ns0:r>
    <ns0:x v="33"/>
    <ns0:x v="5"/>
    <ns0:x v="392"/>
    <ns0:x v="390"/>
    <ns0:x v="395"/>
    <ns0:x v="222"/>
    <ns0:x v="16"/>
    <ns0:x v="375"/>
    <ns0:x v="376"/>
    <ns0:x v="4"/>
    <ns0:x v="0"/>
    <ns0:x v="4"/>
    <ns0:x v="473"/>
    <ns0:x v="0"/>
  </ns0:r>
  <ns0:r>
    <ns0:x v="33"/>
    <ns0:x v="6"/>
    <ns0:x v="401"/>
    <ns0:x v="399"/>
    <ns0:x v="407"/>
    <ns0:x v="231"/>
    <ns0:x v="17"/>
    <ns0:x v="387"/>
    <ns0:x v="389"/>
    <ns0:x v="4"/>
    <ns0:x v="0"/>
    <ns0:x v="4"/>
    <ns0:x v="474"/>
    <ns0:x v="0"/>
  </ns0:r>
  <ns0:r>
    <ns0:x v="33"/>
    <ns0:x v="7"/>
    <ns0:x v="237"/>
    <ns0:x v="245"/>
    <ns0:x v="242"/>
    <ns0:x v="82"/>
    <ns0:x v="9"/>
    <ns0:x v="235"/>
    <ns0:x v="227"/>
    <ns0:x v="4"/>
    <ns0:x v="0"/>
    <ns0:x v="4"/>
    <ns0:x v="475"/>
    <ns0:x v="0"/>
  </ns0:r>
  <ns0:r>
    <ns0:x v="33"/>
    <ns0:x v="8"/>
    <ns0:x v="122"/>
    <ns0:x v="131"/>
    <ns0:x v="133"/>
    <ns0:x v="11"/>
    <ns0:x v="7"/>
    <ns0:x v="123"/>
    <ns0:x v="125"/>
    <ns0:x v="4"/>
    <ns0:x v="0"/>
    <ns0:x v="4"/>
    <ns0:x v="476"/>
    <ns0:x v="0"/>
  </ns0:r>
  <ns0:r>
    <ns0:x v="33"/>
    <ns0:x v="9"/>
    <ns0:x v="140"/>
    <ns0:x v="145"/>
    <ns0:x v="145"/>
    <ns0:x v="105"/>
    <ns0:x v="6"/>
    <ns0:x v="134"/>
    <ns0:x v="135"/>
    <ns0:x v="4"/>
    <ns0:x v="0"/>
    <ns0:x v="4"/>
    <ns0:x v="477"/>
    <ns0:x v="0"/>
  </ns0:r>
  <ns0:r>
    <ns0:x v="33"/>
    <ns0:x v="10"/>
    <ns0:x v="113"/>
    <ns0:x v="119"/>
    <ns0:x v="118"/>
    <ns0:x v="199"/>
    <ns0:x v="5"/>
    <ns0:x v="103"/>
    <ns0:x v="105"/>
    <ns0:x v="4"/>
    <ns0:x v="0"/>
    <ns0:x v="4"/>
    <ns0:x v="478"/>
    <ns0:x v="0"/>
  </ns0:r>
  <ns0:r>
    <ns0:x v="33"/>
    <ns0:x v="11"/>
    <ns0:x v="10"/>
    <ns0:x v="9"/>
    <ns0:x v="9"/>
    <ns0:x v="29"/>
    <ns0:x v="4"/>
    <ns0:x v="12"/>
    <ns0:x v="12"/>
    <ns0:x v="4"/>
    <ns0:x v="0"/>
    <ns0:x v="4"/>
    <ns0:x v="479"/>
    <ns0:x v="0"/>
  </ns0:r>
  <ns0:r>
    <ns0:x v="33"/>
    <ns0:x v="12"/>
    <ns0:x v="490"/>
    <ns0:x v="489"/>
    <ns0:x v="494"/>
    <ns0:x v="375"/>
    <ns0:x v="20"/>
    <ns0:x v="469"/>
    <ns0:x v="470"/>
    <ns0:x v="4"/>
    <ns0:x v="0"/>
    <ns0:x v="4"/>
    <ns0:x v="480"/>
    <ns0:x v="0"/>
  </ns0:r>
  <ns0:r>
    <ns0:x v="33"/>
    <ns0:x v="13"/>
    <ns0:x v="455"/>
    <ns0:x v="454"/>
    <ns0:x v="459"/>
    <ns0:x v="354"/>
    <ns0:x v="23"/>
    <ns0:x v="437"/>
    <ns0:x v="440"/>
    <ns0:x v="4"/>
    <ns0:x v="0"/>
    <ns0:x v="4"/>
    <ns0:x v="481"/>
    <ns0:x v="0"/>
  </ns0:r>
  <ns0:r>
    <ns0:x v="33"/>
    <ns0:x v="14"/>
    <ns0:x v="74"/>
    <ns0:x v="63"/>
    <ns0:x v="67"/>
    <ns0:x v="16"/>
    <ns0:x v="3"/>
    <ns0:x v="68"/>
    <ns0:x v="68"/>
    <ns0:x v="4"/>
    <ns0:x v="0"/>
    <ns0:x v="4"/>
    <ns0:x v="482"/>
    <ns0:x v="0"/>
  </ns0:r>
  <ns0:r>
    <ns0:x v="33"/>
    <ns0:x v="15"/>
    <ns0:x v="6"/>
    <ns0:x v="5"/>
    <ns0:x v="6"/>
    <ns0:x v="5"/>
    <ns0:x v="2"/>
    <ns0:x v="5"/>
    <ns0:x v="6"/>
    <ns0:x v="4"/>
    <ns0:x v="0"/>
    <ns0:x v="4"/>
    <ns0:x v="483"/>
    <ns0:x v="0"/>
  </ns0:r>
  <ns0:r>
    <ns0:x v="33"/>
    <ns0:x v="16"/>
    <ns0:x v="35"/>
    <ns0:x v="38"/>
    <ns0:x v="36"/>
    <ns0:x v="2"/>
    <ns0:x v="1"/>
    <ns0:x v="29"/>
    <ns0:x v="28"/>
    <ns0:x v="4"/>
    <ns0:x v="0"/>
    <ns0:x v="4"/>
    <ns0:x v="484"/>
    <ns0:x v="0"/>
  </ns0:r>
  <ns0:r>
    <ns0:x v="33"/>
    <ns0:x v="17"/>
    <ns0:x v="3"/>
    <ns0:x v="4"/>
    <ns0:x v="4"/>
    <ns0:x v="0"/>
    <ns0:x v="0"/>
    <ns0:x v="1"/>
    <ns0:x v="1"/>
    <ns0:x v="4"/>
    <ns0:x v="0"/>
    <ns0:x v="4"/>
    <ns0:x v="485"/>
    <ns0:x v="0"/>
  </ns0:r>
  <ns0:r>
    <ns0:x v="34"/>
    <ns0:x v="0"/>
    <ns0:x v="300"/>
    <ns0:x v="305"/>
    <ns0:x v="302"/>
    <ns0:x v="270"/>
    <ns0:x v="15"/>
    <ns0:x v="286"/>
    <ns0:x v="287"/>
    <ns0:x v="5"/>
    <ns0:x v="0"/>
    <ns0:x v="5"/>
    <ns0:x v="486"/>
    <ns0:x v="0"/>
  </ns0:r>
  <ns0:r>
    <ns0:x v="34"/>
    <ns0:x v="1"/>
    <ns0:x v="331"/>
    <ns0:x v="340"/>
    <ns0:x v="335"/>
    <ns0:x v="285"/>
    <ns0:x v="13"/>
    <ns0:x v="325"/>
    <ns0:x v="327"/>
    <ns0:x v="5"/>
    <ns0:x v="0"/>
    <ns0:x v="5"/>
    <ns0:x v="487"/>
    <ns0:x v="0"/>
  </ns0:r>
  <ns0:r>
    <ns0:x v="34"/>
    <ns0:x v="2"/>
    <ns0:x v="276"/>
    <ns0:x v="282"/>
    <ns0:x v="279"/>
    <ns0:x v="390"/>
    <ns0:x v="12"/>
    <ns0:x v="268"/>
    <ns0:x v="269"/>
    <ns0:x v="5"/>
    <ns0:x v="0"/>
    <ns0:x v="5"/>
    <ns0:x v="488"/>
    <ns0:x v="0"/>
  </ns0:r>
  <ns0:r>
    <ns0:x v="34"/>
    <ns0:x v="3"/>
    <ns0:x v="230"/>
    <ns0:x v="242"/>
    <ns0:x v="234"/>
    <ns0:x v="417"/>
    <ns0:x v="10"/>
    <ns0:x v="228"/>
    <ns0:x v="232"/>
    <ns0:x v="5"/>
    <ns0:x v="0"/>
    <ns0:x v="5"/>
    <ns0:x v="489"/>
    <ns0:x v="0"/>
  </ns0:r>
  <ns0:r>
    <ns0:x v="34"/>
    <ns0:x v="4"/>
    <ns0:x v="190"/>
    <ns0:x v="198"/>
    <ns0:x v="193"/>
    <ns0:x v="126"/>
    <ns0:x v="10"/>
    <ns0:x v="211"/>
    <ns0:x v="213"/>
    <ns0:x v="5"/>
    <ns0:x v="0"/>
    <ns0:x v="5"/>
    <ns0:x v="490"/>
    <ns0:x v="0"/>
  </ns0:r>
  <ns0:r>
    <ns0:x v="34"/>
    <ns0:x v="5"/>
    <ns0:x v="366"/>
    <ns0:x v="372"/>
    <ns0:x v="373"/>
    <ns0:x v="431"/>
    <ns0:x v="16"/>
    <ns0:x v="350"/>
    <ns0:x v="353"/>
    <ns0:x v="5"/>
    <ns0:x v="0"/>
    <ns0:x v="5"/>
    <ns0:x v="491"/>
    <ns0:x v="0"/>
  </ns0:r>
  <ns0:r>
    <ns0:x v="34"/>
    <ns0:x v="6"/>
    <ns0:x v="372"/>
    <ns0:x v="377"/>
    <ns0:x v="378"/>
    <ns0:x v="432"/>
    <ns0:x v="17"/>
    <ns0:x v="357"/>
    <ns0:x v="360"/>
    <ns0:x v="5"/>
    <ns0:x v="0"/>
    <ns0:x v="5"/>
    <ns0:x v="492"/>
    <ns0:x v="0"/>
  </ns0:r>
  <ns0:r>
    <ns0:x v="34"/>
    <ns0:x v="7"/>
    <ns0:x v="234"/>
    <ns0:x v="248"/>
    <ns0:x v="238"/>
    <ns0:x v="286"/>
    <ns0:x v="9"/>
    <ns0:x v="244"/>
    <ns0:x v="242"/>
    <ns0:x v="5"/>
    <ns0:x v="0"/>
    <ns0:x v="5"/>
    <ns0:x v="493"/>
    <ns0:x v="0"/>
  </ns0:r>
  <ns0:r>
    <ns0:x v="34"/>
    <ns0:x v="8"/>
    <ns0:x v="99"/>
    <ns0:x v="115"/>
    <ns0:x v="106"/>
    <ns0:x v="122"/>
    <ns0:x v="7"/>
    <ns0:x v="106"/>
    <ns0:x v="110"/>
    <ns0:x v="5"/>
    <ns0:x v="0"/>
    <ns0:x v="5"/>
    <ns0:x v="494"/>
    <ns0:x v="0"/>
  </ns0:r>
  <ns0:r>
    <ns0:x v="34"/>
    <ns0:x v="9"/>
    <ns0:x v="131"/>
    <ns0:x v="141"/>
    <ns0:x v="138"/>
    <ns0:x v="393"/>
    <ns0:x v="6"/>
    <ns0:x v="133"/>
    <ns0:x v="133"/>
    <ns0:x v="5"/>
    <ns0:x v="0"/>
    <ns0:x v="5"/>
    <ns0:x v="495"/>
    <ns0:x v="0"/>
  </ns0:r>
  <ns0:r>
    <ns0:x v="34"/>
    <ns0:x v="10"/>
    <ns0:x v="126"/>
    <ns0:x v="144"/>
    <ns0:x v="141"/>
    <ns0:x v="252"/>
    <ns0:x v="5"/>
    <ns0:x v="121"/>
    <ns0:x v="120"/>
    <ns0:x v="5"/>
    <ns0:x v="0"/>
    <ns0:x v="5"/>
    <ns0:x v="496"/>
    <ns0:x v="0"/>
  </ns0:r>
  <ns0:r>
    <ns0:x v="34"/>
    <ns0:x v="11"/>
    <ns0:x v="8"/>
    <ns0:x v="10"/>
    <ns0:x v="8"/>
    <ns0:x v="246"/>
    <ns0:x v="4"/>
    <ns0:x v="14"/>
    <ns0:x v="13"/>
    <ns0:x v="5"/>
    <ns0:x v="0"/>
    <ns0:x v="5"/>
    <ns0:x v="497"/>
    <ns0:x v="0"/>
  </ns0:r>
  <ns0:r>
    <ns0:x v="34"/>
    <ns0:x v="12"/>
    <ns0:x v="468"/>
    <ns0:x v="477"/>
    <ns0:x v="481"/>
    <ns0:x v="482"/>
    <ns0:x v="19"/>
    <ns0:x v="454"/>
    <ns0:x v="459"/>
    <ns0:x v="5"/>
    <ns0:x v="0"/>
    <ns0:x v="5"/>
    <ns0:x v="498"/>
    <ns0:x v="0"/>
  </ns0:r>
  <ns0:r>
    <ns0:x v="34"/>
    <ns0:x v="13"/>
    <ns0:x v="437"/>
    <ns0:x v="442"/>
    <ns0:x v="448"/>
    <ns0:x v="493"/>
    <ns0:x v="22"/>
    <ns0:x v="421"/>
    <ns0:x v="423"/>
    <ns0:x v="5"/>
    <ns0:x v="0"/>
    <ns0:x v="5"/>
    <ns0:x v="499"/>
    <ns0:x v="0"/>
  </ns0:r>
  <ns0:r>
    <ns0:x v="34"/>
    <ns0:x v="14"/>
    <ns0:x v="46"/>
    <ns0:x v="59"/>
    <ns0:x v="48"/>
    <ns0:x v="155"/>
    <ns0:x v="3"/>
    <ns0:x v="61"/>
    <ns0:x v="61"/>
    <ns0:x v="5"/>
    <ns0:x v="0"/>
    <ns0:x v="5"/>
    <ns0:x v="500"/>
    <ns0:x v="0"/>
  </ns0:r>
  <ns0:r>
    <ns0:x v="34"/>
    <ns0:x v="15"/>
    <ns0:x v="4"/>
    <ns0:x v="0"/>
    <ns0:x v="2"/>
    <ns0:x v="144"/>
    <ns0:x v="2"/>
    <ns0:x v="4"/>
    <ns0:x v="4"/>
    <ns0:x v="5"/>
    <ns0:x v="0"/>
    <ns0:x v="5"/>
    <ns0:x v="501"/>
    <ns0:x v="0"/>
  </ns0:r>
  <ns0:r>
    <ns0:x v="34"/>
    <ns0:x v="16"/>
    <ns0:x v="26"/>
    <ns0:x v="29"/>
    <ns0:x v="26"/>
    <ns0:x v="48"/>
    <ns0:x v="1"/>
    <ns0:x v="25"/>
    <ns0:x v="24"/>
    <ns0:x v="5"/>
    <ns0:x v="0"/>
    <ns0:x v="5"/>
    <ns0:x v="502"/>
    <ns0:x v="0"/>
  </ns0:r>
  <ns0:r>
    <ns0:x v="34"/>
    <ns0:x v="17"/>
    <ns0:x v="1"/>
    <ns0:x v="2"/>
    <ns0:x v="1"/>
    <ns0:x v="7"/>
    <ns0:x v="0"/>
    <ns0:x v="0"/>
    <ns0:x v="0"/>
    <ns0:x v="5"/>
    <ns0:x v="0"/>
    <ns0:x v="5"/>
    <ns0:x v="503"/>
    <ns0:x v="0"/>
  </ns0:r>
</ns0:pivotCacheRecords>
</file>

<file path=xl/pivotTables/_rels/pivotTable1.xml.rels><?xml version='1.0' encoding='UTF-8' standalone='yes'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WeeklyTerritories" cacheId="1" dataCaption="Показатели" rowGrandTotals="1" colGrandTotals="0" compact="0" compactData="0" gridDropZones="1" multipleFieldFilters="0" updatedVersion="6" minRefreshableVersion="3" createdVersion="6">
  <ns0:location ref="A5:H98" firstHeaderRow="0" firstDataRow="1" firstDataCol="2"/>
  <ns0:pivotFields count="14">
    <ns0:pivotField showAll="0"/>
    <ns0:pivotField axis="axisRow" showAll="0" defaultSubtotal="0" compact="0" outline="0" numFmtId="0">
      <ns0:items count="18">
        <ns0:item x="0"/>
        <ns0:item x="1"/>
        <ns0:item x="2"/>
        <ns0:item x="3"/>
        <ns0:item x="4"/>
        <ns0:item x="5"/>
        <ns0:item x="6"/>
        <ns0:item x="7"/>
        <ns0:item x="8"/>
        <ns0:item x="9"/>
        <ns0:item x="10"/>
        <ns0:item x="11"/>
        <ns0:item x="12"/>
        <ns0:item x="13"/>
        <ns0:item x="14"/>
        <ns0:item x="15"/>
        <ns0:item x="16"/>
        <ns0:item x="17"/>
      </ns0:items>
    </ns0:pivotField>
    <ns0:pivotField showAll="0"/>
    <ns0:pivotField dataField="1"/>
    <ns0:pivotField dataField="1"/>
    <ns0:pivotField dataField="1"/>
    <ns0:pivotField dataField="1"/>
    <ns0:pivotField dataField="1"/>
    <ns0:pivotField dataField="1"/>
    <ns0:pivotField axis="axisRow" showAll="0" defaultSubtotal="0" compact="0" outline="0" numFmtId="14">
      <ns0:items count="6">
        <ns0:item x="0"/>
        <ns0:item x="1"/>
        <ns0:item x="2"/>
        <ns0:item x="3"/>
        <ns0:item x="4"/>
        <ns0:item x="5"/>
      </ns0:items>
    </ns0:pivotField>
    <ns0:pivotField showAll="0"/>
    <ns0:pivotField showAll="0"/>
    <ns0:pivotField showAll="0"/>
    <ns0:pivotField showAll="0"/>
  </ns0:pivotFields>
  <ns0:rowFields count="2">
    <ns0:field x="9"/>
    <ns0:field x="1"/>
  </ns0:rowFields>
  <ns0:rowItems count="93">
    <ns0:i>
      <ns0:x v="0"/>
      <ns0:x v="0"/>
    </ns0:i>
    <ns0:i>
      <ns0:x v="0"/>
      <ns0:x v="1"/>
    </ns0:i>
    <ns0:i>
      <ns0:x v="0"/>
      <ns0:x v="2"/>
    </ns0:i>
    <ns0:i>
      <ns0:x v="0"/>
      <ns0:x v="3"/>
    </ns0:i>
    <ns0:i>
      <ns0:x v="0"/>
      <ns0:x v="4"/>
    </ns0:i>
    <ns0:i>
      <ns0:x v="0"/>
      <ns0:x v="5"/>
    </ns0:i>
    <ns0:i>
      <ns0:x v="0"/>
      <ns0:x v="6"/>
    </ns0:i>
    <ns0:i>
      <ns0:x v="0"/>
      <ns0:x v="7"/>
    </ns0:i>
    <ns0:i>
      <ns0:x v="0"/>
      <ns0:x v="8"/>
    </ns0:i>
    <ns0:i>
      <ns0:x v="0"/>
      <ns0:x v="9"/>
    </ns0:i>
    <ns0:i>
      <ns0:x v="0"/>
      <ns0:x v="10"/>
    </ns0:i>
    <ns0:i>
      <ns0:x v="0"/>
      <ns0:x v="12"/>
    </ns0:i>
    <ns0:i>
      <ns0:x v="0"/>
      <ns0:x v="13"/>
    </ns0:i>
    <ns0:i>
      <ns0:x v="0"/>
      <ns0:x v="14"/>
    </ns0:i>
    <ns0:i>
      <ns0:x v="1"/>
      <ns0:x v="0"/>
    </ns0:i>
    <ns0:i>
      <ns0:x v="1"/>
      <ns0:x v="1"/>
    </ns0:i>
    <ns0:i>
      <ns0:x v="1"/>
      <ns0:x v="2"/>
    </ns0:i>
    <ns0:i>
      <ns0:x v="1"/>
      <ns0:x v="3"/>
    </ns0:i>
    <ns0:i>
      <ns0:x v="1"/>
      <ns0:x v="4"/>
    </ns0:i>
    <ns0:i>
      <ns0:x v="1"/>
      <ns0:x v="5"/>
    </ns0:i>
    <ns0:i>
      <ns0:x v="1"/>
      <ns0:x v="6"/>
    </ns0:i>
    <ns0:i>
      <ns0:x v="1"/>
      <ns0:x v="7"/>
    </ns0:i>
    <ns0:i>
      <ns0:x v="1"/>
      <ns0:x v="8"/>
    </ns0:i>
    <ns0:i>
      <ns0:x v="1"/>
      <ns0:x v="9"/>
    </ns0:i>
    <ns0:i>
      <ns0:x v="1"/>
      <ns0:x v="10"/>
    </ns0:i>
    <ns0:i>
      <ns0:x v="1"/>
      <ns0:x v="12"/>
    </ns0:i>
    <ns0:i>
      <ns0:x v="1"/>
      <ns0:x v="13"/>
    </ns0:i>
    <ns0:i>
      <ns0:x v="1"/>
      <ns0:x v="14"/>
    </ns0:i>
    <ns0:i>
      <ns0:x v="2"/>
      <ns0:x v="0"/>
    </ns0:i>
    <ns0:i>
      <ns0:x v="2"/>
      <ns0:x v="1"/>
    </ns0:i>
    <ns0:i>
      <ns0:x v="2"/>
      <ns0:x v="2"/>
    </ns0:i>
    <ns0:i>
      <ns0:x v="2"/>
      <ns0:x v="3"/>
    </ns0:i>
    <ns0:i>
      <ns0:x v="2"/>
      <ns0:x v="4"/>
    </ns0:i>
    <ns0:i>
      <ns0:x v="2"/>
      <ns0:x v="5"/>
    </ns0:i>
    <ns0:i>
      <ns0:x v="2"/>
      <ns0:x v="6"/>
    </ns0:i>
    <ns0:i>
      <ns0:x v="2"/>
      <ns0:x v="7"/>
    </ns0:i>
    <ns0:i>
      <ns0:x v="2"/>
      <ns0:x v="8"/>
    </ns0:i>
    <ns0:i>
      <ns0:x v="2"/>
      <ns0:x v="9"/>
    </ns0:i>
    <ns0:i>
      <ns0:x v="2"/>
      <ns0:x v="10"/>
    </ns0:i>
    <ns0:i>
      <ns0:x v="2"/>
      <ns0:x v="12"/>
    </ns0:i>
    <ns0:i>
      <ns0:x v="2"/>
      <ns0:x v="13"/>
    </ns0:i>
    <ns0:i>
      <ns0:x v="2"/>
      <ns0:x v="14"/>
    </ns0:i>
    <ns0:i>
      <ns0:x v="3"/>
      <ns0:x v="0"/>
    </ns0:i>
    <ns0:i>
      <ns0:x v="3"/>
      <ns0:x v="1"/>
    </ns0:i>
    <ns0:i>
      <ns0:x v="3"/>
      <ns0:x v="2"/>
    </ns0:i>
    <ns0:i>
      <ns0:x v="3"/>
      <ns0:x v="3"/>
    </ns0:i>
    <ns0:i>
      <ns0:x v="3"/>
      <ns0:x v="4"/>
    </ns0:i>
    <ns0:i>
      <ns0:x v="3"/>
      <ns0:x v="5"/>
    </ns0:i>
    <ns0:i>
      <ns0:x v="3"/>
      <ns0:x v="6"/>
    </ns0:i>
    <ns0:i>
      <ns0:x v="3"/>
      <ns0:x v="7"/>
    </ns0:i>
    <ns0:i>
      <ns0:x v="3"/>
      <ns0:x v="8"/>
    </ns0:i>
    <ns0:i>
      <ns0:x v="3"/>
      <ns0:x v="9"/>
    </ns0:i>
    <ns0:i>
      <ns0:x v="3"/>
      <ns0:x v="10"/>
    </ns0:i>
    <ns0:i>
      <ns0:x v="3"/>
      <ns0:x v="12"/>
    </ns0:i>
    <ns0:i>
      <ns0:x v="3"/>
      <ns0:x v="13"/>
    </ns0:i>
    <ns0:i>
      <ns0:x v="3"/>
      <ns0:x v="14"/>
    </ns0:i>
    <ns0:i>
      <ns0:x v="4"/>
      <ns0:x v="0"/>
    </ns0:i>
    <ns0:i>
      <ns0:x v="4"/>
      <ns0:x v="1"/>
    </ns0:i>
    <ns0:i>
      <ns0:x v="4"/>
      <ns0:x v="2"/>
    </ns0:i>
    <ns0:i>
      <ns0:x v="4"/>
      <ns0:x v="3"/>
    </ns0:i>
    <ns0:i>
      <ns0:x v="4"/>
      <ns0:x v="4"/>
    </ns0:i>
    <ns0:i>
      <ns0:x v="4"/>
      <ns0:x v="5"/>
    </ns0:i>
    <ns0:i>
      <ns0:x v="4"/>
      <ns0:x v="6"/>
    </ns0:i>
    <ns0:i>
      <ns0:x v="4"/>
      <ns0:x v="7"/>
    </ns0:i>
    <ns0:i>
      <ns0:x v="4"/>
      <ns0:x v="8"/>
    </ns0:i>
    <ns0:i>
      <ns0:x v="4"/>
      <ns0:x v="9"/>
    </ns0:i>
    <ns0:i>
      <ns0:x v="4"/>
      <ns0:x v="10"/>
    </ns0:i>
    <ns0:i>
      <ns0:x v="4"/>
      <ns0:x v="11"/>
    </ns0:i>
    <ns0:i>
      <ns0:x v="4"/>
      <ns0:x v="12"/>
    </ns0:i>
    <ns0:i>
      <ns0:x v="4"/>
      <ns0:x v="13"/>
    </ns0:i>
    <ns0:i>
      <ns0:x v="4"/>
      <ns0:x v="14"/>
    </ns0:i>
    <ns0:i>
      <ns0:x v="4"/>
      <ns0:x v="15"/>
    </ns0:i>
    <ns0:i>
      <ns0:x v="4"/>
      <ns0:x v="16"/>
    </ns0:i>
    <ns0:i>
      <ns0:x v="4"/>
      <ns0:x v="17"/>
    </ns0:i>
    <ns0:i>
      <ns0:x v="5"/>
      <ns0:x v="0"/>
    </ns0:i>
    <ns0:i>
      <ns0:x v="5"/>
      <ns0:x v="1"/>
    </ns0:i>
    <ns0:i>
      <ns0:x v="5"/>
      <ns0:x v="2"/>
    </ns0:i>
    <ns0:i>
      <ns0:x v="5"/>
      <ns0:x v="3"/>
    </ns0:i>
    <ns0:i>
      <ns0:x v="5"/>
      <ns0:x v="4"/>
    </ns0:i>
    <ns0:i>
      <ns0:x v="5"/>
      <ns0:x v="5"/>
    </ns0:i>
    <ns0:i>
      <ns0:x v="5"/>
      <ns0:x v="6"/>
    </ns0:i>
    <ns0:i>
      <ns0:x v="5"/>
      <ns0:x v="7"/>
    </ns0:i>
    <ns0:i>
      <ns0:x v="5"/>
      <ns0:x v="8"/>
    </ns0:i>
    <ns0:i>
      <ns0:x v="5"/>
      <ns0:x v="9"/>
    </ns0:i>
    <ns0:i>
      <ns0:x v="5"/>
      <ns0:x v="10"/>
    </ns0:i>
    <ns0:i>
      <ns0:x v="5"/>
      <ns0:x v="11"/>
    </ns0:i>
    <ns0:i>
      <ns0:x v="5"/>
      <ns0:x v="12"/>
    </ns0:i>
    <ns0:i>
      <ns0:x v="5"/>
      <ns0:x v="13"/>
    </ns0:i>
    <ns0:i>
      <ns0:x v="5"/>
      <ns0:x v="14"/>
    </ns0:i>
    <ns0:i>
      <ns0:x v="5"/>
      <ns0:x v="15"/>
    </ns0:i>
    <ns0:i>
      <ns0:x v="5"/>
      <ns0:x v="16"/>
    </ns0:i>
    <ns0:i>
      <ns0:x v="5"/>
      <ns0:x v="17"/>
    </ns0:i>
    <ns0:i t="grand">
      <ns0:x/>
    </ns0:i>
  </ns0:rowItems>
  <ns0:colFields count="1">
    <ns0:field x="-2"/>
  </ns0:colFields>
  <ns0:colItems count="6">
    <ns0:i i="0">
      <ns0:x/>
    </ns0:i>
    <ns0:i i="1">
      <ns0:x/>
    </ns0:i>
    <ns0:i i="2">
      <ns0:x/>
    </ns0:i>
    <ns0:i i="3">
      <ns0:x/>
    </ns0:i>
    <ns0:i i="4">
      <ns0:x/>
    </ns0:i>
    <ns0:i i="5">
      <ns0:x/>
    </ns0:i>
  </ns0:colItems>
  <ns0:dataFields count="6">
    <ns0:dataField name="Оборот руб" fld="3" subtotal="sum" baseField="0" baseItem="0" numFmtId="4"/>
    <ns0:dataField name="Себестоимость руб" fld="4" subtotal="sum" baseField="0" baseItem="0" numFmtId="4"/>
    <ns0:dataField name="Потери руб" fld="5" subtotal="sum" baseField="0" baseItem="0" numFmtId="4"/>
    <ns0:dataField name="Складо дни" fld="6" subtotal="sum" baseField="0" baseItem="0" numFmtId="4"/>
    <ns0:dataField name="Заказы" fld="7" subtotal="sum" baseField="0" baseItem="0" numFmtId="4"/>
    <ns0:dataField name="Клиенто дни" fld="8" subtotal="sum" baseField="0" baseItem="0" numFmtId="4"/>
  </ns0:dataFields>
  <ns0:pivotTableStyleInfo name="PivotStyleLight16" showRowHeaders="1" showColHeaders="1" showRowStripes="1" showColStripes="0" showLastColumn="1"/>
</ns0:pivotTableDefinition>
</file>

<file path=xl/tables/table1.xml><?xml version="1.0" encoding="utf-8"?>
<x:table xmlns:x="http://schemas.openxmlformats.org/spreadsheetml/2006/main" id="1" name="JoinedData" displayName="JoinedData" ref="A1:N505" headerRowCount="1" totalsRowCount="0" totalsRowShown="0">
  <x:tableColumns count="14">
    <x:tableColumn id="1" name="Дата"/>
    <x:tableColumn id="2" name="Территория"/>
    <x:tableColumn id="3" name="Товарооборот шт"/>
    <x:tableColumn id="4" name="Товарооборот руб"/>
    <x:tableColumn id="5" name="Себестоимость руб"/>
    <x:tableColumn id="6" name="Потери руб"/>
    <x:tableColumn id="7" name="Склады за день"/>
    <x:tableColumn id="8" name="Заказы за день"/>
    <x:tableColumn id="9" name="Клиенты за день"/>
    <x:tableColumn id="10" name="Понедельник ISO"/>
    <x:tableColumn id="11" name="Год ISO"/>
    <x:tableColumn id="12" name="Неделя ISO"/>
    <x:tableColumn id="13" name="Ключ"/>
    <x:tableColumn id="14" name="Совпадений ключ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b47bcc03e7b40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c8ad6e89ea4c4b1a" /></Relationships>
</file>

<file path=xl/worksheets/_rels/sheet9.xml.rels><?xml version='1.0' encoding='UTF-8' standalone='yes'?>
<Relationships xmlns="http://schemas.openxmlformats.org/package/2006/relationships"><Relationship Id="rIdPivot" Type="http://schemas.openxmlformats.org/officeDocument/2006/relationships/pivotTable" Target="../pivotTables/pivotTable1.xml"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  <x:col min="6" max="6" width="24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7" t="str">
        <x:v>Самокат 1 А — результаты анализа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 t="str">
        <x:v>Последняя полная неделя</x:v>
      </x:c>
      <x:c r="B4" s="1"/>
      <x:c r="C4" s="1"/>
      <x:c r="D4" s="9" t="str">
        <x:v>Доходность = (оборот − себестоимость − потери) / оборот. Это доходность после товарных потерь, без операционных затрат.</x:v>
      </x:c>
      <x:c r="E4" s="9"/>
      <x:c r="F4" s="9"/>
      <x:c r="G4" s="9"/>
      <x:c r="H4" s="9"/>
      <x:c r="I4" s="9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 t="str">
        <x:v>Начало недели</x:v>
      </x:c>
      <x:c r="B5" s="5" t="n">
        <x:f>MAX('Данные'!A2:A505)-WEEKDAY(MAX('Данные'!A2:A505),2)-6</x:f>
        <x:v>43976</x:v>
      </x:c>
      <x:c r="C5" s="1"/>
      <x:c r="D5" s="9"/>
      <x:c r="E5" s="9"/>
      <x:c r="F5" s="9"/>
      <x:c r="G5" s="9"/>
      <x:c r="H5" s="9"/>
      <x:c r="I5" s="9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 t="str">
        <x:v>Конец недели</x:v>
      </x:c>
      <x:c r="B6" s="5" t="n">
        <x:f>B5+6</x:f>
        <x:v>43982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 t="str">
        <x:v>Оборот компании руб</x:v>
      </x:c>
      <x:c r="B7" s="6" t="n">
        <x:f>SUMIFS('Данные'!D2:D505,'Данные'!J2:J505,B5)</x:f>
        <x:v>1055653508.75385</x:v>
      </x:c>
      <x:c r="C7" s="1"/>
      <x:c r="D7" s="9" t="str">
        <x:v>Склады — среднее за 7 календарных дней. Пропуски территорий не приравниваются к нулевым продажам. Сумма клиентов за дни не является уникальными клиентами недели.</x:v>
      </x:c>
      <x:c r="E7" s="9"/>
      <x:c r="F7" s="9"/>
      <x:c r="G7" s="9"/>
      <x:c r="H7" s="9"/>
      <x:c r="I7" s="9"/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1" t="str">
        <x:v>Доходность после потерь</x:v>
      </x:c>
      <x:c r="B8" s="8" t="n">
        <x:f>(B7-SUMIFS('Данные'!E2:E505,'Данные'!J2:J505,B5)-SUMIFS('Данные'!F2:F505,'Данные'!J2:J505,B5))/B7</x:f>
        <x:v>0.22291108530134734</x:v>
      </x:c>
      <x:c r="C8" s="1"/>
      <x:c r="D8" s="9"/>
      <x:c r="E8" s="9"/>
      <x:c r="F8" s="9"/>
      <x:c r="G8" s="9"/>
      <x:c r="H8" s="9"/>
      <x:c r="I8" s="9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2" customHeight="1">
      <x:c r="A11" s="4" t="str">
        <x:v>Территория</x:v>
      </x:c>
      <x:c r="B11" s="4" t="str">
        <x:v>Оборот руб</x:v>
      </x:c>
      <x:c r="C11" s="4" t="str">
        <x:v>Доля оборота</x:v>
      </x:c>
      <x:c r="D11" s="4" t="str">
        <x:v>Складо дни</x:v>
      </x:c>
      <x:c r="E11" s="4" t="str">
        <x:v>Склады в среднем</x:v>
      </x:c>
      <x:c r="F11" s="4" t="str">
        <x:v>Оборот на склад руб</x:v>
      </x:c>
      <x:c r="G11" s="4" t="str">
        <x:v>Наценка</x:v>
      </x:c>
      <x:c r="H11" s="4" t="str">
        <x:v>Доходность</x:v>
      </x:c>
      <x:c r="I11" s="4" t="str">
        <x:v>Ранг доли</x:v>
      </x:c>
      <x:c r="J11" s="4" t="str">
        <x:v>Ранг на склад</x:v>
      </x:c>
      <x:c r="K11" s="1"/>
      <x:c r="L11" s="1"/>
      <x:c r="M11" s="1"/>
      <x:c r="N11" s="1"/>
      <x:c r="O11" s="1"/>
      <x:c r="P11" s="1"/>
      <x:c r="Q11" s="1"/>
    </x:row>
    <x:row r="12" ht="21" customHeight="1">
      <x:c r="A12" s="1" t="str">
        <x:v>Волгоград</x:v>
      </x:c>
      <x:c r="B12" s="6" t="n">
        <x:f>SUMIFS('Данные'!$D$2:$D$505,'Данные'!$J$2:$J$505,$B$5,'Данные'!$B$2:$B$505,A12)</x:f>
        <x:v>46485094.5</x:v>
      </x:c>
      <x:c r="C12" s="8" t="n">
        <x:f>B12/$B$7</x:f>
        <x:v>0.04403442428271138</x:v>
      </x:c>
      <x:c r="D12" s="1" t="n">
        <x:f>SUMIFS('Данные'!$G$2:$G$505,'Данные'!$J$2:$J$505,$B$5,'Данные'!$B$2:$B$505,A12)</x:f>
        <x:v>256</x:v>
      </x:c>
      <x:c r="E12" s="10" t="n">
        <x:f>D12/7</x:f>
        <x:v>36.57142857142857</x:v>
      </x:c>
      <x:c r="F12" s="6" t="n">
        <x:f>IF(E12=0,NA(),B12/E12)</x:f>
        <x:v>1271076.802734375</x:v>
      </x:c>
      <x:c r="G12" s="8" t="n">
        <x:f>IF(SUMIFS('Данные'!$E$2:$E$505,'Данные'!$J$2:$J$505,$B$5,'Данные'!$B$2:$B$505,A12)=0,NA(),B12/SUMIFS('Данные'!$E$2:$E$505,'Данные'!$J$2:$J$505,$B$5,'Данные'!$B$2:$B$505,A12)-1)</x:f>
        <x:v>0.27099533961369104</x:v>
      </x:c>
      <x:c r="H12" s="8" t="n">
        <x:f>IF(B12=0,NA(),(B12-SUMIFS('Данные'!$E$2:$E$505,'Данные'!$J$2:$J$505,$B$5,'Данные'!$B$2:$B$505,A12)-SUMIFS('Данные'!$F$2:$F$505,'Данные'!$J$2:$J$505,$B$5,'Данные'!$B$2:$B$505,A12))/B12)</x:f>
        <x:v>0.18706503600036958</x:v>
      </x:c>
      <x:c r="I12" s="1" t="n">
        <x:f>RANK(C12,$C$12:$C$29,0)+COUNTIFS($C$12:C12,C12)-1</x:f>
        <x:v>6</x:v>
      </x:c>
      <x:c r="J12" s="1" t="n">
        <x:f>RANK(F12,$F$12:$F$29,0)+COUNTIFS($F$12:F12,F12)-1</x:f>
        <x:v>6</x:v>
      </x:c>
      <x:c r="K12" s="1"/>
      <x:c r="L12" s="1"/>
      <x:c r="M12" s="1"/>
      <x:c r="N12" s="1"/>
      <x:c r="O12" s="1"/>
      <x:c r="P12" s="1"/>
      <x:c r="Q12" s="1"/>
    </x:row>
    <x:row r="13" ht="21" customHeight="1">
      <x:c r="A13" s="1" t="str">
        <x:v>Екатеринбург</x:v>
      </x:c>
      <x:c r="B13" s="6" t="n">
        <x:f>SUMIFS('Данные'!$D$2:$D$505,'Данные'!$J$2:$J$505,$B$5,'Данные'!$B$2:$B$505,A13)</x:f>
        <x:v>50729185.5</x:v>
      </x:c>
      <x:c r="C13" s="8" t="n">
        <x:f>B13/$B$7</x:f>
        <x:v>0.048054768993174145</x:v>
      </x:c>
      <x:c r="D13" s="1" t="n">
        <x:f>SUMIFS('Данные'!$G$2:$G$505,'Данные'!$J$2:$J$505,$B$5,'Данные'!$B$2:$B$505,A13)</x:f>
        <x:v>217</x:v>
      </x:c>
      <x:c r="E13" s="10" t="n">
        <x:f>D13/7</x:f>
        <x:v>31</x:v>
      </x:c>
      <x:c r="F13" s="6" t="n">
        <x:f>IF(E13=0,NA(),B13/E13)</x:f>
        <x:v>1636425.3387096773</x:v>
      </x:c>
      <x:c r="G13" s="8" t="n">
        <x:f>IF(SUMIFS('Данные'!$E$2:$E$505,'Данные'!$J$2:$J$505,$B$5,'Данные'!$B$2:$B$505,A13)=0,NA(),B13/SUMIFS('Данные'!$E$2:$E$505,'Данные'!$J$2:$J$505,$B$5,'Данные'!$B$2:$B$505,A13)-1)</x:f>
        <x:v>0.28640967477403523</x:v>
      </x:c>
      <x:c r="H13" s="8" t="n">
        <x:f>IF(B13=0,NA(),(B13-SUMIFS('Данные'!$E$2:$E$505,'Данные'!$J$2:$J$505,$B$5,'Данные'!$B$2:$B$505,A13)-SUMIFS('Данные'!$F$2:$F$505,'Данные'!$J$2:$J$505,$B$5,'Данные'!$B$2:$B$505,A13))/B13)</x:f>
        <x:v>0.20670803687235367</x:v>
      </x:c>
      <x:c r="I13" s="1" t="n">
        <x:f>RANK(C13,$C$12:$C$29,0)+COUNTIFS($C$12:C13,C13)-1</x:f>
        <x:v>5</x:v>
      </x:c>
      <x:c r="J13" s="1" t="n">
        <x:f>RANK(F13,$F$12:$F$29,0)+COUNTIFS($F$12:F13,F13)-1</x:f>
        <x:v>5</x:v>
      </x:c>
      <x:c r="K13" s="1"/>
      <x:c r="L13" s="1"/>
      <x:c r="M13" s="1"/>
      <x:c r="N13" s="1"/>
      <x:c r="O13" s="1"/>
      <x:c r="P13" s="1"/>
      <x:c r="Q13" s="1"/>
    </x:row>
    <x:row r="14" ht="21" customHeight="1">
      <x:c r="A14" s="1" t="str">
        <x:v>Казань</x:v>
      </x:c>
      <x:c r="B14" s="6" t="n">
        <x:f>SUMIFS('Данные'!$D$2:$D$505,'Данные'!$J$2:$J$505,$B$5,'Данные'!$B$2:$B$505,A14)</x:f>
        <x:v>27495690</x:v>
      </x:c>
      <x:c r="C14" s="8" t="n">
        <x:f>B14/$B$7</x:f>
        <x:v>0.02604613139822496</x:v>
      </x:c>
      <x:c r="D14" s="1" t="n">
        <x:f>SUMIFS('Данные'!$G$2:$G$505,'Данные'!$J$2:$J$505,$B$5,'Данные'!$B$2:$B$505,A14)</x:f>
        <x:v>152</x:v>
      </x:c>
      <x:c r="E14" s="10" t="n">
        <x:f>D14/7</x:f>
        <x:v>21.714285714285715</x:v>
      </x:c>
      <x:c r="F14" s="6" t="n">
        <x:f>IF(E14=0,NA(),B14/E14)</x:f>
        <x:v>1266248.8815789474</x:v>
      </x:c>
      <x:c r="G14" s="8" t="n">
        <x:f>IF(SUMIFS('Данные'!$E$2:$E$505,'Данные'!$J$2:$J$505,$B$5,'Данные'!$B$2:$B$505,A14)=0,NA(),B14/SUMIFS('Данные'!$E$2:$E$505,'Данные'!$J$2:$J$505,$B$5,'Данные'!$B$2:$B$505,A14)-1)</x:f>
        <x:v>0.28865647110830617</x:v>
      </x:c>
      <x:c r="H14" s="8" t="n">
        <x:f>IF(B14=0,NA(),(B14-SUMIFS('Данные'!$E$2:$E$505,'Данные'!$J$2:$J$505,$B$5,'Данные'!$B$2:$B$505,A14)-SUMIFS('Данные'!$F$2:$F$505,'Данные'!$J$2:$J$505,$B$5,'Данные'!$B$2:$B$505,A14))/B14)</x:f>
        <x:v>0.1798480574709374</x:v>
      </x:c>
      <x:c r="I14" s="1" t="n">
        <x:f>RANK(C14,$C$12:$C$29,0)+COUNTIFS($C$12:C14,C14)-1</x:f>
        <x:v>7</x:v>
      </x:c>
      <x:c r="J14" s="1" t="n">
        <x:f>RANK(F14,$F$12:$F$29,0)+COUNTIFS($F$12:F14,F14)-1</x:f>
        <x:v>7</x:v>
      </x:c>
      <x:c r="K14" s="1"/>
      <x:c r="L14" s="1"/>
      <x:c r="M14" s="1"/>
      <x:c r="N14" s="1"/>
      <x:c r="O14" s="1"/>
      <x:c r="P14" s="1"/>
      <x:c r="Q14" s="1"/>
    </x:row>
    <x:row r="15" ht="21" customHeight="1">
      <x:c r="A15" s="1" t="str">
        <x:v>Кемерово</x:v>
      </x:c>
      <x:c r="B15" s="6" t="n">
        <x:f>SUMIFS('Данные'!$D$2:$D$505,'Данные'!$J$2:$J$505,$B$5,'Данные'!$B$2:$B$505,A15)</x:f>
        <x:v>22579281</x:v>
      </x:c>
      <x:c r="C15" s="8" t="n">
        <x:f>B15/$B$7</x:f>
        <x:v>0.021388912946117892</x:v>
      </x:c>
      <x:c r="D15" s="1" t="n">
        <x:f>SUMIFS('Данные'!$G$2:$G$505,'Данные'!$J$2:$J$505,$B$5,'Данные'!$B$2:$B$505,A15)</x:f>
        <x:v>141</x:v>
      </x:c>
      <x:c r="E15" s="10" t="n">
        <x:f>D15/7</x:f>
        <x:v>20.142857142857142</x:v>
      </x:c>
      <x:c r="F15" s="6" t="n">
        <x:f>IF(E15=0,NA(),B15/E15)</x:f>
        <x:v>1120957.2127659575</x:v>
      </x:c>
      <x:c r="G15" s="8" t="n">
        <x:f>IF(SUMIFS('Данные'!$E$2:$E$505,'Данные'!$J$2:$J$505,$B$5,'Данные'!$B$2:$B$505,A15)=0,NA(),B15/SUMIFS('Данные'!$E$2:$E$505,'Данные'!$J$2:$J$505,$B$5,'Данные'!$B$2:$B$505,A15)-1)</x:f>
        <x:v>0.2529227274560333</x:v>
      </x:c>
      <x:c r="H15" s="8" t="n">
        <x:f>IF(B15=0,NA(),(B15-SUMIFS('Данные'!$E$2:$E$505,'Данные'!$J$2:$J$505,$B$5,'Данные'!$B$2:$B$505,A15)-SUMIFS('Данные'!$F$2:$F$505,'Данные'!$J$2:$J$505,$B$5,'Данные'!$B$2:$B$505,A15))/B15)</x:f>
        <x:v>0.1196051933451734</x:v>
      </x:c>
      <x:c r="I15" s="1" t="n">
        <x:f>RANK(C15,$C$12:$C$29,0)+COUNTIFS($C$12:C15,C15)-1</x:f>
        <x:v>8</x:v>
      </x:c>
      <x:c r="J15" s="1" t="n">
        <x:f>RANK(F15,$F$12:$F$29,0)+COUNTIFS($F$12:F15,F15)-1</x:f>
        <x:v>8</x:v>
      </x:c>
      <x:c r="K15" s="1"/>
      <x:c r="L15" s="1"/>
      <x:c r="M15" s="1"/>
      <x:c r="N15" s="1"/>
      <x:c r="O15" s="1"/>
      <x:c r="P15" s="1"/>
      <x:c r="Q15" s="1"/>
    </x:row>
    <x:row r="16" ht="21" customHeight="1">
      <x:c r="A16" s="1" t="str">
        <x:v>Краснодар</x:v>
      </x:c>
      <x:c r="B16" s="6" t="n">
        <x:f>SUMIFS('Данные'!$D$2:$D$505,'Данные'!$J$2:$J$505,$B$5,'Данные'!$B$2:$B$505,A16)</x:f>
        <x:v>18595773</x:v>
      </x:c>
      <x:c r="C16" s="8" t="n">
        <x:f>B16/$B$7</x:f>
        <x:v>0.01761541343423511</x:v>
      </x:c>
      <x:c r="D16" s="1" t="n">
        <x:f>SUMIFS('Данные'!$G$2:$G$505,'Данные'!$J$2:$J$505,$B$5,'Данные'!$B$2:$B$505,A16)</x:f>
        <x:v>141</x:v>
      </x:c>
      <x:c r="E16" s="10" t="n">
        <x:f>D16/7</x:f>
        <x:v>20.142857142857142</x:v>
      </x:c>
      <x:c r="F16" s="6" t="n">
        <x:f>IF(E16=0,NA(),B16/E16)</x:f>
        <x:v>923194.4042553192</x:v>
      </x:c>
      <x:c r="G16" s="8" t="n">
        <x:f>IF(SUMIFS('Данные'!$E$2:$E$505,'Данные'!$J$2:$J$505,$B$5,'Данные'!$B$2:$B$505,A16)=0,NA(),B16/SUMIFS('Данные'!$E$2:$E$505,'Данные'!$J$2:$J$505,$B$5,'Данные'!$B$2:$B$505,A16)-1)</x:f>
        <x:v>0.2529163961754566</x:v>
      </x:c>
      <x:c r="H16" s="8" t="n">
        <x:f>IF(B16=0,NA(),(B16-SUMIFS('Данные'!$E$2:$E$505,'Данные'!$J$2:$J$505,$B$5,'Данные'!$B$2:$B$505,A16)-SUMIFS('Данные'!$F$2:$F$505,'Данные'!$J$2:$J$505,$B$5,'Данные'!$B$2:$B$505,A16))/B16)</x:f>
        <x:v>0.16545474682751407</x:v>
      </x:c>
      <x:c r="I16" s="1" t="n">
        <x:f>RANK(C16,$C$12:$C$29,0)+COUNTIFS($C$12:C16,C16)-1</x:f>
        <x:v>10</x:v>
      </x:c>
      <x:c r="J16" s="1" t="n">
        <x:f>RANK(F16,$F$12:$F$29,0)+COUNTIFS($F$12:F16,F16)-1</x:f>
        <x:v>10</x:v>
      </x:c>
      <x:c r="K16" s="1"/>
      <x:c r="L16" s="1"/>
      <x:c r="M16" s="1"/>
      <x:c r="N16" s="1"/>
      <x:c r="O16" s="1"/>
      <x:c r="P16" s="1"/>
      <x:c r="Q16" s="1"/>
    </x:row>
    <x:row r="17" ht="21" customHeight="1">
      <x:c r="A17" s="1" t="str">
        <x:v>Москва Восток</x:v>
      </x:c>
      <x:c r="B17" s="6" t="n">
        <x:f>SUMIFS('Данные'!$D$2:$D$505,'Данные'!$J$2:$J$505,$B$5,'Данные'!$B$2:$B$505,A17)</x:f>
        <x:v>151451013</x:v>
      </x:c>
      <x:c r="C17" s="8" t="n">
        <x:f>B17/$B$7</x:f>
        <x:v>0.14346659367312756</x:v>
      </x:c>
      <x:c r="D17" s="1" t="n">
        <x:f>SUMIFS('Данные'!$G$2:$G$505,'Данные'!$J$2:$J$505,$B$5,'Данные'!$B$2:$B$505,A17)</x:f>
        <x:v>378</x:v>
      </x:c>
      <x:c r="E17" s="10" t="n">
        <x:f>D17/7</x:f>
        <x:v>54</x:v>
      </x:c>
      <x:c r="F17" s="6" t="n">
        <x:f>IF(E17=0,NA(),B17/E17)</x:f>
        <x:v>2804648.388888889</x:v>
      </x:c>
      <x:c r="G17" s="8" t="n">
        <x:f>IF(SUMIFS('Данные'!$E$2:$E$505,'Данные'!$J$2:$J$505,$B$5,'Данные'!$B$2:$B$505,A17)=0,NA(),B17/SUMIFS('Данные'!$E$2:$E$505,'Данные'!$J$2:$J$505,$B$5,'Данные'!$B$2:$B$505,A17)-1)</x:f>
        <x:v>0.3437183810731741</x:v>
      </x:c>
      <x:c r="H17" s="8" t="n">
        <x:f>IF(B17=0,NA(),(B17-SUMIFS('Данные'!$E$2:$E$505,'Данные'!$J$2:$J$505,$B$5,'Данные'!$B$2:$B$505,A17)-SUMIFS('Данные'!$F$2:$F$505,'Данные'!$J$2:$J$505,$B$5,'Данные'!$B$2:$B$505,A17))/B17)</x:f>
        <x:v>0.24251645249248896</x:v>
      </x:c>
      <x:c r="I17" s="1" t="n">
        <x:f>RANK(C17,$C$12:$C$29,0)+COUNTIFS($C$12:C17,C17)-1</x:f>
        <x:v>4</x:v>
      </x:c>
      <x:c r="J17" s="1" t="n">
        <x:f>RANK(F17,$F$12:$F$29,0)+COUNTIFS($F$12:F17,F17)-1</x:f>
        <x:v>1</x:v>
      </x:c>
      <x:c r="K17" s="1"/>
      <x:c r="L17" s="1"/>
      <x:c r="M17" s="1"/>
      <x:c r="N17" s="1"/>
      <x:c r="O17" s="1"/>
      <x:c r="P17" s="1"/>
      <x:c r="Q17" s="1"/>
    </x:row>
    <x:row r="18" ht="21" customHeight="1">
      <x:c r="A18" s="1" t="str">
        <x:v>Москва Запад</x:v>
      </x:c>
      <x:c r="B18" s="6" t="n">
        <x:f>SUMIFS('Данные'!$D$2:$D$505,'Данные'!$J$2:$J$505,$B$5,'Данные'!$B$2:$B$505,A18)</x:f>
        <x:v>157857214.5</x:v>
      </x:c>
      <x:c r="C18" s="8" t="n">
        <x:f>B18/$B$7</x:f>
        <x:v>0.14953506353267668</x:v>
      </x:c>
      <x:c r="D18" s="1" t="n">
        <x:f>SUMIFS('Данные'!$G$2:$G$505,'Данные'!$J$2:$J$505,$B$5,'Данные'!$B$2:$B$505,A18)</x:f>
        <x:v>414</x:v>
      </x:c>
      <x:c r="E18" s="10" t="n">
        <x:f>D18/7</x:f>
        <x:v>59.142857142857146</x:v>
      </x:c>
      <x:c r="F18" s="6" t="n">
        <x:f>IF(E18=0,NA(),B18/E18)</x:f>
        <x:v>2669083.3369565215</x:v>
      </x:c>
      <x:c r="G18" s="8" t="n">
        <x:f>IF(SUMIFS('Данные'!$E$2:$E$505,'Данные'!$J$2:$J$505,$B$5,'Данные'!$B$2:$B$505,A18)=0,NA(),B18/SUMIFS('Данные'!$E$2:$E$505,'Данные'!$J$2:$J$505,$B$5,'Данные'!$B$2:$B$505,A18)-1)</x:f>
        <x:v>0.34883376730693016</x:v>
      </x:c>
      <x:c r="H18" s="8" t="n">
        <x:f>IF(B18=0,NA(),(B18-SUMIFS('Данные'!$E$2:$E$505,'Данные'!$J$2:$J$505,$B$5,'Данные'!$B$2:$B$505,A18)-SUMIFS('Данные'!$F$2:$F$505,'Данные'!$J$2:$J$505,$B$5,'Данные'!$B$2:$B$505,A18))/B18)</x:f>
        <x:v>0.24639818173978806</x:v>
      </x:c>
      <x:c r="I18" s="1" t="n">
        <x:f>RANK(C18,$C$12:$C$29,0)+COUNTIFS($C$12:C18,C18)-1</x:f>
        <x:v>3</x:v>
      </x:c>
      <x:c r="J18" s="1" t="n">
        <x:f>RANK(F18,$F$12:$F$29,0)+COUNTIFS($F$12:F18,F18)-1</x:f>
        <x:v>2</x:v>
      </x:c>
      <x:c r="K18" s="1"/>
      <x:c r="L18" s="1"/>
      <x:c r="M18" s="1"/>
      <x:c r="N18" s="1"/>
      <x:c r="O18" s="1"/>
      <x:c r="P18" s="1"/>
      <x:c r="Q18" s="1"/>
    </x:row>
    <x:row r="19" ht="21" customHeight="1">
      <x:c r="A19" s="1" t="str">
        <x:v>Нижний Новгород</x:v>
      </x:c>
      <x:c r="B19" s="6" t="n">
        <x:f>SUMIFS('Данные'!$D$2:$D$505,'Данные'!$J$2:$J$505,$B$5,'Данные'!$B$2:$B$505,A19)</x:f>
        <x:v>21605704.5</x:v>
      </x:c>
      <x:c r="C19" s="8" t="n">
        <x:f>B19/$B$7</x:f>
        <x:v>0.020466662897283914</x:v>
      </x:c>
      <x:c r="D19" s="1" t="n">
        <x:f>SUMIFS('Данные'!$G$2:$G$505,'Данные'!$J$2:$J$505,$B$5,'Данные'!$B$2:$B$505,A19)</x:f>
        <x:v>140</x:v>
      </x:c>
      <x:c r="E19" s="10" t="n">
        <x:f>D19/7</x:f>
        <x:v>20</x:v>
      </x:c>
      <x:c r="F19" s="6" t="n">
        <x:f>IF(E19=0,NA(),B19/E19)</x:f>
        <x:v>1080285.225</x:v>
      </x:c>
      <x:c r="G19" s="8" t="n">
        <x:f>IF(SUMIFS('Данные'!$E$2:$E$505,'Данные'!$J$2:$J$505,$B$5,'Данные'!$B$2:$B$505,A19)=0,NA(),B19/SUMIFS('Данные'!$E$2:$E$505,'Данные'!$J$2:$J$505,$B$5,'Данные'!$B$2:$B$505,A19)-1)</x:f>
        <x:v>0.25852877452808576</x:v>
      </x:c>
      <x:c r="H19" s="8" t="n">
        <x:f>IF(B19=0,NA(),(B19-SUMIFS('Данные'!$E$2:$E$505,'Данные'!$J$2:$J$505,$B$5,'Данные'!$B$2:$B$505,A19)-SUMIFS('Данные'!$F$2:$F$505,'Данные'!$J$2:$J$505,$B$5,'Данные'!$B$2:$B$505,A19))/B19)</x:f>
        <x:v>0.15135062626952211</x:v>
      </x:c>
      <x:c r="I19" s="1" t="n">
        <x:f>RANK(C19,$C$12:$C$29,0)+COUNTIFS($C$12:C19,C19)-1</x:f>
        <x:v>9</x:v>
      </x:c>
      <x:c r="J19" s="1" t="n">
        <x:f>RANK(F19,$F$12:$F$29,0)+COUNTIFS($F$12:F19,F19)-1</x:f>
        <x:v>9</x:v>
      </x:c>
      <x:c r="K19" s="1"/>
      <x:c r="L19" s="1"/>
      <x:c r="M19" s="1"/>
      <x:c r="N19" s="1"/>
      <x:c r="O19" s="1"/>
      <x:c r="P19" s="1"/>
      <x:c r="Q19" s="1"/>
    </x:row>
    <x:row r="20" ht="21" customHeight="1">
      <x:c r="A20" s="1" t="str">
        <x:v>Новосибирск</x:v>
      </x:c>
      <x:c r="B20" s="6" t="n">
        <x:f>SUMIFS('Данные'!$D$2:$D$505,'Данные'!$J$2:$J$505,$B$5,'Данные'!$B$2:$B$505,A20)</x:f>
        <x:v>9909624</x:v>
      </x:c>
      <x:c r="C20" s="8" t="n">
        <x:f>B20/$B$7</x:f>
        <x:v>0.009387193731490412</x:v>
      </x:c>
      <x:c r="D20" s="1" t="n">
        <x:f>SUMIFS('Данные'!$G$2:$G$505,'Данные'!$J$2:$J$505,$B$5,'Данные'!$B$2:$B$505,A20)</x:f>
        <x:v>126</x:v>
      </x:c>
      <x:c r="E20" s="10" t="n">
        <x:f>D20/7</x:f>
        <x:v>18</x:v>
      </x:c>
      <x:c r="F20" s="6" t="n">
        <x:f>IF(E20=0,NA(),B20/E20)</x:f>
        <x:v>550534.6666666666</x:v>
      </x:c>
      <x:c r="G20" s="8" t="n">
        <x:f>IF(SUMIFS('Данные'!$E$2:$E$505,'Данные'!$J$2:$J$505,$B$5,'Данные'!$B$2:$B$505,A20)=0,NA(),B20/SUMIFS('Данные'!$E$2:$E$505,'Данные'!$J$2:$J$505,$B$5,'Данные'!$B$2:$B$505,A20)-1)</x:f>
        <x:v>0.22551028708881926</x:v>
      </x:c>
      <x:c r="H20" s="8" t="n">
        <x:f>IF(B20=0,NA(),(B20-SUMIFS('Данные'!$E$2:$E$505,'Данные'!$J$2:$J$505,$B$5,'Данные'!$B$2:$B$505,A20)-SUMIFS('Данные'!$F$2:$F$505,'Данные'!$J$2:$J$505,$B$5,'Данные'!$B$2:$B$505,A20))/B20)</x:f>
        <x:v>0.11708704464545704</x:v>
      </x:c>
      <x:c r="I20" s="1" t="n">
        <x:f>RANK(C20,$C$12:$C$29,0)+COUNTIFS($C$12:C20,C20)-1</x:f>
        <x:v>12</x:v>
      </x:c>
      <x:c r="J20" s="1" t="n">
        <x:f>RANK(F20,$F$12:$F$29,0)+COUNTIFS($F$12:F20,F20)-1</x:f>
        <x:v>15</x:v>
      </x:c>
      <x:c r="K20" s="1"/>
      <x:c r="L20" s="1"/>
      <x:c r="M20" s="1"/>
      <x:c r="N20" s="1"/>
      <x:c r="O20" s="1"/>
      <x:c r="P20" s="1"/>
      <x:c r="Q20" s="1"/>
    </x:row>
    <x:row r="21" ht="21" customHeight="1">
      <x:c r="A21" s="1" t="str">
        <x:v>Пермь</x:v>
      </x:c>
      <x:c r="B21" s="6" t="n">
        <x:f>SUMIFS('Данные'!$D$2:$D$505,'Данные'!$J$2:$J$505,$B$5,'Данные'!$B$2:$B$505,A21)</x:f>
        <x:v>11902053</x:v>
      </x:c>
      <x:c r="C21" s="8" t="n">
        <x:f>B21/$B$7</x:f>
        <x:v>0.011274582901779791</x:v>
      </x:c>
      <x:c r="D21" s="1" t="n">
        <x:f>SUMIFS('Данные'!$G$2:$G$505,'Данные'!$J$2:$J$505,$B$5,'Данные'!$B$2:$B$505,A21)</x:f>
        <x:v>119</x:v>
      </x:c>
      <x:c r="E21" s="10" t="n">
        <x:f>D21/7</x:f>
        <x:v>17</x:v>
      </x:c>
      <x:c r="F21" s="6" t="n">
        <x:f>IF(E21=0,NA(),B21/E21)</x:f>
        <x:v>700120.7647058824</x:v>
      </x:c>
      <x:c r="G21" s="8" t="n">
        <x:f>IF(SUMIFS('Данные'!$E$2:$E$505,'Данные'!$J$2:$J$505,$B$5,'Данные'!$B$2:$B$505,A21)=0,NA(),B21/SUMIFS('Данные'!$E$2:$E$505,'Данные'!$J$2:$J$505,$B$5,'Данные'!$B$2:$B$505,A21)-1)</x:f>
        <x:v>0.23975687848393368</x:v>
      </x:c>
      <x:c r="H21" s="8" t="n">
        <x:f>IF(B21=0,NA(),(B21-SUMIFS('Данные'!$E$2:$E$505,'Данные'!$J$2:$J$505,$B$5,'Данные'!$B$2:$B$505,A21)-SUMIFS('Данные'!$F$2:$F$505,'Данные'!$J$2:$J$505,$B$5,'Данные'!$B$2:$B$505,A21))/B21)</x:f>
        <x:v>0.06594503361343183</x:v>
      </x:c>
      <x:c r="I21" s="1" t="n">
        <x:f>RANK(C21,$C$12:$C$29,0)+COUNTIFS($C$12:C21,C21)-1</x:f>
        <x:v>11</x:v>
      </x:c>
      <x:c r="J21" s="1" t="n">
        <x:f>RANK(F21,$F$12:$F$29,0)+COUNTIFS($F$12:F21,F21)-1</x:f>
        <x:v>13</x:v>
      </x:c>
      <x:c r="K21" s="1"/>
      <x:c r="L21" s="1"/>
      <x:c r="M21" s="1"/>
      <x:c r="N21" s="1"/>
      <x:c r="O21" s="1"/>
      <x:c r="P21" s="1"/>
      <x:c r="Q21" s="1"/>
    </x:row>
    <x:row r="22" ht="21" customHeight="1">
      <x:c r="A22" s="1" t="str">
        <x:v>Ростов-на-Дону</x:v>
      </x:c>
      <x:c r="B22" s="6" t="n">
        <x:f>SUMIFS('Данные'!$D$2:$D$505,'Данные'!$J$2:$J$505,$B$5,'Данные'!$B$2:$B$505,A22)</x:f>
        <x:v>9328845</x:v>
      </x:c>
      <x:c r="C22" s="8" t="n">
        <x:f>B22/$B$7</x:f>
        <x:v>0.008837033100957783</x:v>
      </x:c>
      <x:c r="D22" s="1" t="n">
        <x:f>SUMIFS('Данные'!$G$2:$G$505,'Данные'!$J$2:$J$505,$B$5,'Данные'!$B$2:$B$505,A22)</x:f>
        <x:v>109</x:v>
      </x:c>
      <x:c r="E22" s="10" t="n">
        <x:f>D22/7</x:f>
        <x:v>15.571428571428571</x:v>
      </x:c>
      <x:c r="F22" s="6" t="n">
        <x:f>IF(E22=0,NA(),B22/E22)</x:f>
        <x:v>599100.1376146789</x:v>
      </x:c>
      <x:c r="G22" s="8" t="n">
        <x:f>IF(SUMIFS('Данные'!$E$2:$E$505,'Данные'!$J$2:$J$505,$B$5,'Данные'!$B$2:$B$505,A22)=0,NA(),B22/SUMIFS('Данные'!$E$2:$E$505,'Данные'!$J$2:$J$505,$B$5,'Данные'!$B$2:$B$505,A22)-1)</x:f>
        <x:v>0.24672709805532733</x:v>
      </x:c>
      <x:c r="H22" s="8" t="n">
        <x:f>IF(B22=0,NA(),(B22-SUMIFS('Данные'!$E$2:$E$505,'Данные'!$J$2:$J$505,$B$5,'Данные'!$B$2:$B$505,A22)-SUMIFS('Данные'!$F$2:$F$505,'Данные'!$J$2:$J$505,$B$5,'Данные'!$B$2:$B$505,A22))/B22)</x:f>
        <x:v>0.0665223819372148</x:v>
      </x:c>
      <x:c r="I22" s="1" t="n">
        <x:f>RANK(C22,$C$12:$C$29,0)+COUNTIFS($C$12:C22,C22)-1</x:f>
        <x:v>13</x:v>
      </x:c>
      <x:c r="J22" s="1" t="n">
        <x:f>RANK(F22,$F$12:$F$29,0)+COUNTIFS($F$12:F22,F22)-1</x:f>
        <x:v>14</x:v>
      </x:c>
      <x:c r="K22" s="1"/>
      <x:c r="L22" s="1"/>
      <x:c r="M22" s="1"/>
      <x:c r="N22" s="1"/>
      <x:c r="O22" s="1"/>
      <x:c r="P22" s="1"/>
      <x:c r="Q22" s="1"/>
    </x:row>
    <x:row r="23" ht="21" customHeight="1">
      <x:c r="A23" s="1" t="str">
        <x:v>Самара</x:v>
      </x:c>
      <x:c r="B23" s="6" t="n">
        <x:f>SUMIFS('Данные'!$D$2:$D$505,'Данные'!$J$2:$J$505,$B$5,'Данные'!$B$2:$B$505,A23)</x:f>
        <x:v>2706253.5</x:v>
      </x:c>
      <x:c r="C23" s="8" t="n">
        <x:f>B23/$B$7</x:f>
        <x:v>0.0025635812106517856</x:v>
      </x:c>
      <x:c r="D23" s="1" t="n">
        <x:f>SUMIFS('Данные'!$G$2:$G$505,'Данные'!$J$2:$J$505,$B$5,'Данные'!$B$2:$B$505,A23)</x:f>
        <x:v>60</x:v>
      </x:c>
      <x:c r="E23" s="10" t="n">
        <x:f>D23/7</x:f>
        <x:v>8.571428571428571</x:v>
      </x:c>
      <x:c r="F23" s="6" t="n">
        <x:f>IF(E23=0,NA(),B23/E23)</x:f>
        <x:v>315729.575</x:v>
      </x:c>
      <x:c r="G23" s="8" t="n">
        <x:f>IF(SUMIFS('Данные'!$E$2:$E$505,'Данные'!$J$2:$J$505,$B$5,'Данные'!$B$2:$B$505,A23)=0,NA(),B23/SUMIFS('Данные'!$E$2:$E$505,'Данные'!$J$2:$J$505,$B$5,'Данные'!$B$2:$B$505,A23)-1)</x:f>
        <x:v>0.07584644370007165</x:v>
      </x:c>
      <x:c r="H23" s="8" t="n">
        <x:f>IF(B23=0,NA(),(B23-SUMIFS('Данные'!$E$2:$E$505,'Данные'!$J$2:$J$505,$B$5,'Данные'!$B$2:$B$505,A23)-SUMIFS('Данные'!$F$2:$F$505,'Данные'!$J$2:$J$505,$B$5,'Данные'!$B$2:$B$505,A23))/B23)</x:f>
        <x:v>-0.04815362481179807</x:v>
      </x:c>
      <x:c r="I23" s="1" t="n">
        <x:f>RANK(C23,$C$12:$C$29,0)+COUNTIFS($C$12:C23,C23)-1</x:f>
        <x:v>16</x:v>
      </x:c>
      <x:c r="J23" s="1" t="n">
        <x:f>RANK(F23,$F$12:$F$29,0)+COUNTIFS($F$12:F23,F23)-1</x:f>
        <x:v>18</x:v>
      </x:c>
      <x:c r="K23" s="1"/>
      <x:c r="L23" s="1"/>
      <x:c r="M23" s="1"/>
      <x:c r="N23" s="1"/>
      <x:c r="O23" s="1"/>
      <x:c r="P23" s="1"/>
      <x:c r="Q23" s="1"/>
    </x:row>
    <x:row r="24" ht="21" customHeight="1">
      <x:c r="A24" s="1" t="str">
        <x:v>Санкт-Петербург Север</x:v>
      </x:c>
      <x:c r="B24" s="6" t="n">
        <x:f>SUMIFS('Данные'!$D$2:$D$505,'Данные'!$J$2:$J$505,$B$5,'Данные'!$B$2:$B$505,A24)</x:f>
        <x:v>292155049.5</x:v>
      </x:c>
      <x:c r="C24" s="8" t="n">
        <x:f>B24/$B$7</x:f>
        <x:v>0.27675278590687913</x:v>
      </x:c>
      <x:c r="D24" s="1" t="n">
        <x:f>SUMIFS('Данные'!$G$2:$G$505,'Данные'!$J$2:$J$505,$B$5,'Данные'!$B$2:$B$505,A24)</x:f>
        <x:v>868</x:v>
      </x:c>
      <x:c r="E24" s="10" t="n">
        <x:f>D24/7</x:f>
        <x:v>124</x:v>
      </x:c>
      <x:c r="F24" s="6" t="n">
        <x:f>IF(E24=0,NA(),B24/E24)</x:f>
        <x:v>2356089.1088709678</x:v>
      </x:c>
      <x:c r="G24" s="8" t="n">
        <x:f>IF(SUMIFS('Данные'!$E$2:$E$505,'Данные'!$J$2:$J$505,$B$5,'Данные'!$B$2:$B$505,A24)=0,NA(),B24/SUMIFS('Данные'!$E$2:$E$505,'Данные'!$J$2:$J$505,$B$5,'Данные'!$B$2:$B$505,A24)-1)</x:f>
        <x:v>0.35131606142330396</x:v>
      </x:c>
      <x:c r="H24" s="8" t="n">
        <x:f>IF(B24=0,NA(),(B24-SUMIFS('Данные'!$E$2:$E$505,'Данные'!$J$2:$J$505,$B$5,'Данные'!$B$2:$B$505,A24)-SUMIFS('Данные'!$F$2:$F$505,'Данные'!$J$2:$J$505,$B$5,'Данные'!$B$2:$B$505,A24))/B24)</x:f>
        <x:v>0.24624520435430372</x:v>
      </x:c>
      <x:c r="I24" s="1" t="n">
        <x:f>RANK(C24,$C$12:$C$29,0)+COUNTIFS($C$12:C24,C24)-1</x:f>
        <x:v>1</x:v>
      </x:c>
      <x:c r="J24" s="1" t="n">
        <x:f>RANK(F24,$F$12:$F$29,0)+COUNTIFS($F$12:F24,F24)-1</x:f>
        <x:v>3</x:v>
      </x:c>
      <x:c r="K24" s="1"/>
      <x:c r="L24" s="1"/>
      <x:c r="M24" s="1"/>
      <x:c r="N24" s="1"/>
      <x:c r="O24" s="1"/>
      <x:c r="P24" s="1"/>
      <x:c r="Q24" s="1"/>
    </x:row>
    <x:row r="25" ht="21" customHeight="1">
      <x:c r="A25" s="1" t="str">
        <x:v>Санкт-Петербург Юг</x:v>
      </x:c>
      <x:c r="B25" s="6" t="n">
        <x:f>SUMIFS('Данные'!$D$2:$D$505,'Данные'!$J$2:$J$505,$B$5,'Данные'!$B$2:$B$505,A25)</x:f>
        <x:v>219265928.75384998</x:v>
      </x:c>
      <x:c r="C25" s="8" t="n">
        <x:f>B25/$B$7</x:f>
        <x:v>0.20770634202948204</x:v>
      </x:c>
      <x:c r="D25" s="1" t="n">
        <x:f>SUMIFS('Данные'!$G$2:$G$505,'Данные'!$J$2:$J$505,$B$5,'Данные'!$B$2:$B$505,A25)</x:f>
        <x:v>903</x:v>
      </x:c>
      <x:c r="E25" s="10" t="n">
        <x:f>D25/7</x:f>
        <x:v>129</x:v>
      </x:c>
      <x:c r="F25" s="6" t="n">
        <x:f>IF(E25=0,NA(),B25/E25)</x:f>
        <x:v>1699735.8818127906</x:v>
      </x:c>
      <x:c r="G25" s="8" t="n">
        <x:f>IF(SUMIFS('Данные'!$E$2:$E$505,'Данные'!$J$2:$J$505,$B$5,'Данные'!$B$2:$B$505,A25)=0,NA(),B25/SUMIFS('Данные'!$E$2:$E$505,'Данные'!$J$2:$J$505,$B$5,'Данные'!$B$2:$B$505,A25)-1)</x:f>
        <x:v>0.3349757593376128</x:v>
      </x:c>
      <x:c r="H25" s="8" t="n">
        <x:f>IF(B25=0,NA(),(B25-SUMIFS('Данные'!$E$2:$E$505,'Данные'!$J$2:$J$505,$B$5,'Данные'!$B$2:$B$505,A25)-SUMIFS('Данные'!$F$2:$F$505,'Данные'!$J$2:$J$505,$B$5,'Данные'!$B$2:$B$505,A25))/B25)</x:f>
        <x:v>0.23298963837416348</x:v>
      </x:c>
      <x:c r="I25" s="1" t="n">
        <x:f>RANK(C25,$C$12:$C$29,0)+COUNTIFS($C$12:C25,C25)-1</x:f>
        <x:v>2</x:v>
      </x:c>
      <x:c r="J25" s="1" t="n">
        <x:f>RANK(F25,$F$12:$F$29,0)+COUNTIFS($F$12:F25,F25)-1</x:f>
        <x:v>4</x:v>
      </x:c>
      <x:c r="K25" s="1"/>
      <x:c r="L25" s="1"/>
      <x:c r="M25" s="1"/>
      <x:c r="N25" s="1"/>
      <x:c r="O25" s="1"/>
      <x:c r="P25" s="1"/>
      <x:c r="Q25" s="1"/>
    </x:row>
    <x:row r="26" ht="21" customHeight="1">
      <x:c r="A26" s="1" t="str">
        <x:v>Тольятти</x:v>
      </x:c>
      <x:c r="B26" s="6" t="n">
        <x:f>SUMIFS('Данные'!$D$2:$D$505,'Данные'!$J$2:$J$505,$B$5,'Данные'!$B$2:$B$505,A26)</x:f>
        <x:v>7762362</x:v>
      </x:c>
      <x:c r="C26" s="8" t="n">
        <x:f>B26/$B$7</x:f>
        <x:v>0.0073531342771390095</x:v>
      </x:c>
      <x:c r="D26" s="1" t="n">
        <x:f>SUMIFS('Данные'!$G$2:$G$505,'Данные'!$J$2:$J$505,$B$5,'Данные'!$B$2:$B$505,A26)</x:f>
        <x:v>70</x:v>
      </x:c>
      <x:c r="E26" s="10" t="n">
        <x:f>D26/7</x:f>
        <x:v>10</x:v>
      </x:c>
      <x:c r="F26" s="6" t="n">
        <x:f>IF(E26=0,NA(),B26/E26)</x:f>
        <x:v>776236.2</x:v>
      </x:c>
      <x:c r="G26" s="8" t="n">
        <x:f>IF(SUMIFS('Данные'!$E$2:$E$505,'Данные'!$J$2:$J$505,$B$5,'Данные'!$B$2:$B$505,A26)=0,NA(),B26/SUMIFS('Данные'!$E$2:$E$505,'Данные'!$J$2:$J$505,$B$5,'Данные'!$B$2:$B$505,A26)-1)</x:f>
        <x:v>0.18925320151301395</x:v>
      </x:c>
      <x:c r="H26" s="8" t="n">
        <x:f>IF(B26=0,NA(),(B26-SUMIFS('Данные'!$E$2:$E$505,'Данные'!$J$2:$J$505,$B$5,'Данные'!$B$2:$B$505,A26)-SUMIFS('Данные'!$F$2:$F$505,'Данные'!$J$2:$J$505,$B$5,'Данные'!$B$2:$B$505,A26))/B26)</x:f>
        <x:v>0.08848455492026777</x:v>
      </x:c>
      <x:c r="I26" s="1" t="n">
        <x:f>RANK(C26,$C$12:$C$29,0)+COUNTIFS($C$12:C26,C26)-1</x:f>
        <x:v>14</x:v>
      </x:c>
      <x:c r="J26" s="1" t="n">
        <x:f>RANK(F26,$F$12:$F$29,0)+COUNTIFS($F$12:F26,F26)-1</x:f>
        <x:v>12</x:v>
      </x:c>
      <x:c r="K26" s="1"/>
      <x:c r="L26" s="1"/>
      <x:c r="M26" s="1"/>
      <x:c r="N26" s="1"/>
      <x:c r="O26" s="1"/>
      <x:c r="P26" s="1"/>
      <x:c r="Q26" s="1"/>
    </x:row>
    <x:row r="27" ht="21" customHeight="1">
      <x:c r="A27" s="1" t="str">
        <x:v>Томск</x:v>
      </x:c>
      <x:c r="B27" s="6" t="n">
        <x:f>SUMIFS('Данные'!$D$2:$D$505,'Данные'!$J$2:$J$505,$B$5,'Данные'!$B$2:$B$505,A27)</x:f>
        <x:v>493893</x:v>
      </x:c>
      <x:c r="C27" s="8" t="n">
        <x:f>B27/$B$7</x:f>
        <x:v>0.00046785521565974596</x:v>
      </x:c>
      <x:c r="D27" s="1" t="n">
        <x:f>SUMIFS('Данные'!$G$2:$G$505,'Данные'!$J$2:$J$505,$B$5,'Данные'!$B$2:$B$505,A27)</x:f>
        <x:v>9</x:v>
      </x:c>
      <x:c r="E27" s="10" t="n">
        <x:f>D27/7</x:f>
        <x:v>1.2857142857142858</x:v>
      </x:c>
      <x:c r="F27" s="6" t="n">
        <x:f>IF(E27=0,NA(),B27/E27)</x:f>
        <x:v>384139</x:v>
      </x:c>
      <x:c r="G27" s="8" t="n">
        <x:f>IF(SUMIFS('Данные'!$E$2:$E$505,'Данные'!$J$2:$J$505,$B$5,'Данные'!$B$2:$B$505,A27)=0,NA(),B27/SUMIFS('Данные'!$E$2:$E$505,'Данные'!$J$2:$J$505,$B$5,'Данные'!$B$2:$B$505,A27)-1)</x:f>
        <x:v>0.07423478663837457</x:v>
      </x:c>
      <x:c r="H27" s="8" t="n">
        <x:f>IF(B27=0,NA(),(B27-SUMIFS('Данные'!$E$2:$E$505,'Данные'!$J$2:$J$505,$B$5,'Данные'!$B$2:$B$505,A27)-SUMIFS('Данные'!$F$2:$F$505,'Данные'!$J$2:$J$505,$B$5,'Данные'!$B$2:$B$505,A27))/B27)</x:f>
        <x:v>0.012329397413859163</x:v>
      </x:c>
      <x:c r="I27" s="1" t="n">
        <x:f>RANK(C27,$C$12:$C$29,0)+COUNTIFS($C$12:C27,C27)-1</x:f>
        <x:v>17</x:v>
      </x:c>
      <x:c r="J27" s="1" t="n">
        <x:f>RANK(F27,$F$12:$F$29,0)+COUNTIFS($F$12:F27,F27)-1</x:f>
        <x:v>17</x:v>
      </x:c>
      <x:c r="K27" s="1"/>
      <x:c r="L27" s="1"/>
      <x:c r="M27" s="1"/>
      <x:c r="N27" s="1"/>
      <x:c r="O27" s="1"/>
      <x:c r="P27" s="1"/>
      <x:c r="Q27" s="1"/>
    </x:row>
    <x:row r="28" ht="21" customHeight="1">
      <x:c r="A28" s="1" t="str">
        <x:v>Тюмень</x:v>
      </x:c>
      <x:c r="B28" s="6" t="n">
        <x:f>SUMIFS('Данные'!$D$2:$D$505,'Данные'!$J$2:$J$505,$B$5,'Данные'!$B$2:$B$505,A28)</x:f>
        <x:v>4861708.5</x:v>
      </x:c>
      <x:c r="C28" s="8" t="n">
        <x:f>B28/$B$7</x:f>
        <x:v>0.0046054017342669765</x:v>
      </x:c>
      <x:c r="D28" s="1" t="n">
        <x:f>SUMIFS('Данные'!$G$2:$G$505,'Данные'!$J$2:$J$505,$B$5,'Данные'!$B$2:$B$505,A28)</x:f>
        <x:v>42</x:v>
      </x:c>
      <x:c r="E28" s="10" t="n">
        <x:f>D28/7</x:f>
        <x:v>6</x:v>
      </x:c>
      <x:c r="F28" s="6" t="n">
        <x:f>IF(E28=0,NA(),B28/E28)</x:f>
        <x:v>810284.75</x:v>
      </x:c>
      <x:c r="G28" s="8" t="n">
        <x:f>IF(SUMIFS('Данные'!$E$2:$E$505,'Данные'!$J$2:$J$505,$B$5,'Данные'!$B$2:$B$505,A28)=0,NA(),B28/SUMIFS('Данные'!$E$2:$E$505,'Данные'!$J$2:$J$505,$B$5,'Данные'!$B$2:$B$505,A28)-1)</x:f>
        <x:v>0.15462112506478043</x:v>
      </x:c>
      <x:c r="H28" s="8" t="n">
        <x:f>IF(B28=0,NA(),(B28-SUMIFS('Данные'!$E$2:$E$505,'Данные'!$J$2:$J$505,$B$5,'Данные'!$B$2:$B$505,A28)-SUMIFS('Данные'!$F$2:$F$505,'Данные'!$J$2:$J$505,$B$5,'Данные'!$B$2:$B$505,A28))/B28)</x:f>
        <x:v>0.06439351819348146</x:v>
      </x:c>
      <x:c r="I28" s="1" t="n">
        <x:f>RANK(C28,$C$12:$C$29,0)+COUNTIFS($C$12:C28,C28)-1</x:f>
        <x:v>15</x:v>
      </x:c>
      <x:c r="J28" s="1" t="n">
        <x:f>RANK(F28,$F$12:$F$29,0)+COUNTIFS($F$12:F28,F28)-1</x:f>
        <x:v>11</x:v>
      </x:c>
      <x:c r="K28" s="1"/>
      <x:c r="L28" s="1"/>
      <x:c r="M28" s="1"/>
      <x:c r="N28" s="1"/>
      <x:c r="O28" s="1"/>
      <x:c r="P28" s="1"/>
      <x:c r="Q28" s="1"/>
    </x:row>
    <x:row r="29" ht="21" customHeight="1">
      <x:c r="A29" s="1" t="str">
        <x:v>Уфа</x:v>
      </x:c>
      <x:c r="B29" s="6" t="n">
        <x:f>SUMIFS('Данные'!$D$2:$D$505,'Данные'!$J$2:$J$505,$B$5,'Данные'!$B$2:$B$505,A29)</x:f>
        <x:v>468835.5</x:v>
      </x:c>
      <x:c r="C29" s="8" t="n">
        <x:f>B29/$B$7</x:f>
        <x:v>0.00044411873414169635</x:v>
      </x:c>
      <x:c r="D29" s="1" t="n">
        <x:f>SUMIFS('Данные'!$G$2:$G$505,'Данные'!$J$2:$J$505,$B$5,'Данные'!$B$2:$B$505,A29)</x:f>
        <x:v>6</x:v>
      </x:c>
      <x:c r="E29" s="10" t="n">
        <x:f>D29/7</x:f>
        <x:v>0.8571428571428571</x:v>
      </x:c>
      <x:c r="F29" s="6" t="n">
        <x:f>IF(E29=0,NA(),B29/E29)</x:f>
        <x:v>546974.75</x:v>
      </x:c>
      <x:c r="G29" s="8" t="n">
        <x:f>IF(SUMIFS('Данные'!$E$2:$E$505,'Данные'!$J$2:$J$505,$B$5,'Данные'!$B$2:$B$505,A29)=0,NA(),B29/SUMIFS('Данные'!$E$2:$E$505,'Данные'!$J$2:$J$505,$B$5,'Данные'!$B$2:$B$505,A29)-1)</x:f>
        <x:v>0.1362241555145085</x:v>
      </x:c>
      <x:c r="H29" s="8" t="n">
        <x:f>IF(B29=0,NA(),(B29-SUMIFS('Данные'!$E$2:$E$505,'Данные'!$J$2:$J$505,$B$5,'Данные'!$B$2:$B$505,A29)-SUMIFS('Данные'!$F$2:$F$505,'Данные'!$J$2:$J$505,$B$5,'Данные'!$B$2:$B$505,A29))/B29)</x:f>
        <x:v>0.10145826431002578</x:v>
      </x:c>
      <x:c r="I29" s="1" t="n">
        <x:f>RANK(C29,$C$12:$C$29,0)+COUNTIFS($C$12:C29,C29)-1</x:f>
        <x:v>18</x:v>
      </x:c>
      <x:c r="J29" s="1" t="n">
        <x:f>RANK(F29,$F$12:$F$29,0)+COUNTIFS($F$12:F29,F29)-1</x:f>
        <x:v>16</x:v>
      </x:c>
      <x:c r="K29" s="1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42" customHeight="1">
      <x:c r="A33" s="4" t="str">
        <x:v>Топ 3 по доле</x:v>
      </x:c>
      <x:c r="B33" s="4" t="str">
        <x:v>Территория</x:v>
      </x:c>
      <x:c r="C33" s="4" t="str">
        <x:v>Доля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 t="n">
        <x:v>1</x:v>
      </x:c>
      <x:c r="B34" s="1" t="str">
        <x:f>INDEX($A$12:$A$29,MATCH(A34,$I$12:$I$29,0))</x:f>
        <x:v>Санкт-Петербург Север</x:v>
      </x:c>
      <x:c r="C34" s="8" t="n">
        <x:f>INDEX($C$12:$C$29,MATCH(A34,$I$12:$I$29,0))</x:f>
        <x:v>0.27675278590687913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 t="n">
        <x:v>2</x:v>
      </x:c>
      <x:c r="B35" s="1" t="str">
        <x:f>INDEX($A$12:$A$29,MATCH(A35,$I$12:$I$29,0))</x:f>
        <x:v>Санкт-Петербург Юг</x:v>
      </x:c>
      <x:c r="C35" s="8" t="n">
        <x:f>INDEX($C$12:$C$29,MATCH(A35,$I$12:$I$29,0))</x:f>
        <x:v>0.20770634202948204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 t="n">
        <x:v>3</x:v>
      </x:c>
      <x:c r="B36" s="1" t="str">
        <x:f>INDEX($A$12:$A$29,MATCH(A36,$I$12:$I$29,0))</x:f>
        <x:v>Москва Запад</x:v>
      </x:c>
      <x:c r="C36" s="8" t="n">
        <x:f>INDEX($C$12:$C$29,MATCH(A36,$I$12:$I$29,0))</x:f>
        <x:v>0.14953506353267668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42" customHeight="1">
      <x:c r="A40" s="4" t="str">
        <x:v>Топ 3 на склад</x:v>
      </x:c>
      <x:c r="B40" s="4" t="str">
        <x:v>Территория</x:v>
      </x:c>
      <x:c r="C40" s="4" t="str">
        <x:v>Оборот на склад руб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1" customHeight="1">
      <x:c r="A41" s="1" t="n">
        <x:v>1</x:v>
      </x:c>
      <x:c r="B41" s="1" t="str">
        <x:f>INDEX($A$12:$A$29,MATCH(A41,$J$12:$J$29,0))</x:f>
        <x:v>Москва Восток</x:v>
      </x:c>
      <x:c r="C41" s="6" t="n">
        <x:f>INDEX($F$12:$F$29,MATCH(A41,$J$12:$J$29,0))</x:f>
        <x:v>2804648.388888889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1" customHeight="1">
      <x:c r="A42" s="1" t="n">
        <x:v>2</x:v>
      </x:c>
      <x:c r="B42" s="1" t="str">
        <x:f>INDEX($A$12:$A$29,MATCH(A42,$J$12:$J$29,0))</x:f>
        <x:v>Москва Запад</x:v>
      </x:c>
      <x:c r="C42" s="6" t="n">
        <x:f>INDEX($F$12:$F$29,MATCH(A42,$J$12:$J$29,0))</x:f>
        <x:v>2669083.3369565215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1" t="n">
        <x:v>3</x:v>
      </x:c>
      <x:c r="B43" s="1" t="str">
        <x:f>INDEX($A$12:$A$29,MATCH(A43,$J$12:$J$29,0))</x:f>
        <x:v>Санкт-Петербург Север</x:v>
      </x:c>
      <x:c r="C43" s="6" t="n">
        <x:f>INDEX($F$12:$F$29,MATCH(A43,$J$12:$J$29,0))</x:f>
        <x:v>2356089.1088709678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1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1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1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1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1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1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1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1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1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1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1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1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1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1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1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1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1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1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1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1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1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1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1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1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1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1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1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1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1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1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1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1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1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1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1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1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1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1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1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1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1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1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1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1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1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1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1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1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1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1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1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1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1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1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1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1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1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1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1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1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1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1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1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1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1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1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1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1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1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1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1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1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1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1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1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1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1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1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1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1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1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1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1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1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1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1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1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1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1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1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1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1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1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1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1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1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1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1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1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1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1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1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1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1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1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1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1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1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1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1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1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1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1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1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1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1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1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1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1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1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1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1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1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1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1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1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1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1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1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1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1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1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1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1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1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1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1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1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1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1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1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1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1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1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1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1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1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1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1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1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1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1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1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1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1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1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1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1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1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1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1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1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1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1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1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1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1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1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1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1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1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1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1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1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1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1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1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1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1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1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1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1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1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1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1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1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1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1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1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1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1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1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1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1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1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1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1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1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1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1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1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1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1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1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1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1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1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1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1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1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1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1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1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1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1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1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1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1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1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1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1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1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1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1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1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1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1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1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1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1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1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1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1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1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1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1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1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1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1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1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1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1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1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1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1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1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1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1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1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1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1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1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1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1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1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1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1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1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1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1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1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1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1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1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1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1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1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1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1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1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1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1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1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1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1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1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1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1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1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1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2:I2"/>
    <x:mergeCell ref="D4:I5"/>
    <x:mergeCell ref="D7:I8"/>
  </x:mergeCells>
  <x:conditionalFormatting sqref="I12:J29">
    <x:cfRule type="cellIs" dxfId="0" priority="1" operator="lessThanOrEqual">
      <x:formula>3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7" t="str">
        <x:v>Недельные показатели по территориям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42" customHeight="1">
      <x:c r="A4" s="4" t="str">
        <x:v>Понедельник ISO</x:v>
      </x:c>
      <x:c r="B4" s="4" t="str">
        <x:v>Территория</x:v>
      </x:c>
      <x:c r="C4" s="4" t="str">
        <x:v>Дней с данными</x:v>
      </x:c>
      <x:c r="D4" s="4" t="str">
        <x:v>Оборот руб</x:v>
      </x:c>
      <x:c r="E4" s="4" t="str">
        <x:v>Себестоимость руб</x:v>
      </x:c>
      <x:c r="F4" s="4" t="str">
        <x:v>Потери руб</x:v>
      </x:c>
      <x:c r="G4" s="4" t="str">
        <x:v>Складо дни</x:v>
      </x:c>
      <x:c r="H4" s="4" t="str">
        <x:v>Среднее складов</x:v>
      </x:c>
      <x:c r="I4" s="4" t="str">
        <x:v>Наценка</x:v>
      </x:c>
      <x:c r="J4" s="4" t="str">
        <x:v>Доходность</x:v>
      </x:c>
      <x:c r="K4" s="4" t="str">
        <x:v>Оборот на склад руб</x:v>
      </x:c>
      <x:c r="L4" s="4" t="str">
        <x:v>Заказы</x:v>
      </x:c>
      <x:c r="M4" s="4" t="str">
        <x:v>Клиенто дни</x:v>
      </x:c>
      <x:c r="N4" s="1"/>
      <x:c r="O4" s="1"/>
      <x:c r="P4" s="1"/>
      <x:c r="Q4" s="1"/>
    </x:row>
    <x:row r="5" ht="21" customHeight="1">
      <x:c r="A5" s="5" t="n">
        <x:v>43948</x:v>
      </x:c>
      <x:c r="B5" s="1" t="str">
        <x:v>Волгоград</x:v>
      </x:c>
      <x:c r="C5" s="1" t="n">
        <x:f>COUNTIFS('Данные'!$J$2:$J$505,A5,'Данные'!$B$2:$B$505,B5)</x:f>
        <x:v>6</x:v>
      </x:c>
      <x:c r="D5" s="6" t="n">
        <x:f>SUMIFS('Данные'!$D$2:$D$505,'Данные'!$J$2:$J$505,A5,'Данные'!$B$2:$B$505,B5)</x:f>
        <x:v>36934095</x:v>
      </x:c>
      <x:c r="E5" s="6" t="n">
        <x:f>SUMIFS('Данные'!$E$2:$E$505,'Данные'!$J$2:$J$505,A5,'Данные'!$B$2:$B$505,B5)</x:f>
        <x:v>28468606.776</x:v>
      </x:c>
      <x:c r="F5" s="6" t="n">
        <x:f>SUMIFS('Данные'!$F$2:$F$505,'Данные'!$J$2:$J$505,A5,'Данные'!$B$2:$B$505,B5)</x:f>
        <x:v>862168.4549923077</x:v>
      </x:c>
      <x:c r="G5" s="6" t="n">
        <x:f>SUMIFS('Данные'!$G$2:$G$505,'Данные'!$J$2:$J$505,A5,'Данные'!$B$2:$B$505,B5)</x:f>
        <x:v>216</x:v>
      </x:c>
      <x:c r="H5" s="6" t="n">
        <x:f>IF(C5=0,"н.д.",G5/C5)</x:f>
        <x:v>36</x:v>
      </x:c>
      <x:c r="I5" s="8" t="n">
        <x:f>IF(E5=0,"н.д.",(D5-E5)/E5)</x:f>
        <x:v>0.29736222396161277</x:v>
      </x:c>
      <x:c r="J5" s="8" t="n">
        <x:f>IF(D5=0,"н.д.",(D5-E5-F5)/D5)</x:f>
        <x:v>0.2058618132922356</x:v>
      </x:c>
      <x:c r="K5" s="6" t="n">
        <x:f>IF(G5=0,"н.д.",D5/H5)</x:f>
        <x:v>1025947.0833333334</x:v>
      </x:c>
      <x:c r="L5" s="1" t="n">
        <x:f>SUMIFS('Данные'!$H$2:$H$505,'Данные'!$J$2:$J$505,A5,'Данные'!$B$2:$B$505,B5)</x:f>
        <x:v>28653</x:v>
      </x:c>
      <x:c r="M5" s="1" t="n">
        <x:f>SUMIFS('Данные'!$I$2:$I$505,'Данные'!$J$2:$J$505,A5,'Данные'!$B$2:$B$505,B5)</x:f>
        <x:v>26269</x:v>
      </x:c>
      <x:c r="N5" s="1"/>
      <x:c r="O5" s="1"/>
      <x:c r="P5" s="1"/>
      <x:c r="Q5" s="1"/>
    </x:row>
    <x:row r="6" ht="21" customHeight="1">
      <x:c r="A6" s="5" t="n">
        <x:v>43948</x:v>
      </x:c>
      <x:c r="B6" s="1" t="str">
        <x:v>Екатеринбург</x:v>
      </x:c>
      <x:c r="C6" s="1" t="n">
        <x:f>COUNTIFS('Данные'!$J$2:$J$505,A6,'Данные'!$B$2:$B$505,B6)</x:f>
        <x:v>6</x:v>
      </x:c>
      <x:c r="D6" s="6" t="n">
        <x:f>SUMIFS('Данные'!$D$2:$D$505,'Данные'!$J$2:$J$505,A6,'Данные'!$B$2:$B$505,B6)</x:f>
        <x:v>42828757.5</x:v>
      </x:c>
      <x:c r="E6" s="6" t="n">
        <x:f>SUMIFS('Данные'!$E$2:$E$505,'Данные'!$J$2:$J$505,A6,'Данные'!$B$2:$B$505,B6)</x:f>
        <x:v>32504259.301000003</x:v>
      </x:c>
      <x:c r="F6" s="6" t="n">
        <x:f>SUMIFS('Данные'!$F$2:$F$505,'Данные'!$J$2:$J$505,A6,'Данные'!$B$2:$B$505,B6)</x:f>
        <x:v>940385.7558923077</x:v>
      </x:c>
      <x:c r="G6" s="6" t="n">
        <x:f>SUMIFS('Данные'!$G$2:$G$505,'Данные'!$J$2:$J$505,A6,'Данные'!$B$2:$B$505,B6)</x:f>
        <x:v>186</x:v>
      </x:c>
      <x:c r="H6" s="6" t="n">
        <x:f>IF(C6=0,"н.д.",G6/C6)</x:f>
        <x:v>31</x:v>
      </x:c>
      <x:c r="I6" s="8" t="n">
        <x:f>IF(E6=0,"н.д.",(D6-E6)/E6)</x:f>
        <x:v>0.3176352398432399</x:v>
      </x:c>
      <x:c r="J6" s="8" t="n">
        <x:f>IF(D6=0,"н.д.",(D6-E6-F6)/D6)</x:f>
        <x:v>0.2191077442091961</x:v>
      </x:c>
      <x:c r="K6" s="6" t="n">
        <x:f>IF(G6=0,"н.д.",D6/H6)</x:f>
        <x:v>1381572.822580645</x:v>
      </x:c>
      <x:c r="L6" s="1" t="n">
        <x:f>SUMIFS('Данные'!$H$2:$H$505,'Данные'!$J$2:$J$505,A6,'Данные'!$B$2:$B$505,B6)</x:f>
        <x:v>31393</x:v>
      </x:c>
      <x:c r="M6" s="1" t="n">
        <x:f>SUMIFS('Данные'!$I$2:$I$505,'Данные'!$J$2:$J$505,A6,'Данные'!$B$2:$B$505,B6)</x:f>
        <x:v>28967</x:v>
      </x:c>
      <x:c r="N6" s="1"/>
      <x:c r="O6" s="1"/>
      <x:c r="P6" s="1"/>
      <x:c r="Q6" s="1"/>
    </x:row>
    <x:row r="7" ht="21" customHeight="1">
      <x:c r="A7" s="5" t="n">
        <x:v>43948</x:v>
      </x:c>
      <x:c r="B7" s="1" t="str">
        <x:v>Казань</x:v>
      </x:c>
      <x:c r="C7" s="1" t="n">
        <x:f>COUNTIFS('Данные'!$J$2:$J$505,A7,'Данные'!$B$2:$B$505,B7)</x:f>
        <x:v>6</x:v>
      </x:c>
      <x:c r="D7" s="6" t="n">
        <x:f>SUMIFS('Данные'!$D$2:$D$505,'Данные'!$J$2:$J$505,A7,'Данные'!$B$2:$B$505,B7)</x:f>
        <x:v>17828215.5</x:v>
      </x:c>
      <x:c r="E7" s="6" t="n">
        <x:f>SUMIFS('Данные'!$E$2:$E$505,'Данные'!$J$2:$J$505,A7,'Данные'!$B$2:$B$505,B7)</x:f>
        <x:v>13895906.658</x:v>
      </x:c>
      <x:c r="F7" s="6" t="n">
        <x:f>SUMIFS('Данные'!$F$2:$F$505,'Данные'!$J$2:$J$505,A7,'Данные'!$B$2:$B$505,B7)</x:f>
        <x:v>1099350.6215769232</x:v>
      </x:c>
      <x:c r="G7" s="6" t="n">
        <x:f>SUMIFS('Данные'!$G$2:$G$505,'Данные'!$J$2:$J$505,A7,'Данные'!$B$2:$B$505,B7)</x:f>
        <x:v>118</x:v>
      </x:c>
      <x:c r="H7" s="6" t="n">
        <x:f>IF(C7=0,"н.д.",G7/C7)</x:f>
        <x:v>19.666666666666668</x:v>
      </x:c>
      <x:c r="I7" s="8" t="n">
        <x:f>IF(E7=0,"н.д.",(D7-E7)/E7)</x:f>
        <x:v>0.2829832510235044</x:v>
      </x:c>
      <x:c r="J7" s="8" t="n">
        <x:f>IF(D7=0,"н.д.",(D7-E7-F7)/D7)</x:f>
        <x:v>0.15890307251575891</x:v>
      </x:c>
      <x:c r="K7" s="6" t="n">
        <x:f>IF(G7=0,"н.д.",D7/H7)</x:f>
        <x:v>906519.4322033898</x:v>
      </x:c>
      <x:c r="L7" s="1" t="n">
        <x:f>SUMIFS('Данные'!$H$2:$H$505,'Данные'!$J$2:$J$505,A7,'Данные'!$B$2:$B$505,B7)</x:f>
        <x:v>11075</x:v>
      </x:c>
      <x:c r="M7" s="1" t="n">
        <x:f>SUMIFS('Данные'!$I$2:$I$505,'Данные'!$J$2:$J$505,A7,'Данные'!$B$2:$B$505,B7)</x:f>
        <x:v>10022</x:v>
      </x:c>
      <x:c r="N7" s="1"/>
      <x:c r="O7" s="1"/>
      <x:c r="P7" s="1"/>
      <x:c r="Q7" s="1"/>
    </x:row>
    <x:row r="8" ht="21" customHeight="1">
      <x:c r="A8" s="5" t="n">
        <x:v>43948</x:v>
      </x:c>
      <x:c r="B8" s="1" t="str">
        <x:v>Кемерово</x:v>
      </x:c>
      <x:c r="C8" s="1" t="n">
        <x:f>COUNTIFS('Данные'!$J$2:$J$505,A8,'Данные'!$B$2:$B$505,B8)</x:f>
        <x:v>6</x:v>
      </x:c>
      <x:c r="D8" s="6" t="n">
        <x:f>SUMIFS('Данные'!$D$2:$D$505,'Данные'!$J$2:$J$505,A8,'Данные'!$B$2:$B$505,B8)</x:f>
        <x:v>16029679.5</x:v>
      </x:c>
      <x:c r="E8" s="6" t="n">
        <x:f>SUMIFS('Данные'!$E$2:$E$505,'Данные'!$J$2:$J$505,A8,'Данные'!$B$2:$B$505,B8)</x:f>
        <x:v>12779410.085</x:v>
      </x:c>
      <x:c r="F8" s="6" t="n">
        <x:f>SUMIFS('Данные'!$F$2:$F$505,'Данные'!$J$2:$J$505,A8,'Данные'!$B$2:$B$505,B8)</x:f>
        <x:v>1156679.4788538462</x:v>
      </x:c>
      <x:c r="G8" s="6" t="n">
        <x:f>SUMIFS('Данные'!$G$2:$G$505,'Данные'!$J$2:$J$505,A8,'Данные'!$B$2:$B$505,B8)</x:f>
        <x:v>111</x:v>
      </x:c>
      <x:c r="H8" s="6" t="n">
        <x:f>IF(C8=0,"н.д.",G8/C8)</x:f>
        <x:v>18.5</x:v>
      </x:c>
      <x:c r="I8" s="8" t="n">
        <x:f>IF(E8=0,"н.д.",(D8-E8)/E8)</x:f>
        <x:v>0.2543364203340689</x:v>
      </x:c>
      <x:c r="J8" s="8" t="n">
        <x:f>IF(D8=0,"н.д.",(D8-E8-F8)/D8)</x:f>
        <x:v>0.1306070989221059</x:v>
      </x:c>
      <x:c r="K8" s="6" t="n">
        <x:f>IF(G8=0,"н.д.",D8/H8)</x:f>
        <x:v>866469.1621621621</x:v>
      </x:c>
      <x:c r="L8" s="1" t="n">
        <x:f>SUMIFS('Данные'!$H$2:$H$505,'Данные'!$J$2:$J$505,A8,'Данные'!$B$2:$B$505,B8)</x:f>
        <x:v>9989</x:v>
      </x:c>
      <x:c r="M8" s="1" t="n">
        <x:f>SUMIFS('Данные'!$I$2:$I$505,'Данные'!$J$2:$J$505,A8,'Данные'!$B$2:$B$505,B8)</x:f>
        <x:v>9024</x:v>
      </x:c>
      <x:c r="N8" s="1"/>
      <x:c r="O8" s="1"/>
      <x:c r="P8" s="1"/>
      <x:c r="Q8" s="1"/>
    </x:row>
    <x:row r="9" ht="21" customHeight="1">
      <x:c r="A9" s="5" t="n">
        <x:v>43948</x:v>
      </x:c>
      <x:c r="B9" s="1" t="str">
        <x:v>Краснодар</x:v>
      </x:c>
      <x:c r="C9" s="1" t="n">
        <x:f>COUNTIFS('Данные'!$J$2:$J$505,A9,'Данные'!$B$2:$B$505,B9)</x:f>
        <x:v>6</x:v>
      </x:c>
      <x:c r="D9" s="6" t="n">
        <x:f>SUMIFS('Данные'!$D$2:$D$505,'Данные'!$J$2:$J$505,A9,'Данные'!$B$2:$B$505,B9)</x:f>
        <x:v>13955985</x:v>
      </x:c>
      <x:c r="E9" s="6" t="n">
        <x:f>SUMIFS('Данные'!$E$2:$E$505,'Данные'!$J$2:$J$505,A9,'Данные'!$B$2:$B$505,B9)</x:f>
        <x:v>11045697.334</x:v>
      </x:c>
      <x:c r="F9" s="6" t="n">
        <x:f>SUMIFS('Данные'!$F$2:$F$505,'Данные'!$J$2:$J$505,A9,'Данные'!$B$2:$B$505,B9)</x:f>
        <x:v>629446.8330538461</x:v>
      </x:c>
      <x:c r="G9" s="6" t="n">
        <x:f>SUMIFS('Данные'!$G$2:$G$505,'Данные'!$J$2:$J$505,A9,'Данные'!$B$2:$B$505,B9)</x:f>
        <x:v>112</x:v>
      </x:c>
      <x:c r="H9" s="6" t="n">
        <x:f>IF(C9=0,"н.д.",G9/C9)</x:f>
        <x:v>18.666666666666668</x:v>
      </x:c>
      <x:c r="I9" s="8" t="n">
        <x:f>IF(E9=0,"н.д.",(D9-E9)/E9)</x:f>
        <x:v>0.26347704250792564</x:v>
      </x:c>
      <x:c r="J9" s="8" t="n">
        <x:f>IF(D9=0,"н.д.",(D9-E9-F9)/D9)</x:f>
        <x:v>0.16343101779961453</x:v>
      </x:c>
      <x:c r="K9" s="6" t="n">
        <x:f>IF(G9=0,"н.д.",D9/H9)</x:f>
        <x:v>747642.0535714285</x:v>
      </x:c>
      <x:c r="L9" s="1" t="n">
        <x:f>SUMIFS('Данные'!$H$2:$H$505,'Данные'!$J$2:$J$505,A9,'Данные'!$B$2:$B$505,B9)</x:f>
        <x:v>9273</x:v>
      </x:c>
      <x:c r="M9" s="1" t="n">
        <x:f>SUMIFS('Данные'!$I$2:$I$505,'Данные'!$J$2:$J$505,A9,'Данные'!$B$2:$B$505,B9)</x:f>
        <x:v>8387</x:v>
      </x:c>
      <x:c r="N9" s="1"/>
      <x:c r="O9" s="1"/>
      <x:c r="P9" s="1"/>
      <x:c r="Q9" s="1"/>
    </x:row>
    <x:row r="10" ht="21" customHeight="1">
      <x:c r="A10" s="5" t="n">
        <x:v>43948</x:v>
      </x:c>
      <x:c r="B10" s="1" t="str">
        <x:v>Москва Восток</x:v>
      </x:c>
      <x:c r="C10" s="1" t="n">
        <x:f>COUNTIFS('Данные'!$J$2:$J$505,A10,'Данные'!$B$2:$B$505,B10)</x:f>
        <x:v>6</x:v>
      </x:c>
      <x:c r="D10" s="6" t="n">
        <x:f>SUMIFS('Данные'!$D$2:$D$505,'Данные'!$J$2:$J$505,A10,'Данные'!$B$2:$B$505,B10)</x:f>
        <x:v>130713645</x:v>
      </x:c>
      <x:c r="E10" s="6" t="n">
        <x:f>SUMIFS('Данные'!$E$2:$E$505,'Данные'!$J$2:$J$505,A10,'Данные'!$B$2:$B$505,B10)</x:f>
        <x:v>95093708.69</x:v>
      </x:c>
      <x:c r="F10" s="6" t="n">
        <x:f>SUMIFS('Данные'!$F$2:$F$505,'Данные'!$J$2:$J$505,A10,'Данные'!$B$2:$B$505,B10)</x:f>
        <x:v>1689967.6840000001</x:v>
      </x:c>
      <x:c r="G10" s="6" t="n">
        <x:f>SUMIFS('Данные'!$G$2:$G$505,'Данные'!$J$2:$J$505,A10,'Данные'!$B$2:$B$505,B10)</x:f>
        <x:v>324</x:v>
      </x:c>
      <x:c r="H10" s="6" t="n">
        <x:f>IF(C10=0,"н.д.",G10/C10)</x:f>
        <x:v>54</x:v>
      </x:c>
      <x:c r="I10" s="8" t="n">
        <x:f>IF(E10=0,"н.д.",(D10-E10)/E10)</x:f>
        <x:v>0.37457721231715696</x:v>
      </x:c>
      <x:c r="J10" s="8" t="n">
        <x:f>IF(D10=0,"н.д.",(D10-E10-F10)/D10)</x:f>
        <x:v>0.2595748028141974</x:v>
      </x:c>
      <x:c r="K10" s="6" t="n">
        <x:f>IF(G10=0,"н.д.",D10/H10)</x:f>
        <x:v>2420623.0555555555</x:v>
      </x:c>
      <x:c r="L10" s="1" t="n">
        <x:f>SUMIFS('Данные'!$H$2:$H$505,'Данные'!$J$2:$J$505,A10,'Данные'!$B$2:$B$505,B10)</x:f>
        <x:v>78520</x:v>
      </x:c>
      <x:c r="M10" s="1" t="n">
        <x:f>SUMIFS('Данные'!$I$2:$I$505,'Данные'!$J$2:$J$505,A10,'Данные'!$B$2:$B$505,B10)</x:f>
        <x:v>72812</x:v>
      </x:c>
      <x:c r="N10" s="1"/>
      <x:c r="O10" s="1"/>
      <x:c r="P10" s="1"/>
      <x:c r="Q10" s="1"/>
    </x:row>
    <x:row r="11" ht="21" customHeight="1">
      <x:c r="A11" s="5" t="n">
        <x:v>43948</x:v>
      </x:c>
      <x:c r="B11" s="1" t="str">
        <x:v>Москва Запад</x:v>
      </x:c>
      <x:c r="C11" s="1" t="n">
        <x:f>COUNTIFS('Данные'!$J$2:$J$505,A11,'Данные'!$B$2:$B$505,B11)</x:f>
        <x:v>6</x:v>
      </x:c>
      <x:c r="D11" s="6" t="n">
        <x:f>SUMIFS('Данные'!$D$2:$D$505,'Данные'!$J$2:$J$505,A11,'Данные'!$B$2:$B$505,B11)</x:f>
        <x:v>136791225</x:v>
      </x:c>
      <x:c r="E11" s="6" t="n">
        <x:f>SUMIFS('Данные'!$E$2:$E$505,'Данные'!$J$2:$J$505,A11,'Данные'!$B$2:$B$505,B11)</x:f>
        <x:v>99555154.792</x:v>
      </x:c>
      <x:c r="F11" s="6" t="n">
        <x:f>SUMIFS('Данные'!$F$2:$F$505,'Данные'!$J$2:$J$505,A11,'Данные'!$B$2:$B$505,B11)</x:f>
        <x:v>1630325.1784615384</x:v>
      </x:c>
      <x:c r="G11" s="6" t="n">
        <x:f>SUMIFS('Данные'!$G$2:$G$505,'Данные'!$J$2:$J$505,A11,'Данные'!$B$2:$B$505,B11)</x:f>
        <x:v>354</x:v>
      </x:c>
      <x:c r="H11" s="6" t="n">
        <x:f>IF(C11=0,"н.д.",G11/C11)</x:f>
        <x:v>59</x:v>
      </x:c>
      <x:c r="I11" s="8" t="n">
        <x:f>IF(E11=0,"н.д.",(D11-E11)/E11)</x:f>
        <x:v>0.3740245322886304</x:v>
      </x:c>
      <x:c r="J11" s="8" t="n">
        <x:f>IF(D11=0,"н.д.",(D11-E11-F11)/D11)</x:f>
        <x:v>0.260292610359608</x:v>
      </x:c>
      <x:c r="K11" s="6" t="n">
        <x:f>IF(G11=0,"н.д.",D11/H11)</x:f>
        <x:v>2318495.338983051</x:v>
      </x:c>
      <x:c r="L11" s="1" t="n">
        <x:f>SUMIFS('Данные'!$H$2:$H$505,'Данные'!$J$2:$J$505,A11,'Данные'!$B$2:$B$505,B11)</x:f>
        <x:v>82308</x:v>
      </x:c>
      <x:c r="M11" s="1" t="n">
        <x:f>SUMIFS('Данные'!$I$2:$I$505,'Данные'!$J$2:$J$505,A11,'Данные'!$B$2:$B$505,B11)</x:f>
        <x:v>76091</x:v>
      </x:c>
      <x:c r="N11" s="1"/>
      <x:c r="O11" s="1"/>
      <x:c r="P11" s="1"/>
      <x:c r="Q11" s="1"/>
    </x:row>
    <x:row r="12" ht="21" customHeight="1">
      <x:c r="A12" s="5" t="n">
        <x:v>43948</x:v>
      </x:c>
      <x:c r="B12" s="1" t="str">
        <x:v>Нижний Новгород</x:v>
      </x:c>
      <x:c r="C12" s="1" t="n">
        <x:f>COUNTIFS('Данные'!$J$2:$J$505,A12,'Данные'!$B$2:$B$505,B12)</x:f>
        <x:v>6</x:v>
      </x:c>
      <x:c r="D12" s="6" t="n">
        <x:f>SUMIFS('Данные'!$D$2:$D$505,'Данные'!$J$2:$J$505,A12,'Данные'!$B$2:$B$505,B12)</x:f>
        <x:v>13145965.5</x:v>
      </x:c>
      <x:c r="E12" s="6" t="n">
        <x:f>SUMIFS('Данные'!$E$2:$E$505,'Данные'!$J$2:$J$505,A12,'Данные'!$B$2:$B$505,B12)</x:f>
        <x:v>10548760.712</x:v>
      </x:c>
      <x:c r="F12" s="6" t="n">
        <x:f>SUMIFS('Данные'!$F$2:$F$505,'Данные'!$J$2:$J$505,A12,'Данные'!$B$2:$B$505,B12)</x:f>
        <x:v>1030247.6045076924</x:v>
      </x:c>
      <x:c r="G12" s="6" t="n">
        <x:f>SUMIFS('Данные'!$G$2:$G$505,'Данные'!$J$2:$J$505,A12,'Данные'!$B$2:$B$505,B12)</x:f>
        <x:v>111</x:v>
      </x:c>
      <x:c r="H12" s="6" t="n">
        <x:f>IF(C12=0,"н.д.",G12/C12)</x:f>
        <x:v>18.5</x:v>
      </x:c>
      <x:c r="I12" s="8" t="n">
        <x:f>IF(E12=0,"н.д.",(D12-E12)/E12)</x:f>
        <x:v>0.24620947037366078</x:v>
      </x:c>
      <x:c r="J12" s="8" t="n">
        <x:f>IF(D12=0,"н.д.",(D12-E12-F12)/D12)</x:f>
        <x:v>0.1191968123978652</x:v>
      </x:c>
      <x:c r="K12" s="6" t="n">
        <x:f>IF(G12=0,"н.д.",D12/H12)</x:f>
        <x:v>710592.7297297297</x:v>
      </x:c>
      <x:c r="L12" s="1" t="n">
        <x:f>SUMIFS('Данные'!$H$2:$H$505,'Данные'!$J$2:$J$505,A12,'Данные'!$B$2:$B$505,B12)</x:f>
        <x:v>8588</x:v>
      </x:c>
      <x:c r="M12" s="1" t="n">
        <x:f>SUMIFS('Данные'!$I$2:$I$505,'Данные'!$J$2:$J$505,A12,'Данные'!$B$2:$B$505,B12)</x:f>
        <x:v>7529</x:v>
      </x:c>
      <x:c r="N12" s="1"/>
      <x:c r="O12" s="1"/>
      <x:c r="P12" s="1"/>
      <x:c r="Q12" s="1"/>
    </x:row>
    <x:row r="13" ht="21" customHeight="1">
      <x:c r="A13" s="5" t="n">
        <x:v>43948</x:v>
      </x:c>
      <x:c r="B13" s="1" t="str">
        <x:v>Новосибирск</x:v>
      </x:c>
      <x:c r="C13" s="1" t="n">
        <x:f>COUNTIFS('Данные'!$J$2:$J$505,A13,'Данные'!$B$2:$B$505,B13)</x:f>
        <x:v>6</x:v>
      </x:c>
      <x:c r="D13" s="6" t="n">
        <x:f>SUMIFS('Данные'!$D$2:$D$505,'Данные'!$J$2:$J$505,A13,'Данные'!$B$2:$B$505,B13)</x:f>
        <x:v>5746024.5</x:v>
      </x:c>
      <x:c r="E13" s="6" t="n">
        <x:f>SUMIFS('Данные'!$E$2:$E$505,'Данные'!$J$2:$J$505,A13,'Данные'!$B$2:$B$505,B13)</x:f>
        <x:v>4970972.193</x:v>
      </x:c>
      <x:c r="F13" s="6" t="n">
        <x:f>SUMIFS('Данные'!$F$2:$F$505,'Данные'!$J$2:$J$505,A13,'Данные'!$B$2:$B$505,B13)</x:f>
        <x:v>702743.844676923</x:v>
      </x:c>
      <x:c r="G13" s="6" t="n">
        <x:f>SUMIFS('Данные'!$G$2:$G$505,'Данные'!$J$2:$J$505,A13,'Данные'!$B$2:$B$505,B13)</x:f>
        <x:v>90</x:v>
      </x:c>
      <x:c r="H13" s="6" t="n">
        <x:f>IF(C13=0,"н.д.",G13/C13)</x:f>
        <x:v>15</x:v>
      </x:c>
      <x:c r="I13" s="8" t="n">
        <x:f>IF(E13=0,"н.д.",(D13-E13)/E13)</x:f>
        <x:v>0.15591563921669277</x:v>
      </x:c>
      <x:c r="J13" s="8" t="n">
        <x:f>IF(D13=0,"н.д.",(D13-E13-F13)/D13)</x:f>
        <x:v>0.012584085278974536</x:v>
      </x:c>
      <x:c r="K13" s="6" t="n">
        <x:f>IF(G13=0,"н.д.",D13/H13)</x:f>
        <x:v>383068.3</x:v>
      </x:c>
      <x:c r="L13" s="1" t="n">
        <x:f>SUMIFS('Данные'!$H$2:$H$505,'Данные'!$J$2:$J$505,A13,'Данные'!$B$2:$B$505,B13)</x:f>
        <x:v>3812</x:v>
      </x:c>
      <x:c r="M13" s="1" t="n">
        <x:f>SUMIFS('Данные'!$I$2:$I$505,'Данные'!$J$2:$J$505,A13,'Данные'!$B$2:$B$505,B13)</x:f>
        <x:v>3292</x:v>
      </x:c>
      <x:c r="N13" s="1"/>
      <x:c r="O13" s="1"/>
      <x:c r="P13" s="1"/>
      <x:c r="Q13" s="1"/>
    </x:row>
    <x:row r="14" ht="21" customHeight="1">
      <x:c r="A14" s="5" t="n">
        <x:v>43948</x:v>
      </x:c>
      <x:c r="B14" s="1" t="str">
        <x:v>Пермь</x:v>
      </x:c>
      <x:c r="C14" s="1" t="n">
        <x:f>COUNTIFS('Данные'!$J$2:$J$505,A14,'Данные'!$B$2:$B$505,B14)</x:f>
        <x:v>6</x:v>
      </x:c>
      <x:c r="D14" s="6" t="n">
        <x:f>SUMIFS('Данные'!$D$2:$D$505,'Данные'!$J$2:$J$505,A14,'Данные'!$B$2:$B$505,B14)</x:f>
        <x:v>6961020</x:v>
      </x:c>
      <x:c r="E14" s="6" t="n">
        <x:f>SUMIFS('Данные'!$E$2:$E$505,'Данные'!$J$2:$J$505,A14,'Данные'!$B$2:$B$505,B14)</x:f>
        <x:v>5685820.9520000005</x:v>
      </x:c>
      <x:c r="F14" s="6" t="n">
        <x:f>SUMIFS('Данные'!$F$2:$F$505,'Данные'!$J$2:$J$505,A14,'Данные'!$B$2:$B$505,B14)</x:f>
        <x:v>1020574.4484</x:v>
      </x:c>
      <x:c r="G14" s="6" t="n">
        <x:f>SUMIFS('Данные'!$G$2:$G$505,'Данные'!$J$2:$J$505,A14,'Данные'!$B$2:$B$505,B14)</x:f>
        <x:v>90</x:v>
      </x:c>
      <x:c r="H14" s="6" t="n">
        <x:f>IF(C14=0,"н.д.",G14/C14)</x:f>
        <x:v>15</x:v>
      </x:c>
      <x:c r="I14" s="8" t="n">
        <x:f>IF(E14=0,"н.д.",(D14-E14)/E14)</x:f>
        <x:v>0.22427703207070657</x:v>
      </x:c>
      <x:c r="J14" s="8" t="n">
        <x:f>IF(D14=0,"н.д.",(D14-E14-F14)/D14)</x:f>
        <x:v>0.03657863353359127</x:v>
      </x:c>
      <x:c r="K14" s="6" t="n">
        <x:f>IF(G14=0,"н.д.",D14/H14)</x:f>
        <x:v>464068</x:v>
      </x:c>
      <x:c r="L14" s="1" t="n">
        <x:f>SUMIFS('Данные'!$H$2:$H$505,'Данные'!$J$2:$J$505,A14,'Данные'!$B$2:$B$505,B14)</x:f>
        <x:v>4888</x:v>
      </x:c>
      <x:c r="M14" s="1" t="n">
        <x:f>SUMIFS('Данные'!$I$2:$I$505,'Данные'!$J$2:$J$505,A14,'Данные'!$B$2:$B$505,B14)</x:f>
        <x:v>4311</x:v>
      </x:c>
      <x:c r="N14" s="1"/>
      <x:c r="O14" s="1"/>
      <x:c r="P14" s="1"/>
      <x:c r="Q14" s="1"/>
    </x:row>
    <x:row r="15" ht="21" customHeight="1">
      <x:c r="A15" s="5" t="n">
        <x:v>43948</x:v>
      </x:c>
      <x:c r="B15" s="1" t="str">
        <x:v>Ростов-на-Дону</x:v>
      </x:c>
      <x:c r="C15" s="1" t="n">
        <x:f>COUNTIFS('Данные'!$J$2:$J$505,A15,'Данные'!$B$2:$B$505,B15)</x:f>
        <x:v>4</x:v>
      </x:c>
      <x:c r="D15" s="6" t="n">
        <x:f>SUMIFS('Данные'!$D$2:$D$505,'Данные'!$J$2:$J$505,A15,'Данные'!$B$2:$B$505,B15)</x:f>
        <x:v>2008809</x:v>
      </x:c>
      <x:c r="E15" s="6" t="n">
        <x:f>SUMIFS('Данные'!$E$2:$E$505,'Данные'!$J$2:$J$505,A15,'Данные'!$B$2:$B$505,B15)</x:f>
        <x:v>1777068.412</x:v>
      </x:c>
      <x:c r="F15" s="6" t="n">
        <x:f>SUMIFS('Данные'!$F$2:$F$505,'Данные'!$J$2:$J$505,A15,'Данные'!$B$2:$B$505,B15)</x:f>
        <x:v>215405.9196461538</x:v>
      </x:c>
      <x:c r="G15" s="6" t="n">
        <x:f>SUMIFS('Данные'!$G$2:$G$505,'Данные'!$J$2:$J$505,A15,'Данные'!$B$2:$B$505,B15)</x:f>
        <x:v>60</x:v>
      </x:c>
      <x:c r="H15" s="6" t="n">
        <x:f>IF(C15=0,"н.д.",G15/C15)</x:f>
        <x:v>15</x:v>
      </x:c>
      <x:c r="I15" s="8" t="n">
        <x:f>IF(E15=0,"н.д.",(D15-E15)/E15)</x:f>
        <x:v>0.13040611516986436</x:v>
      </x:c>
      <x:c r="J15" s="8" t="n">
        <x:f>IF(D15=0,"н.д.",(D15-E15-F15)/D15)</x:f>
        <x:v>0.008131518901919585</x:v>
      </x:c>
      <x:c r="K15" s="6" t="n">
        <x:f>IF(G15=0,"н.д.",D15/H15)</x:f>
        <x:v>133920.6</x:v>
      </x:c>
      <x:c r="L15" s="1" t="n">
        <x:f>SUMIFS('Данные'!$H$2:$H$505,'Данные'!$J$2:$J$505,A15,'Данные'!$B$2:$B$505,B15)</x:f>
        <x:v>1285</x:v>
      </x:c>
      <x:c r="M15" s="1" t="n">
        <x:f>SUMIFS('Данные'!$I$2:$I$505,'Данные'!$J$2:$J$505,A15,'Данные'!$B$2:$B$505,B15)</x:f>
        <x:v>1007</x:v>
      </x:c>
      <x:c r="N15" s="1"/>
      <x:c r="O15" s="1"/>
      <x:c r="P15" s="1"/>
      <x:c r="Q15" s="1"/>
    </x:row>
    <x:row r="16" ht="21" customHeight="1">
      <x:c r="A16" s="5" t="n">
        <x:v>43948</x:v>
      </x:c>
      <x:c r="B16" s="1" t="str">
        <x:v>Самара</x:v>
      </x:c>
      <x:c r="C16" s="1" t="n">
        <x:f>COUNTIFS('Данные'!$J$2:$J$505,A16,'Данные'!$B$2:$B$505,B16)</x:f>
        <x:v>0</x:v>
      </x:c>
      <x:c r="D16" s="6" t="n">
        <x:f>SUMIFS('Данные'!$D$2:$D$505,'Данные'!$J$2:$J$505,A16,'Данные'!$B$2:$B$505,B16)</x:f>
        <x:v>0</x:v>
      </x:c>
      <x:c r="E16" s="6" t="n">
        <x:f>SUMIFS('Данные'!$E$2:$E$505,'Данные'!$J$2:$J$505,A16,'Данные'!$B$2:$B$505,B16)</x:f>
        <x:v>0</x:v>
      </x:c>
      <x:c r="F16" s="6" t="n">
        <x:f>SUMIFS('Данные'!$F$2:$F$505,'Данные'!$J$2:$J$505,A16,'Данные'!$B$2:$B$505,B16)</x:f>
        <x:v>0</x:v>
      </x:c>
      <x:c r="G16" s="6" t="n">
        <x:f>SUMIFS('Данные'!$G$2:$G$505,'Данные'!$J$2:$J$505,A16,'Данные'!$B$2:$B$505,B16)</x:f>
        <x:v>0</x:v>
      </x:c>
      <x:c r="H16" s="6" t="str">
        <x:f>IF(C16=0,"н.д.",G16/C16)</x:f>
        <x:v>н.д.</x:v>
      </x:c>
      <x:c r="I16" s="8" t="str">
        <x:f>IF(E16=0,"н.д.",(D16-E16)/E16)</x:f>
        <x:v>н.д.</x:v>
      </x:c>
      <x:c r="J16" s="8" t="str">
        <x:f>IF(D16=0,"н.д.",(D16-E16-F16)/D16)</x:f>
        <x:v>н.д.</x:v>
      </x:c>
      <x:c r="K16" s="6" t="str">
        <x:f>IF(G16=0,"н.д.",D16/H16)</x:f>
        <x:v>н.д.</x:v>
      </x:c>
      <x:c r="L16" s="1" t="n">
        <x:f>SUMIFS('Данные'!$H$2:$H$505,'Данные'!$J$2:$J$505,A16,'Данные'!$B$2:$B$505,B16)</x:f>
        <x:v>0</x:v>
      </x:c>
      <x:c r="M16" s="1" t="n">
        <x:f>SUMIFS('Данные'!$I$2:$I$505,'Данные'!$J$2:$J$505,A16,'Данные'!$B$2:$B$505,B16)</x:f>
        <x:v>0</x:v>
      </x:c>
      <x:c r="N16" s="1"/>
      <x:c r="O16" s="1"/>
      <x:c r="P16" s="1"/>
      <x:c r="Q16" s="1"/>
    </x:row>
    <x:row r="17" ht="21" customHeight="1">
      <x:c r="A17" s="5" t="n">
        <x:v>43948</x:v>
      </x:c>
      <x:c r="B17" s="1" t="str">
        <x:v>Санкт-Петербург Север</x:v>
      </x:c>
      <x:c r="C17" s="1" t="n">
        <x:f>COUNTIFS('Данные'!$J$2:$J$505,A17,'Данные'!$B$2:$B$505,B17)</x:f>
        <x:v>6</x:v>
      </x:c>
      <x:c r="D17" s="6" t="n">
        <x:f>SUMIFS('Данные'!$D$2:$D$505,'Данные'!$J$2:$J$505,A17,'Данные'!$B$2:$B$505,B17)</x:f>
        <x:v>233059077</x:v>
      </x:c>
      <x:c r="E17" s="6" t="n">
        <x:f>SUMIFS('Данные'!$E$2:$E$505,'Данные'!$J$2:$J$505,A17,'Данные'!$B$2:$B$505,B17)</x:f>
        <x:v>169456344.505</x:v>
      </x:c>
      <x:c r="F17" s="6" t="n">
        <x:f>SUMIFS('Данные'!$F$2:$F$505,'Данные'!$J$2:$J$505,A17,'Данные'!$B$2:$B$505,B17)</x:f>
        <x:v>3925137.1901</x:v>
      </x:c>
      <x:c r="G17" s="6" t="n">
        <x:f>SUMIFS('Данные'!$G$2:$G$505,'Данные'!$J$2:$J$505,A17,'Данные'!$B$2:$B$505,B17)</x:f>
        <x:v>750</x:v>
      </x:c>
      <x:c r="H17" s="6" t="n">
        <x:f>IF(C17=0,"н.д.",G17/C17)</x:f>
        <x:v>125</x:v>
      </x:c>
      <x:c r="I17" s="8" t="n">
        <x:f>IF(E17=0,"н.д.",(D17-E17)/E17)</x:f>
        <x:v>0.37533402883669154</x:v>
      </x:c>
      <x:c r="J17" s="8" t="n">
        <x:f>IF(D17=0,"н.д.",(D17-E17-F17)/D17)</x:f>
        <x:v>0.25606209409685426</x:v>
      </x:c>
      <x:c r="K17" s="6" t="n">
        <x:f>IF(G17=0,"н.д.",D17/H17)</x:f>
        <x:v>1864472.616</x:v>
      </x:c>
      <x:c r="L17" s="1" t="n">
        <x:f>SUMIFS('Данные'!$H$2:$H$505,'Данные'!$J$2:$J$505,A17,'Данные'!$B$2:$B$505,B17)</x:f>
        <x:v>121540</x:v>
      </x:c>
      <x:c r="M17" s="1" t="n">
        <x:f>SUMIFS('Данные'!$I$2:$I$505,'Данные'!$J$2:$J$505,A17,'Данные'!$B$2:$B$505,B17)</x:f>
        <x:v>112130</x:v>
      </x:c>
      <x:c r="N17" s="1"/>
      <x:c r="O17" s="1"/>
      <x:c r="P17" s="1"/>
      <x:c r="Q17" s="1"/>
    </x:row>
    <x:row r="18" ht="21" customHeight="1">
      <x:c r="A18" s="5" t="n">
        <x:v>43948</x:v>
      </x:c>
      <x:c r="B18" s="1" t="str">
        <x:v>Санкт-Петербург Юг</x:v>
      </x:c>
      <x:c r="C18" s="1" t="n">
        <x:f>COUNTIFS('Данные'!$J$2:$J$505,A18,'Данные'!$B$2:$B$505,B18)</x:f>
        <x:v>6</x:v>
      </x:c>
      <x:c r="D18" s="6" t="n">
        <x:f>SUMIFS('Данные'!$D$2:$D$505,'Данные'!$J$2:$J$505,A18,'Данные'!$B$2:$B$505,B18)</x:f>
        <x:v>176269533</x:v>
      </x:c>
      <x:c r="E18" s="6" t="n">
        <x:f>SUMIFS('Данные'!$E$2:$E$505,'Данные'!$J$2:$J$505,A18,'Данные'!$B$2:$B$505,B18)</x:f>
        <x:v>128842901.17900002</x:v>
      </x:c>
      <x:c r="F18" s="6" t="n">
        <x:f>SUMIFS('Данные'!$F$2:$F$505,'Данные'!$J$2:$J$505,A18,'Данные'!$B$2:$B$505,B18)</x:f>
        <x:v>3874828.5075615384</x:v>
      </x:c>
      <x:c r="G18" s="6" t="n">
        <x:f>SUMIFS('Данные'!$G$2:$G$505,'Данные'!$J$2:$J$505,A18,'Данные'!$B$2:$B$505,B18)</x:f>
        <x:v>772</x:v>
      </x:c>
      <x:c r="H18" s="6" t="n">
        <x:f>IF(C18=0,"н.д.",G18/C18)</x:f>
        <x:v>128.66666666666666</x:v>
      </x:c>
      <x:c r="I18" s="8" t="n">
        <x:f>IF(E18=0,"н.д.",(D18-E18)/E18)</x:f>
        <x:v>0.3680965841890713</x:v>
      </x:c>
      <x:c r="J18" s="8" t="n">
        <x:f>IF(D18=0,"н.д.",(D18-E18-F18)/D18)</x:f>
        <x:v>0.24707504792355947</x:v>
      </x:c>
      <x:c r="K18" s="6" t="n">
        <x:f>IF(G18=0,"н.д.",D18/H18)</x:f>
        <x:v>1369970.4637305702</x:v>
      </x:c>
      <x:c r="L18" s="1" t="n">
        <x:f>SUMIFS('Данные'!$H$2:$H$505,'Данные'!$J$2:$J$505,A18,'Данные'!$B$2:$B$505,B18)</x:f>
        <x:v>98649</x:v>
      </x:c>
      <x:c r="M18" s="1" t="n">
        <x:f>SUMIFS('Данные'!$I$2:$I$505,'Данные'!$J$2:$J$505,A18,'Данные'!$B$2:$B$505,B18)</x:f>
        <x:v>91142</x:v>
      </x:c>
      <x:c r="N18" s="1"/>
      <x:c r="O18" s="1"/>
      <x:c r="P18" s="1"/>
      <x:c r="Q18" s="1"/>
    </x:row>
    <x:row r="19" ht="21" customHeight="1">
      <x:c r="A19" s="5" t="n">
        <x:v>43948</x:v>
      </x:c>
      <x:c r="B19" s="1" t="str">
        <x:v>Тольятти</x:v>
      </x:c>
      <x:c r="C19" s="1" t="n">
        <x:f>COUNTIFS('Данные'!$J$2:$J$505,A19,'Данные'!$B$2:$B$505,B19)</x:f>
        <x:v>6</x:v>
      </x:c>
      <x:c r="D19" s="6" t="n">
        <x:f>SUMIFS('Данные'!$D$2:$D$505,'Данные'!$J$2:$J$505,A19,'Данные'!$B$2:$B$505,B19)</x:f>
        <x:v>4531000.5</x:v>
      </x:c>
      <x:c r="E19" s="6" t="n">
        <x:f>SUMIFS('Данные'!$E$2:$E$505,'Данные'!$J$2:$J$505,A19,'Данные'!$B$2:$B$505,B19)</x:f>
        <x:v>4325083.237</x:v>
      </x:c>
      <x:c r="F19" s="6" t="n">
        <x:f>SUMIFS('Данные'!$F$2:$F$505,'Данные'!$J$2:$J$505,A19,'Данные'!$B$2:$B$505,B19)</x:f>
        <x:v>449574.07804615377</x:v>
      </x:c>
      <x:c r="G19" s="6" t="n">
        <x:f>SUMIFS('Данные'!$G$2:$G$505,'Данные'!$J$2:$J$505,A19,'Данные'!$B$2:$B$505,B19)</x:f>
        <x:v>60</x:v>
      </x:c>
      <x:c r="H19" s="6" t="n">
        <x:f>IF(C19=0,"н.д.",G19/C19)</x:f>
        <x:v>10</x:v>
      </x:c>
      <x:c r="I19" s="8" t="n">
        <x:f>IF(E19=0,"н.д.",(D19-E19)/E19)</x:f>
        <x:v>0.04761001158045465</x:v>
      </x:c>
      <x:c r="J19" s="8" t="n">
        <x:f>IF(D19=0,"н.д.",(D19-E19-F19)/D19)</x:f>
        <x:v>-0.05377549948320542</x:v>
      </x:c>
      <x:c r="K19" s="6" t="n">
        <x:f>IF(G19=0,"н.д.",D19/H19)</x:f>
        <x:v>453100.05</x:v>
      </x:c>
      <x:c r="L19" s="1" t="n">
        <x:f>SUMIFS('Данные'!$H$2:$H$505,'Данные'!$J$2:$J$505,A19,'Данные'!$B$2:$B$505,B19)</x:f>
        <x:v>2902</x:v>
      </x:c>
      <x:c r="M19" s="1" t="n">
        <x:f>SUMIFS('Данные'!$I$2:$I$505,'Данные'!$J$2:$J$505,A19,'Данные'!$B$2:$B$505,B19)</x:f>
        <x:v>2461</x:v>
      </x:c>
      <x:c r="N19" s="1"/>
      <x:c r="O19" s="1"/>
      <x:c r="P19" s="1"/>
      <x:c r="Q19" s="1"/>
    </x:row>
    <x:row r="20" ht="21" customHeight="1">
      <x:c r="A20" s="5" t="n">
        <x:v>43948</x:v>
      </x:c>
      <x:c r="B20" s="1" t="str">
        <x:v>Томск</x:v>
      </x:c>
      <x:c r="C20" s="1" t="n">
        <x:f>COUNTIFS('Данные'!$J$2:$J$505,A20,'Данные'!$B$2:$B$505,B20)</x:f>
        <x:v>0</x:v>
      </x:c>
      <x:c r="D20" s="6" t="n">
        <x:f>SUMIFS('Данные'!$D$2:$D$505,'Данные'!$J$2:$J$505,A20,'Данные'!$B$2:$B$505,B20)</x:f>
        <x:v>0</x:v>
      </x:c>
      <x:c r="E20" s="6" t="n">
        <x:f>SUMIFS('Данные'!$E$2:$E$505,'Данные'!$J$2:$J$505,A20,'Данные'!$B$2:$B$505,B20)</x:f>
        <x:v>0</x:v>
      </x:c>
      <x:c r="F20" s="6" t="n">
        <x:f>SUMIFS('Данные'!$F$2:$F$505,'Данные'!$J$2:$J$505,A20,'Данные'!$B$2:$B$505,B20)</x:f>
        <x:v>0</x:v>
      </x:c>
      <x:c r="G20" s="6" t="n">
        <x:f>SUMIFS('Данные'!$G$2:$G$505,'Данные'!$J$2:$J$505,A20,'Данные'!$B$2:$B$505,B20)</x:f>
        <x:v>0</x:v>
      </x:c>
      <x:c r="H20" s="6" t="str">
        <x:f>IF(C20=0,"н.д.",G20/C20)</x:f>
        <x:v>н.д.</x:v>
      </x:c>
      <x:c r="I20" s="8" t="str">
        <x:f>IF(E20=0,"н.д.",(D20-E20)/E20)</x:f>
        <x:v>н.д.</x:v>
      </x:c>
      <x:c r="J20" s="8" t="str">
        <x:f>IF(D20=0,"н.д.",(D20-E20-F20)/D20)</x:f>
        <x:v>н.д.</x:v>
      </x:c>
      <x:c r="K20" s="6" t="str">
        <x:f>IF(G20=0,"н.д.",D20/H20)</x:f>
        <x:v>н.д.</x:v>
      </x:c>
      <x:c r="L20" s="1" t="n">
        <x:f>SUMIFS('Данные'!$H$2:$H$505,'Данные'!$J$2:$J$505,A20,'Данные'!$B$2:$B$505,B20)</x:f>
        <x:v>0</x:v>
      </x:c>
      <x:c r="M20" s="1" t="n">
        <x:f>SUMIFS('Данные'!$I$2:$I$505,'Данные'!$J$2:$J$505,A20,'Данные'!$B$2:$B$505,B20)</x:f>
        <x:v>0</x:v>
      </x:c>
      <x:c r="N20" s="1"/>
      <x:c r="O20" s="1"/>
      <x:c r="P20" s="1"/>
      <x:c r="Q20" s="1"/>
    </x:row>
    <x:row r="21" ht="21" customHeight="1">
      <x:c r="A21" s="5" t="n">
        <x:v>43948</x:v>
      </x:c>
      <x:c r="B21" s="1" t="str">
        <x:v>Тюмень</x:v>
      </x:c>
      <x:c r="C21" s="1" t="n">
        <x:f>COUNTIFS('Данные'!$J$2:$J$505,A21,'Данные'!$B$2:$B$505,B21)</x:f>
        <x:v>0</x:v>
      </x:c>
      <x:c r="D21" s="6" t="n">
        <x:f>SUMIFS('Данные'!$D$2:$D$505,'Данные'!$J$2:$J$505,A21,'Данные'!$B$2:$B$505,B21)</x:f>
        <x:v>0</x:v>
      </x:c>
      <x:c r="E21" s="6" t="n">
        <x:f>SUMIFS('Данные'!$E$2:$E$505,'Данные'!$J$2:$J$505,A21,'Данные'!$B$2:$B$505,B21)</x:f>
        <x:v>0</x:v>
      </x:c>
      <x:c r="F21" s="6" t="n">
        <x:f>SUMIFS('Данные'!$F$2:$F$505,'Данные'!$J$2:$J$505,A21,'Данные'!$B$2:$B$505,B21)</x:f>
        <x:v>0</x:v>
      </x:c>
      <x:c r="G21" s="6" t="n">
        <x:f>SUMIFS('Данные'!$G$2:$G$505,'Данные'!$J$2:$J$505,A21,'Данные'!$B$2:$B$505,B21)</x:f>
        <x:v>0</x:v>
      </x:c>
      <x:c r="H21" s="6" t="str">
        <x:f>IF(C21=0,"н.д.",G21/C21)</x:f>
        <x:v>н.д.</x:v>
      </x:c>
      <x:c r="I21" s="8" t="str">
        <x:f>IF(E21=0,"н.д.",(D21-E21)/E21)</x:f>
        <x:v>н.д.</x:v>
      </x:c>
      <x:c r="J21" s="8" t="str">
        <x:f>IF(D21=0,"н.д.",(D21-E21-F21)/D21)</x:f>
        <x:v>н.д.</x:v>
      </x:c>
      <x:c r="K21" s="6" t="str">
        <x:f>IF(G21=0,"н.д.",D21/H21)</x:f>
        <x:v>н.д.</x:v>
      </x:c>
      <x:c r="L21" s="1" t="n">
        <x:f>SUMIFS('Данные'!$H$2:$H$505,'Данные'!$J$2:$J$505,A21,'Данные'!$B$2:$B$505,B21)</x:f>
        <x:v>0</x:v>
      </x:c>
      <x:c r="M21" s="1" t="n">
        <x:f>SUMIFS('Данные'!$I$2:$I$505,'Данные'!$J$2:$J$505,A21,'Данные'!$B$2:$B$505,B21)</x:f>
        <x:v>0</x:v>
      </x:c>
      <x:c r="N21" s="1"/>
      <x:c r="O21" s="1"/>
      <x:c r="P21" s="1"/>
      <x:c r="Q21" s="1"/>
    </x:row>
    <x:row r="22" ht="21" customHeight="1">
      <x:c r="A22" s="5" t="n">
        <x:v>43948</x:v>
      </x:c>
      <x:c r="B22" s="1" t="str">
        <x:v>Уфа</x:v>
      </x:c>
      <x:c r="C22" s="1" t="n">
        <x:f>COUNTIFS('Данные'!$J$2:$J$505,A22,'Данные'!$B$2:$B$505,B22)</x:f>
        <x:v>0</x:v>
      </x:c>
      <x:c r="D22" s="6" t="n">
        <x:f>SUMIFS('Данные'!$D$2:$D$505,'Данные'!$J$2:$J$505,A22,'Данные'!$B$2:$B$505,B22)</x:f>
        <x:v>0</x:v>
      </x:c>
      <x:c r="E22" s="6" t="n">
        <x:f>SUMIFS('Данные'!$E$2:$E$505,'Данные'!$J$2:$J$505,A22,'Данные'!$B$2:$B$505,B22)</x:f>
        <x:v>0</x:v>
      </x:c>
      <x:c r="F22" s="6" t="n">
        <x:f>SUMIFS('Данные'!$F$2:$F$505,'Данные'!$J$2:$J$505,A22,'Данные'!$B$2:$B$505,B22)</x:f>
        <x:v>0</x:v>
      </x:c>
      <x:c r="G22" s="6" t="n">
        <x:f>SUMIFS('Данные'!$G$2:$G$505,'Данные'!$J$2:$J$505,A22,'Данные'!$B$2:$B$505,B22)</x:f>
        <x:v>0</x:v>
      </x:c>
      <x:c r="H22" s="6" t="str">
        <x:f>IF(C22=0,"н.д.",G22/C22)</x:f>
        <x:v>н.д.</x:v>
      </x:c>
      <x:c r="I22" s="8" t="str">
        <x:f>IF(E22=0,"н.д.",(D22-E22)/E22)</x:f>
        <x:v>н.д.</x:v>
      </x:c>
      <x:c r="J22" s="8" t="str">
        <x:f>IF(D22=0,"н.д.",(D22-E22-F22)/D22)</x:f>
        <x:v>н.д.</x:v>
      </x:c>
      <x:c r="K22" s="6" t="str">
        <x:f>IF(G22=0,"н.д.",D22/H22)</x:f>
        <x:v>н.д.</x:v>
      </x:c>
      <x:c r="L22" s="1" t="n">
        <x:f>SUMIFS('Данные'!$H$2:$H$505,'Данные'!$J$2:$J$505,A22,'Данные'!$B$2:$B$505,B22)</x:f>
        <x:v>0</x:v>
      </x:c>
      <x:c r="M22" s="1" t="n">
        <x:f>SUMIFS('Данные'!$I$2:$I$505,'Данные'!$J$2:$J$505,A22,'Данные'!$B$2:$B$505,B22)</x:f>
        <x:v>0</x:v>
      </x:c>
      <x:c r="N22" s="1"/>
      <x:c r="O22" s="1"/>
      <x:c r="P22" s="1"/>
      <x:c r="Q22" s="1"/>
    </x:row>
    <x:row r="23" ht="21" customHeight="1">
      <x:c r="A23" s="5" t="n">
        <x:v>43955</x:v>
      </x:c>
      <x:c r="B23" s="1" t="str">
        <x:v>Волгоград</x:v>
      </x:c>
      <x:c r="C23" s="1" t="n">
        <x:f>COUNTIFS('Данные'!$J$2:$J$505,A23,'Данные'!$B$2:$B$505,B23)</x:f>
        <x:v>7</x:v>
      </x:c>
      <x:c r="D23" s="6" t="n">
        <x:f>SUMIFS('Данные'!$D$2:$D$505,'Данные'!$J$2:$J$505,A23,'Данные'!$B$2:$B$505,B23)</x:f>
        <x:v>43307155.5</x:v>
      </x:c>
      <x:c r="E23" s="6" t="n">
        <x:f>SUMIFS('Данные'!$E$2:$E$505,'Данные'!$J$2:$J$505,A23,'Данные'!$B$2:$B$505,B23)</x:f>
        <x:v>33140836.218000002</x:v>
      </x:c>
      <x:c r="F23" s="6" t="n">
        <x:f>SUMIFS('Данные'!$F$2:$F$505,'Данные'!$J$2:$J$505,A23,'Данные'!$B$2:$B$505,B23)</x:f>
        <x:v>1577878.7621846155</x:v>
      </x:c>
      <x:c r="G23" s="6" t="n">
        <x:f>SUMIFS('Данные'!$G$2:$G$505,'Данные'!$J$2:$J$505,A23,'Данные'!$B$2:$B$505,B23)</x:f>
        <x:v>252</x:v>
      </x:c>
      <x:c r="H23" s="6" t="n">
        <x:f>IF(C23=0,"н.д.",G23/C23)</x:f>
        <x:v>36</x:v>
      </x:c>
      <x:c r="I23" s="8" t="n">
        <x:f>IF(E23=0,"н.д.",(D23-E23)/E23)</x:f>
        <x:v>0.3067610972495105</x:v>
      </x:c>
      <x:c r="J23" s="8" t="n">
        <x:f>IF(D23=0,"н.д.",(D23-E23-F23)/D23)</x:f>
        <x:v>0.19831458382934852</x:v>
      </x:c>
      <x:c r="K23" s="6" t="n">
        <x:f>IF(G23=0,"н.д.",D23/H23)</x:f>
        <x:v>1202976.5416666667</x:v>
      </x:c>
      <x:c r="L23" s="1" t="n">
        <x:f>SUMIFS('Данные'!$H$2:$H$505,'Данные'!$J$2:$J$505,A23,'Данные'!$B$2:$B$505,B23)</x:f>
        <x:v>33651</x:v>
      </x:c>
      <x:c r="M23" s="1" t="n">
        <x:f>SUMIFS('Данные'!$I$2:$I$505,'Данные'!$J$2:$J$505,A23,'Данные'!$B$2:$B$505,B23)</x:f>
        <x:v>30909</x:v>
      </x:c>
      <x:c r="N23" s="1"/>
      <x:c r="O23" s="1"/>
      <x:c r="P23" s="1"/>
      <x:c r="Q23" s="1"/>
    </x:row>
    <x:row r="24" ht="21" customHeight="1">
      <x:c r="A24" s="5" t="n">
        <x:v>43955</x:v>
      </x:c>
      <x:c r="B24" s="1" t="str">
        <x:v>Екатеринбург</x:v>
      </x:c>
      <x:c r="C24" s="1" t="n">
        <x:f>COUNTIFS('Данные'!$J$2:$J$505,A24,'Данные'!$B$2:$B$505,B24)</x:f>
        <x:v>7</x:v>
      </x:c>
      <x:c r="D24" s="6" t="n">
        <x:f>SUMIFS('Данные'!$D$2:$D$505,'Данные'!$J$2:$J$505,A24,'Данные'!$B$2:$B$505,B24)</x:f>
        <x:v>46366009.5</x:v>
      </x:c>
      <x:c r="E24" s="6" t="n">
        <x:f>SUMIFS('Данные'!$E$2:$E$505,'Данные'!$J$2:$J$505,A24,'Данные'!$B$2:$B$505,B24)</x:f>
        <x:v>35119579.268</x:v>
      </x:c>
      <x:c r="F24" s="6" t="n">
        <x:f>SUMIFS('Данные'!$F$2:$F$505,'Данные'!$J$2:$J$505,A24,'Данные'!$B$2:$B$505,B24)</x:f>
        <x:v>1565964.5231076924</x:v>
      </x:c>
      <x:c r="G24" s="6" t="n">
        <x:f>SUMIFS('Данные'!$G$2:$G$505,'Данные'!$J$2:$J$505,A24,'Данные'!$B$2:$B$505,B24)</x:f>
        <x:v>217</x:v>
      </x:c>
      <x:c r="H24" s="6" t="n">
        <x:f>IF(C24=0,"н.д.",G24/C24)</x:f>
        <x:v>31</x:v>
      </x:c>
      <x:c r="I24" s="8" t="n">
        <x:f>IF(E24=0,"н.д.",(D24-E24)/E24)</x:f>
        <x:v>0.3202324875869866</x:v>
      </x:c>
      <x:c r="J24" s="8" t="n">
        <x:f>IF(D24=0,"н.д.",(D24-E24-F24)/D24)</x:f>
        <x:v>0.20878367177344231</x:v>
      </x:c>
      <x:c r="K24" s="6" t="n">
        <x:f>IF(G24=0,"н.д.",D24/H24)</x:f>
        <x:v>1495677.7258064516</x:v>
      </x:c>
      <x:c r="L24" s="1" t="n">
        <x:f>SUMIFS('Данные'!$H$2:$H$505,'Данные'!$J$2:$J$505,A24,'Данные'!$B$2:$B$505,B24)</x:f>
        <x:v>34454</x:v>
      </x:c>
      <x:c r="M24" s="1" t="n">
        <x:f>SUMIFS('Данные'!$I$2:$I$505,'Данные'!$J$2:$J$505,A24,'Данные'!$B$2:$B$505,B24)</x:f>
        <x:v>31850</x:v>
      </x:c>
      <x:c r="N24" s="1"/>
      <x:c r="O24" s="1"/>
      <x:c r="P24" s="1"/>
      <x:c r="Q24" s="1"/>
    </x:row>
    <x:row r="25" ht="21" customHeight="1">
      <x:c r="A25" s="5" t="n">
        <x:v>43955</x:v>
      </x:c>
      <x:c r="B25" s="1" t="str">
        <x:v>Казань</x:v>
      </x:c>
      <x:c r="C25" s="1" t="n">
        <x:f>COUNTIFS('Данные'!$J$2:$J$505,A25,'Данные'!$B$2:$B$505,B25)</x:f>
        <x:v>7</x:v>
      </x:c>
      <x:c r="D25" s="6" t="n">
        <x:f>SUMIFS('Данные'!$D$2:$D$505,'Данные'!$J$2:$J$505,A25,'Данные'!$B$2:$B$505,B25)</x:f>
        <x:v>20974521</x:v>
      </x:c>
      <x:c r="E25" s="6" t="n">
        <x:f>SUMIFS('Данные'!$E$2:$E$505,'Данные'!$J$2:$J$505,A25,'Данные'!$B$2:$B$505,B25)</x:f>
        <x:v>16151661.138</x:v>
      </x:c>
      <x:c r="F25" s="6" t="n">
        <x:f>SUMIFS('Данные'!$F$2:$F$505,'Данные'!$J$2:$J$505,A25,'Данные'!$B$2:$B$505,B25)</x:f>
        <x:v>1369258.554476923</x:v>
      </x:c>
      <x:c r="G25" s="6" t="n">
        <x:f>SUMIFS('Данные'!$G$2:$G$505,'Данные'!$J$2:$J$505,A25,'Данные'!$B$2:$B$505,B25)</x:f>
        <x:v>144</x:v>
      </x:c>
      <x:c r="H25" s="6" t="n">
        <x:f>IF(C25=0,"н.д.",G25/C25)</x:f>
        <x:v>20.571428571428573</x:v>
      </x:c>
      <x:c r="I25" s="8" t="n">
        <x:f>IF(E25=0,"н.д.",(D25-E25)/E25)</x:f>
        <x:v>0.29859838073579076</x:v>
      </x:c>
      <x:c r="J25" s="8" t="n">
        <x:f>IF(D25=0,"н.д.",(D25-E25-F25)/D25)</x:f>
        <x:v>0.164656981083052</x:v>
      </x:c>
      <x:c r="K25" s="6" t="n">
        <x:f>IF(G25=0,"н.д.",D25/H25)</x:f>
        <x:v>1019594.7708333333</x:v>
      </x:c>
      <x:c r="L25" s="1" t="n">
        <x:f>SUMIFS('Данные'!$H$2:$H$505,'Данные'!$J$2:$J$505,A25,'Данные'!$B$2:$B$505,B25)</x:f>
        <x:v>13155</x:v>
      </x:c>
      <x:c r="M25" s="1" t="n">
        <x:f>SUMIFS('Данные'!$I$2:$I$505,'Данные'!$J$2:$J$505,A25,'Данные'!$B$2:$B$505,B25)</x:f>
        <x:v>11884</x:v>
      </x:c>
      <x:c r="N25" s="1"/>
      <x:c r="O25" s="1"/>
      <x:c r="P25" s="1"/>
      <x:c r="Q25" s="1"/>
    </x:row>
    <x:row r="26" ht="21" customHeight="1">
      <x:c r="A26" s="5" t="n">
        <x:v>43955</x:v>
      </x:c>
      <x:c r="B26" s="1" t="str">
        <x:v>Кемерово</x:v>
      </x:c>
      <x:c r="C26" s="1" t="n">
        <x:f>COUNTIFS('Данные'!$J$2:$J$505,A26,'Данные'!$B$2:$B$505,B26)</x:f>
        <x:v>7</x:v>
      </x:c>
      <x:c r="D26" s="6" t="n">
        <x:f>SUMIFS('Данные'!$D$2:$D$505,'Данные'!$J$2:$J$505,A26,'Данные'!$B$2:$B$505,B26)</x:f>
        <x:v>19479055.5</x:v>
      </x:c>
      <x:c r="E26" s="6" t="n">
        <x:f>SUMIFS('Данные'!$E$2:$E$505,'Данные'!$J$2:$J$505,A26,'Данные'!$B$2:$B$505,B26)</x:f>
        <x:v>15649097.159</x:v>
      </x:c>
      <x:c r="F26" s="6" t="n">
        <x:f>SUMIFS('Данные'!$F$2:$F$505,'Данные'!$J$2:$J$505,A26,'Данные'!$B$2:$B$505,B26)</x:f>
        <x:v>2110390.139730769</x:v>
      </x:c>
      <x:c r="G26" s="6" t="n">
        <x:f>SUMIFS('Данные'!$G$2:$G$505,'Данные'!$J$2:$J$505,A26,'Данные'!$B$2:$B$505,B26)</x:f>
        <x:v>144</x:v>
      </x:c>
      <x:c r="H26" s="6" t="n">
        <x:f>IF(C26=0,"н.д.",G26/C26)</x:f>
        <x:v>20.571428571428573</x:v>
      </x:c>
      <x:c r="I26" s="8" t="n">
        <x:f>IF(E26=0,"н.д.",(D26-E26)/E26)</x:f>
        <x:v>0.24473989151491343</x:v>
      </x:c>
      <x:c r="J26" s="8" t="n">
        <x:f>IF(D26=0,"н.д.",(D26-E26-F26)/D26)</x:f>
        <x:v>0.08827780183023919</x:v>
      </x:c>
      <x:c r="K26" s="6" t="n">
        <x:f>IF(G26=0,"н.д.",D26/H26)</x:f>
        <x:v>946898.5312499999</x:v>
      </x:c>
      <x:c r="L26" s="1" t="n">
        <x:f>SUMIFS('Данные'!$H$2:$H$505,'Данные'!$J$2:$J$505,A26,'Данные'!$B$2:$B$505,B26)</x:f>
        <x:v>12015</x:v>
      </x:c>
      <x:c r="M26" s="1" t="n">
        <x:f>SUMIFS('Данные'!$I$2:$I$505,'Данные'!$J$2:$J$505,A26,'Данные'!$B$2:$B$505,B26)</x:f>
        <x:v>10919</x:v>
      </x:c>
      <x:c r="N26" s="1"/>
      <x:c r="O26" s="1"/>
      <x:c r="P26" s="1"/>
      <x:c r="Q26" s="1"/>
    </x:row>
    <x:row r="27" ht="21" customHeight="1">
      <x:c r="A27" s="5" t="n">
        <x:v>43955</x:v>
      </x:c>
      <x:c r="B27" s="1" t="str">
        <x:v>Краснодар</x:v>
      </x:c>
      <x:c r="C27" s="1" t="n">
        <x:f>COUNTIFS('Данные'!$J$2:$J$505,A27,'Данные'!$B$2:$B$505,B27)</x:f>
        <x:v>7</x:v>
      </x:c>
      <x:c r="D27" s="6" t="n">
        <x:f>SUMIFS('Данные'!$D$2:$D$505,'Данные'!$J$2:$J$505,A27,'Данные'!$B$2:$B$505,B27)</x:f>
        <x:v>16391856</x:v>
      </x:c>
      <x:c r="E27" s="6" t="n">
        <x:f>SUMIFS('Данные'!$E$2:$E$505,'Данные'!$J$2:$J$505,A27,'Данные'!$B$2:$B$505,B27)</x:f>
        <x:v>12947043.906</x:v>
      </x:c>
      <x:c r="F27" s="6" t="n">
        <x:f>SUMIFS('Данные'!$F$2:$F$505,'Данные'!$J$2:$J$505,A27,'Данные'!$B$2:$B$505,B27)</x:f>
        <x:v>877288.6226461539</x:v>
      </x:c>
      <x:c r="G27" s="6" t="n">
        <x:f>SUMIFS('Данные'!$G$2:$G$505,'Данные'!$J$2:$J$505,A27,'Данные'!$B$2:$B$505,B27)</x:f>
        <x:v>133</x:v>
      </x:c>
      <x:c r="H27" s="6" t="n">
        <x:f>IF(C27=0,"н.д.",G27/C27)</x:f>
        <x:v>19</x:v>
      </x:c>
      <x:c r="I27" s="8" t="n">
        <x:f>IF(E27=0,"н.д.",(D27-E27)/E27)</x:f>
        <x:v>0.2660693915159726</x:v>
      </x:c>
      <x:c r="J27" s="8" t="n">
        <x:f>IF(D27=0,"н.д.",(D27-E27-F27)/D27)</x:f>
        <x:v>0.15663409142648926</x:v>
      </x:c>
      <x:c r="K27" s="6" t="n">
        <x:f>IF(G27=0,"н.д.",D27/H27)</x:f>
        <x:v>862729.2631578947</x:v>
      </x:c>
      <x:c r="L27" s="1" t="n">
        <x:f>SUMIFS('Данные'!$H$2:$H$505,'Данные'!$J$2:$J$505,A27,'Данные'!$B$2:$B$505,B27)</x:f>
        <x:v>11088</x:v>
      </x:c>
      <x:c r="M27" s="1" t="n">
        <x:f>SUMIFS('Данные'!$I$2:$I$505,'Данные'!$J$2:$J$505,A27,'Данные'!$B$2:$B$505,B27)</x:f>
        <x:v>10109</x:v>
      </x:c>
      <x:c r="N27" s="1"/>
      <x:c r="O27" s="1"/>
      <x:c r="P27" s="1"/>
      <x:c r="Q27" s="1"/>
    </x:row>
    <x:row r="28" ht="21" customHeight="1">
      <x:c r="A28" s="5" t="n">
        <x:v>43955</x:v>
      </x:c>
      <x:c r="B28" s="1" t="str">
        <x:v>Москва Восток</x:v>
      </x:c>
      <x:c r="C28" s="1" t="n">
        <x:f>COUNTIFS('Данные'!$J$2:$J$505,A28,'Данные'!$B$2:$B$505,B28)</x:f>
        <x:v>7</x:v>
      </x:c>
      <x:c r="D28" s="6" t="n">
        <x:f>SUMIFS('Данные'!$D$2:$D$505,'Данные'!$J$2:$J$505,A28,'Данные'!$B$2:$B$505,B28)</x:f>
        <x:v>151642039.5</x:v>
      </x:c>
      <x:c r="E28" s="6" t="n">
        <x:f>SUMIFS('Данные'!$E$2:$E$505,'Данные'!$J$2:$J$505,A28,'Данные'!$B$2:$B$505,B28)</x:f>
        <x:v>110583069.837</x:v>
      </x:c>
      <x:c r="F28" s="6" t="n">
        <x:f>SUMIFS('Данные'!$F$2:$F$505,'Данные'!$J$2:$J$505,A28,'Данные'!$B$2:$B$505,B28)</x:f>
        <x:v>2906226.7357846154</x:v>
      </x:c>
      <x:c r="G28" s="6" t="n">
        <x:f>SUMIFS('Данные'!$G$2:$G$505,'Данные'!$J$2:$J$505,A28,'Данные'!$B$2:$B$505,B28)</x:f>
        <x:v>378</x:v>
      </x:c>
      <x:c r="H28" s="6" t="n">
        <x:f>IF(C28=0,"н.д.",G28/C28)</x:f>
        <x:v>54</x:v>
      </x:c>
      <x:c r="I28" s="8" t="n">
        <x:f>IF(E28=0,"н.д.",(D28-E28)/E28)</x:f>
        <x:v>0.3712952599662962</x:v>
      </x:c>
      <x:c r="J28" s="8" t="n">
        <x:f>IF(D28=0,"н.д.",(D28-E28-F28)/D28)</x:f>
        <x:v>0.25159740038457734</x:v>
      </x:c>
      <x:c r="K28" s="6" t="n">
        <x:f>IF(G28=0,"н.д.",D28/H28)</x:f>
        <x:v>2808185.9166666665</x:v>
      </x:c>
      <x:c r="L28" s="1" t="n">
        <x:f>SUMIFS('Данные'!$H$2:$H$505,'Данные'!$J$2:$J$505,A28,'Данные'!$B$2:$B$505,B28)</x:f>
        <x:v>91213</x:v>
      </x:c>
      <x:c r="M28" s="1" t="n">
        <x:f>SUMIFS('Данные'!$I$2:$I$505,'Данные'!$J$2:$J$505,A28,'Данные'!$B$2:$B$505,B28)</x:f>
        <x:v>84920</x:v>
      </x:c>
      <x:c r="N28" s="1"/>
      <x:c r="O28" s="1"/>
      <x:c r="P28" s="1"/>
      <x:c r="Q28" s="1"/>
    </x:row>
    <x:row r="29" ht="21" customHeight="1">
      <x:c r="A29" s="5" t="n">
        <x:v>43955</x:v>
      </x:c>
      <x:c r="B29" s="1" t="str">
        <x:v>Москва Запад</x:v>
      </x:c>
      <x:c r="C29" s="1" t="n">
        <x:f>COUNTIFS('Данные'!$J$2:$J$505,A29,'Данные'!$B$2:$B$505,B29)</x:f>
        <x:v>7</x:v>
      </x:c>
      <x:c r="D29" s="6" t="n">
        <x:f>SUMIFS('Данные'!$D$2:$D$505,'Данные'!$J$2:$J$505,A29,'Данные'!$B$2:$B$505,B29)</x:f>
        <x:v>159695760</x:v>
      </x:c>
      <x:c r="E29" s="6" t="n">
        <x:f>SUMIFS('Данные'!$E$2:$E$505,'Данные'!$J$2:$J$505,A29,'Данные'!$B$2:$B$505,B29)</x:f>
        <x:v>116456707.70699999</x:v>
      </x:c>
      <x:c r="F29" s="6" t="n">
        <x:f>SUMIFS('Данные'!$F$2:$F$505,'Данные'!$J$2:$J$505,A29,'Данные'!$B$2:$B$505,B29)</x:f>
        <x:v>2849603.0945153846</x:v>
      </x:c>
      <x:c r="G29" s="6" t="n">
        <x:f>SUMIFS('Данные'!$G$2:$G$505,'Данные'!$J$2:$J$505,A29,'Данные'!$B$2:$B$505,B29)</x:f>
        <x:v>413</x:v>
      </x:c>
      <x:c r="H29" s="6" t="n">
        <x:f>IF(C29=0,"н.д.",G29/C29)</x:f>
        <x:v>59</x:v>
      </x:c>
      <x:c r="I29" s="8" t="n">
        <x:f>IF(E29=0,"н.д.",(D29-E29)/E29)</x:f>
        <x:v>0.37128863716281235</x:v>
      </x:c>
      <x:c r="J29" s="8" t="n">
        <x:f>IF(D29=0,"н.д.",(D29-E29-F29)/D29)</x:f>
        <x:v>0.25291497531609247</x:v>
      </x:c>
      <x:c r="K29" s="6" t="n">
        <x:f>IF(G29=0,"н.д.",D29/H29)</x:f>
        <x:v>2706707.7966101696</x:v>
      </x:c>
      <x:c r="L29" s="1" t="n">
        <x:f>SUMIFS('Данные'!$H$2:$H$505,'Данные'!$J$2:$J$505,A29,'Данные'!$B$2:$B$505,B29)</x:f>
        <x:v>96173</x:v>
      </x:c>
      <x:c r="M29" s="1" t="n">
        <x:f>SUMIFS('Данные'!$I$2:$I$505,'Данные'!$J$2:$J$505,A29,'Данные'!$B$2:$B$505,B29)</x:f>
        <x:v>89362</x:v>
      </x:c>
      <x:c r="N29" s="1"/>
      <x:c r="O29" s="1"/>
      <x:c r="P29" s="1"/>
      <x:c r="Q29" s="1"/>
    </x:row>
    <x:row r="30" ht="21" customHeight="1">
      <x:c r="A30" s="5" t="n">
        <x:v>43955</x:v>
      </x:c>
      <x:c r="B30" s="1" t="str">
        <x:v>Нижний Новгород</x:v>
      </x:c>
      <x:c r="C30" s="1" t="n">
        <x:f>COUNTIFS('Данные'!$J$2:$J$505,A30,'Данные'!$B$2:$B$505,B30)</x:f>
        <x:v>7</x:v>
      </x:c>
      <x:c r="D30" s="6" t="n">
        <x:f>SUMIFS('Данные'!$D$2:$D$505,'Данные'!$J$2:$J$505,A30,'Данные'!$B$2:$B$505,B30)</x:f>
        <x:v>17149980</x:v>
      </x:c>
      <x:c r="E30" s="6" t="n">
        <x:f>SUMIFS('Данные'!$E$2:$E$505,'Данные'!$J$2:$J$505,A30,'Данные'!$B$2:$B$505,B30)</x:f>
        <x:v>13694375.313</x:v>
      </x:c>
      <x:c r="F30" s="6" t="n">
        <x:f>SUMIFS('Данные'!$F$2:$F$505,'Данные'!$J$2:$J$505,A30,'Данные'!$B$2:$B$505,B30)</x:f>
        <x:v>1464220.0105461539</x:v>
      </x:c>
      <x:c r="G30" s="6" t="n">
        <x:f>SUMIFS('Данные'!$G$2:$G$505,'Данные'!$J$2:$J$505,A30,'Данные'!$B$2:$B$505,B30)</x:f>
        <x:v>133</x:v>
      </x:c>
      <x:c r="H30" s="6" t="n">
        <x:f>IF(C30=0,"н.д.",G30/C30)</x:f>
        <x:v>19</x:v>
      </x:c>
      <x:c r="I30" s="8" t="n">
        <x:f>IF(E30=0,"н.д.",(D30-E30)/E30)</x:f>
        <x:v>0.2523375187270947</x:v>
      </x:c>
      <x:c r="J30" s="8" t="n">
        <x:f>IF(D30=0,"н.д.",(D30-E30-F30)/D30)</x:f>
        <x:v>0.11611585998664996</x:v>
      </x:c>
      <x:c r="K30" s="6" t="n">
        <x:f>IF(G30=0,"н.д.",D30/H30)</x:f>
        <x:v>902630.5263157894</x:v>
      </x:c>
      <x:c r="L30" s="1" t="n">
        <x:f>SUMIFS('Данные'!$H$2:$H$505,'Данные'!$J$2:$J$505,A30,'Данные'!$B$2:$B$505,B30)</x:f>
        <x:v>11249</x:v>
      </x:c>
      <x:c r="M30" s="1" t="n">
        <x:f>SUMIFS('Данные'!$I$2:$I$505,'Данные'!$J$2:$J$505,A30,'Данные'!$B$2:$B$505,B30)</x:f>
        <x:v>9933</x:v>
      </x:c>
      <x:c r="N30" s="1"/>
      <x:c r="O30" s="1"/>
      <x:c r="P30" s="1"/>
      <x:c r="Q30" s="1"/>
    </x:row>
    <x:row r="31" ht="21" customHeight="1">
      <x:c r="A31" s="5" t="n">
        <x:v>43955</x:v>
      </x:c>
      <x:c r="B31" s="1" t="str">
        <x:v>Новосибирск</x:v>
      </x:c>
      <x:c r="C31" s="1" t="n">
        <x:f>COUNTIFS('Данные'!$J$2:$J$505,A31,'Данные'!$B$2:$B$505,B31)</x:f>
        <x:v>7</x:v>
      </x:c>
      <x:c r="D31" s="6" t="n">
        <x:f>SUMIFS('Данные'!$D$2:$D$505,'Данные'!$J$2:$J$505,A31,'Данные'!$B$2:$B$505,B31)</x:f>
        <x:v>7253572.5</x:v>
      </x:c>
      <x:c r="E31" s="6" t="n">
        <x:f>SUMIFS('Данные'!$E$2:$E$505,'Данные'!$J$2:$J$505,A31,'Данные'!$B$2:$B$505,B31)</x:f>
        <x:v>6106621.646</x:v>
      </x:c>
      <x:c r="F31" s="6" t="n">
        <x:f>SUMIFS('Данные'!$F$2:$F$505,'Данные'!$J$2:$J$505,A31,'Данные'!$B$2:$B$505,B31)</x:f>
        <x:v>1138343.9054692306</x:v>
      </x:c>
      <x:c r="G31" s="6" t="n">
        <x:f>SUMIFS('Данные'!$G$2:$G$505,'Данные'!$J$2:$J$505,A31,'Данные'!$B$2:$B$505,B31)</x:f>
        <x:v>105</x:v>
      </x:c>
      <x:c r="H31" s="6" t="n">
        <x:f>IF(C31=0,"н.д.",G31/C31)</x:f>
        <x:v>15</x:v>
      </x:c>
      <x:c r="I31" s="8" t="n">
        <x:f>IF(E31=0,"н.д.",(D31-E31)/E31)</x:f>
        <x:v>0.18782084767791102</x:v>
      </x:c>
      <x:c r="J31" s="8" t="n">
        <x:f>IF(D31=0,"н.д.",(D31-E31-F31)/D31)</x:f>
        <x:v>0.0011865806167608683</x:v>
      </x:c>
      <x:c r="K31" s="6" t="n">
        <x:f>IF(G31=0,"н.д.",D31/H31)</x:f>
        <x:v>483571.5</x:v>
      </x:c>
      <x:c r="L31" s="1" t="n">
        <x:f>SUMIFS('Данные'!$H$2:$H$505,'Данные'!$J$2:$J$505,A31,'Данные'!$B$2:$B$505,B31)</x:f>
        <x:v>4898</x:v>
      </x:c>
      <x:c r="M31" s="1" t="n">
        <x:f>SUMIFS('Данные'!$I$2:$I$505,'Данные'!$J$2:$J$505,A31,'Данные'!$B$2:$B$505,B31)</x:f>
        <x:v>4272</x:v>
      </x:c>
      <x:c r="N31" s="1"/>
      <x:c r="O31" s="1"/>
      <x:c r="P31" s="1"/>
      <x:c r="Q31" s="1"/>
    </x:row>
    <x:row r="32" ht="21" customHeight="1">
      <x:c r="A32" s="5" t="n">
        <x:v>43955</x:v>
      </x:c>
      <x:c r="B32" s="1" t="str">
        <x:v>Пермь</x:v>
      </x:c>
      <x:c r="C32" s="1" t="n">
        <x:f>COUNTIFS('Данные'!$J$2:$J$505,A32,'Данные'!$B$2:$B$505,B32)</x:f>
        <x:v>7</x:v>
      </x:c>
      <x:c r="D32" s="6" t="n">
        <x:f>SUMIFS('Данные'!$D$2:$D$505,'Данные'!$J$2:$J$505,A32,'Данные'!$B$2:$B$505,B32)</x:f>
        <x:v>8778597</x:v>
      </x:c>
      <x:c r="E32" s="6" t="n">
        <x:f>SUMIFS('Данные'!$E$2:$E$505,'Данные'!$J$2:$J$505,A32,'Данные'!$B$2:$B$505,B32)</x:f>
        <x:v>7042367.028</x:v>
      </x:c>
      <x:c r="F32" s="6" t="n">
        <x:f>SUMIFS('Данные'!$F$2:$F$505,'Данные'!$J$2:$J$505,A32,'Данные'!$B$2:$B$505,B32)</x:f>
        <x:v>1860285.9080461538</x:v>
      </x:c>
      <x:c r="G32" s="6" t="n">
        <x:f>SUMIFS('Данные'!$G$2:$G$505,'Данные'!$J$2:$J$505,A32,'Данные'!$B$2:$B$505,B32)</x:f>
        <x:v>105</x:v>
      </x:c>
      <x:c r="H32" s="6" t="n">
        <x:f>IF(C32=0,"н.д.",G32/C32)</x:f>
        <x:v>15</x:v>
      </x:c>
      <x:c r="I32" s="8" t="n">
        <x:f>IF(E32=0,"н.д.",(D32-E32)/E32)</x:f>
        <x:v>0.24654068228719989</x:v>
      </x:c>
      <x:c r="J32" s="8" t="n">
        <x:f>IF(D32=0,"н.д.",(D32-E32-F32)/D32)</x:f>
        <x:v>-0.0141316358463834</x:v>
      </x:c>
      <x:c r="K32" s="6" t="n">
        <x:f>IF(G32=0,"н.д.",D32/H32)</x:f>
        <x:v>585239.8</x:v>
      </x:c>
      <x:c r="L32" s="1" t="n">
        <x:f>SUMIFS('Данные'!$H$2:$H$505,'Данные'!$J$2:$J$505,A32,'Данные'!$B$2:$B$505,B32)</x:f>
        <x:v>5994</x:v>
      </x:c>
      <x:c r="M32" s="1" t="n">
        <x:f>SUMIFS('Данные'!$I$2:$I$505,'Данные'!$J$2:$J$505,A32,'Данные'!$B$2:$B$505,B32)</x:f>
        <x:v>5262</x:v>
      </x:c>
      <x:c r="N32" s="1"/>
      <x:c r="O32" s="1"/>
      <x:c r="P32" s="1"/>
      <x:c r="Q32" s="1"/>
    </x:row>
    <x:row r="33" ht="21" customHeight="1">
      <x:c r="A33" s="5" t="n">
        <x:v>43955</x:v>
      </x:c>
      <x:c r="B33" s="1" t="str">
        <x:v>Ростов-на-Дону</x:v>
      </x:c>
      <x:c r="C33" s="1" t="n">
        <x:f>COUNTIFS('Данные'!$J$2:$J$505,A33,'Данные'!$B$2:$B$505,B33)</x:f>
        <x:v>7</x:v>
      </x:c>
      <x:c r="D33" s="6" t="n">
        <x:f>SUMIFS('Данные'!$D$2:$D$505,'Данные'!$J$2:$J$505,A33,'Данные'!$B$2:$B$505,B33)</x:f>
        <x:v>5892277.5</x:v>
      </x:c>
      <x:c r="E33" s="6" t="n">
        <x:f>SUMIFS('Данные'!$E$2:$E$505,'Данные'!$J$2:$J$505,A33,'Данные'!$B$2:$B$505,B33)</x:f>
        <x:v>5068349.416999999</x:v>
      </x:c>
      <x:c r="F33" s="6" t="n">
        <x:f>SUMIFS('Данные'!$F$2:$F$505,'Данные'!$J$2:$J$505,A33,'Данные'!$B$2:$B$505,B33)</x:f>
        <x:v>1155164.1261923078</x:v>
      </x:c>
      <x:c r="G33" s="6" t="n">
        <x:f>SUMIFS('Данные'!$G$2:$G$505,'Данные'!$J$2:$J$505,A33,'Данные'!$B$2:$B$505,B33)</x:f>
        <x:v>105</x:v>
      </x:c>
      <x:c r="H33" s="6" t="n">
        <x:f>IF(C33=0,"н.д.",G33/C33)</x:f>
        <x:v>15</x:v>
      </x:c>
      <x:c r="I33" s="8" t="n">
        <x:f>IF(E33=0,"н.д.",(D33-E33)/E33)</x:f>
        <x:v>0.16256339395946598</x:v>
      </x:c>
      <x:c r="J33" s="8" t="n">
        <x:f>IF(D33=0,"н.д.",(D33-E33-F33)/D33)</x:f>
        <x:v>-0.056215282323737674</x:v>
      </x:c>
      <x:c r="K33" s="6" t="n">
        <x:f>IF(G33=0,"н.д.",D33/H33)</x:f>
        <x:v>392818.5</x:v>
      </x:c>
      <x:c r="L33" s="1" t="n">
        <x:f>SUMIFS('Данные'!$H$2:$H$505,'Данные'!$J$2:$J$505,A33,'Данные'!$B$2:$B$505,B33)</x:f>
        <x:v>3613</x:v>
      </x:c>
      <x:c r="M33" s="1" t="n">
        <x:f>SUMIFS('Данные'!$I$2:$I$505,'Данные'!$J$2:$J$505,A33,'Данные'!$B$2:$B$505,B33)</x:f>
        <x:v>3038</x:v>
      </x:c>
      <x:c r="N33" s="1"/>
      <x:c r="O33" s="1"/>
      <x:c r="P33" s="1"/>
      <x:c r="Q33" s="1"/>
    </x:row>
    <x:row r="34" ht="21" customHeight="1">
      <x:c r="A34" s="5" t="n">
        <x:v>43955</x:v>
      </x:c>
      <x:c r="B34" s="1" t="str">
        <x:v>Самара</x:v>
      </x:c>
      <x:c r="C34" s="1" t="n">
        <x:f>COUNTIFS('Данные'!$J$2:$J$505,A34,'Данные'!$B$2:$B$505,B34)</x:f>
        <x:v>0</x:v>
      </x:c>
      <x:c r="D34" s="6" t="n">
        <x:f>SUMIFS('Данные'!$D$2:$D$505,'Данные'!$J$2:$J$505,A34,'Данные'!$B$2:$B$505,B34)</x:f>
        <x:v>0</x:v>
      </x:c>
      <x:c r="E34" s="6" t="n">
        <x:f>SUMIFS('Данные'!$E$2:$E$505,'Данные'!$J$2:$J$505,A34,'Данные'!$B$2:$B$505,B34)</x:f>
        <x:v>0</x:v>
      </x:c>
      <x:c r="F34" s="6" t="n">
        <x:f>SUMIFS('Данные'!$F$2:$F$505,'Данные'!$J$2:$J$505,A34,'Данные'!$B$2:$B$505,B34)</x:f>
        <x:v>0</x:v>
      </x:c>
      <x:c r="G34" s="6" t="n">
        <x:f>SUMIFS('Данные'!$G$2:$G$505,'Данные'!$J$2:$J$505,A34,'Данные'!$B$2:$B$505,B34)</x:f>
        <x:v>0</x:v>
      </x:c>
      <x:c r="H34" s="6" t="str">
        <x:f>IF(C34=0,"н.д.",G34/C34)</x:f>
        <x:v>н.д.</x:v>
      </x:c>
      <x:c r="I34" s="8" t="str">
        <x:f>IF(E34=0,"н.д.",(D34-E34)/E34)</x:f>
        <x:v>н.д.</x:v>
      </x:c>
      <x:c r="J34" s="8" t="str">
        <x:f>IF(D34=0,"н.д.",(D34-E34-F34)/D34)</x:f>
        <x:v>н.д.</x:v>
      </x:c>
      <x:c r="K34" s="6" t="str">
        <x:f>IF(G34=0,"н.д.",D34/H34)</x:f>
        <x:v>н.д.</x:v>
      </x:c>
      <x:c r="L34" s="1" t="n">
        <x:f>SUMIFS('Данные'!$H$2:$H$505,'Данные'!$J$2:$J$505,A34,'Данные'!$B$2:$B$505,B34)</x:f>
        <x:v>0</x:v>
      </x:c>
      <x:c r="M34" s="1" t="n">
        <x:f>SUMIFS('Данные'!$I$2:$I$505,'Данные'!$J$2:$J$505,A34,'Данные'!$B$2:$B$505,B34)</x:f>
        <x:v>0</x:v>
      </x:c>
      <x:c r="N34" s="1"/>
      <x:c r="O34" s="1"/>
      <x:c r="P34" s="1"/>
      <x:c r="Q34" s="1"/>
    </x:row>
    <x:row r="35" ht="21" customHeight="1">
      <x:c r="A35" s="5" t="n">
        <x:v>43955</x:v>
      </x:c>
      <x:c r="B35" s="1" t="str">
        <x:v>Санкт-Петербург Север</x:v>
      </x:c>
      <x:c r="C35" s="1" t="n">
        <x:f>COUNTIFS('Данные'!$J$2:$J$505,A35,'Данные'!$B$2:$B$505,B35)</x:f>
        <x:v>7</x:v>
      </x:c>
      <x:c r="D35" s="6" t="n">
        <x:f>SUMIFS('Данные'!$D$2:$D$505,'Данные'!$J$2:$J$505,A35,'Данные'!$B$2:$B$505,B35)</x:f>
        <x:v>272762503.5</x:v>
      </x:c>
      <x:c r="E35" s="6" t="n">
        <x:f>SUMIFS('Данные'!$E$2:$E$505,'Данные'!$J$2:$J$505,A35,'Данные'!$B$2:$B$505,B35)</x:f>
        <x:v>197276964.52499998</x:v>
      </x:c>
      <x:c r="F35" s="6" t="n">
        <x:f>SUMIFS('Данные'!$F$2:$F$505,'Данные'!$J$2:$J$505,A35,'Данные'!$B$2:$B$505,B35)</x:f>
        <x:v>5857908.655930769</x:v>
      </x:c>
      <x:c r="G35" s="6" t="n">
        <x:f>SUMIFS('Данные'!$G$2:$G$505,'Данные'!$J$2:$J$505,A35,'Данные'!$B$2:$B$505,B35)</x:f>
        <x:v>875</x:v>
      </x:c>
      <x:c r="H35" s="6" t="n">
        <x:f>IF(C35=0,"н.д.",G35/C35)</x:f>
        <x:v>125</x:v>
      </x:c>
      <x:c r="I35" s="8" t="n">
        <x:f>IF(E35=0,"н.д.",(D35-E35)/E35)</x:f>
        <x:v>0.38263737054527774</x:v>
      </x:c>
      <x:c r="J35" s="8" t="n">
        <x:f>IF(D35=0,"н.д.",(D35-E35-F35)/D35)</x:f>
        <x:v>0.25526833573394464</x:v>
      </x:c>
      <x:c r="K35" s="6" t="n">
        <x:f>IF(G35=0,"н.д.",D35/H35)</x:f>
        <x:v>2182100.028</x:v>
      </x:c>
      <x:c r="L35" s="1" t="n">
        <x:f>SUMIFS('Данные'!$H$2:$H$505,'Данные'!$J$2:$J$505,A35,'Данные'!$B$2:$B$505,B35)</x:f>
        <x:v>142791</x:v>
      </x:c>
      <x:c r="M35" s="1" t="n">
        <x:f>SUMIFS('Данные'!$I$2:$I$505,'Данные'!$J$2:$J$505,A35,'Данные'!$B$2:$B$505,B35)</x:f>
        <x:v>131969</x:v>
      </x:c>
      <x:c r="N35" s="1"/>
      <x:c r="O35" s="1"/>
      <x:c r="P35" s="1"/>
      <x:c r="Q35" s="1"/>
    </x:row>
    <x:row r="36" ht="21" customHeight="1">
      <x:c r="A36" s="5" t="n">
        <x:v>43955</x:v>
      </x:c>
      <x:c r="B36" s="1" t="str">
        <x:v>Санкт-Петербург Юг</x:v>
      </x:c>
      <x:c r="C36" s="1" t="n">
        <x:f>COUNTIFS('Данные'!$J$2:$J$505,A36,'Данные'!$B$2:$B$505,B36)</x:f>
        <x:v>7</x:v>
      </x:c>
      <x:c r="D36" s="6" t="n">
        <x:f>SUMIFS('Данные'!$D$2:$D$505,'Данные'!$J$2:$J$505,A36,'Данные'!$B$2:$B$505,B36)</x:f>
        <x:v>208128393.85665</x:v>
      </x:c>
      <x:c r="E36" s="6" t="n">
        <x:f>SUMIFS('Данные'!$E$2:$E$505,'Данные'!$J$2:$J$505,A36,'Данные'!$B$2:$B$505,B36)</x:f>
        <x:v>150951174.688</x:v>
      </x:c>
      <x:c r="F36" s="6" t="n">
        <x:f>SUMIFS('Данные'!$F$2:$F$505,'Данные'!$J$2:$J$505,A36,'Данные'!$B$2:$B$505,B36)</x:f>
        <x:v>5378966.7493230775</x:v>
      </x:c>
      <x:c r="G36" s="6" t="n">
        <x:f>SUMIFS('Данные'!$G$2:$G$505,'Данные'!$J$2:$J$505,A36,'Данные'!$B$2:$B$505,B36)</x:f>
        <x:v>903</x:v>
      </x:c>
      <x:c r="H36" s="6" t="n">
        <x:f>IF(C36=0,"н.д.",G36/C36)</x:f>
        <x:v>129</x:v>
      </x:c>
      <x:c r="I36" s="8" t="n">
        <x:f>IF(E36=0,"н.д.",(D36-E36)/E36)</x:f>
        <x:v>0.37877955760747956</x:v>
      </x:c>
      <x:c r="J36" s="8" t="n">
        <x:f>IF(D36=0,"н.д.",(D36-E36-F36)/D36)</x:f>
        <x:v>0.24887643372198107</x:v>
      </x:c>
      <x:c r="K36" s="6" t="n">
        <x:f>IF(G36=0,"н.д.",D36/H36)</x:f>
        <x:v>1613398.4019895347</x:v>
      </x:c>
      <x:c r="L36" s="1" t="n">
        <x:f>SUMIFS('Данные'!$H$2:$H$505,'Данные'!$J$2:$J$505,A36,'Данные'!$B$2:$B$505,B36)</x:f>
        <x:v>116457</x:v>
      </x:c>
      <x:c r="M36" s="1" t="n">
        <x:f>SUMIFS('Данные'!$I$2:$I$505,'Данные'!$J$2:$J$505,A36,'Данные'!$B$2:$B$505,B36)</x:f>
        <x:v>107831</x:v>
      </x:c>
      <x:c r="N36" s="1"/>
      <x:c r="O36" s="1"/>
      <x:c r="P36" s="1"/>
      <x:c r="Q36" s="1"/>
    </x:row>
    <x:row r="37" ht="21" customHeight="1">
      <x:c r="A37" s="5" t="n">
        <x:v>43955</x:v>
      </x:c>
      <x:c r="B37" s="1" t="str">
        <x:v>Тольятти</x:v>
      </x:c>
      <x:c r="C37" s="1" t="n">
        <x:f>COUNTIFS('Данные'!$J$2:$J$505,A37,'Данные'!$B$2:$B$505,B37)</x:f>
        <x:v>7</x:v>
      </x:c>
      <x:c r="D37" s="6" t="n">
        <x:f>SUMIFS('Данные'!$D$2:$D$505,'Данные'!$J$2:$J$505,A37,'Данные'!$B$2:$B$505,B37)</x:f>
        <x:v>6093688.5</x:v>
      </x:c>
      <x:c r="E37" s="6" t="n">
        <x:f>SUMIFS('Данные'!$E$2:$E$505,'Данные'!$J$2:$J$505,A37,'Данные'!$B$2:$B$505,B37)</x:f>
        <x:v>5432596.347</x:v>
      </x:c>
      <x:c r="F37" s="6" t="n">
        <x:f>SUMIFS('Данные'!$F$2:$F$505,'Данные'!$J$2:$J$505,A37,'Данные'!$B$2:$B$505,B37)</x:f>
        <x:v>624717.6245076922</x:v>
      </x:c>
      <x:c r="G37" s="6" t="n">
        <x:f>SUMIFS('Данные'!$G$2:$G$505,'Данные'!$J$2:$J$505,A37,'Данные'!$B$2:$B$505,B37)</x:f>
        <x:v>70</x:v>
      </x:c>
      <x:c r="H37" s="6" t="n">
        <x:f>IF(C37=0,"н.д.",G37/C37)</x:f>
        <x:v>10</x:v>
      </x:c>
      <x:c r="I37" s="8" t="n">
        <x:f>IF(E37=0,"н.д.",(D37-E37)/E37)</x:f>
        <x:v>0.12168990861341458</x:v>
      </x:c>
      <x:c r="J37" s="8" t="n">
        <x:f>IF(D37=0,"н.д.",(D37-E37-F37)/D37)</x:f>
        <x:v>0.005969213636750181</x:v>
      </x:c>
      <x:c r="K37" s="6" t="n">
        <x:f>IF(G37=0,"н.д.",D37/H37)</x:f>
        <x:v>609368.85</x:v>
      </x:c>
      <x:c r="L37" s="1" t="n">
        <x:f>SUMIFS('Данные'!$H$2:$H$505,'Данные'!$J$2:$J$505,A37,'Данные'!$B$2:$B$505,B37)</x:f>
        <x:v>3925</x:v>
      </x:c>
      <x:c r="M37" s="1" t="n">
        <x:f>SUMIFS('Данные'!$I$2:$I$505,'Данные'!$J$2:$J$505,A37,'Данные'!$B$2:$B$505,B37)</x:f>
        <x:v>3371</x:v>
      </x:c>
      <x:c r="N37" s="1"/>
      <x:c r="O37" s="1"/>
      <x:c r="P37" s="1"/>
      <x:c r="Q37" s="1"/>
    </x:row>
    <x:row r="38" ht="21" customHeight="1">
      <x:c r="A38" s="5" t="n">
        <x:v>43955</x:v>
      </x:c>
      <x:c r="B38" s="1" t="str">
        <x:v>Томск</x:v>
      </x:c>
      <x:c r="C38" s="1" t="n">
        <x:f>COUNTIFS('Данные'!$J$2:$J$505,A38,'Данные'!$B$2:$B$505,B38)</x:f>
        <x:v>0</x:v>
      </x:c>
      <x:c r="D38" s="6" t="n">
        <x:f>SUMIFS('Данные'!$D$2:$D$505,'Данные'!$J$2:$J$505,A38,'Данные'!$B$2:$B$505,B38)</x:f>
        <x:v>0</x:v>
      </x:c>
      <x:c r="E38" s="6" t="n">
        <x:f>SUMIFS('Данные'!$E$2:$E$505,'Данные'!$J$2:$J$505,A38,'Данные'!$B$2:$B$505,B38)</x:f>
        <x:v>0</x:v>
      </x:c>
      <x:c r="F38" s="6" t="n">
        <x:f>SUMIFS('Данные'!$F$2:$F$505,'Данные'!$J$2:$J$505,A38,'Данные'!$B$2:$B$505,B38)</x:f>
        <x:v>0</x:v>
      </x:c>
      <x:c r="G38" s="6" t="n">
        <x:f>SUMIFS('Данные'!$G$2:$G$505,'Данные'!$J$2:$J$505,A38,'Данные'!$B$2:$B$505,B38)</x:f>
        <x:v>0</x:v>
      </x:c>
      <x:c r="H38" s="6" t="str">
        <x:f>IF(C38=0,"н.д.",G38/C38)</x:f>
        <x:v>н.д.</x:v>
      </x:c>
      <x:c r="I38" s="8" t="str">
        <x:f>IF(E38=0,"н.д.",(D38-E38)/E38)</x:f>
        <x:v>н.д.</x:v>
      </x:c>
      <x:c r="J38" s="8" t="str">
        <x:f>IF(D38=0,"н.д.",(D38-E38-F38)/D38)</x:f>
        <x:v>н.д.</x:v>
      </x:c>
      <x:c r="K38" s="6" t="str">
        <x:f>IF(G38=0,"н.д.",D38/H38)</x:f>
        <x:v>н.д.</x:v>
      </x:c>
      <x:c r="L38" s="1" t="n">
        <x:f>SUMIFS('Данные'!$H$2:$H$505,'Данные'!$J$2:$J$505,A38,'Данные'!$B$2:$B$505,B38)</x:f>
        <x:v>0</x:v>
      </x:c>
      <x:c r="M38" s="1" t="n">
        <x:f>SUMIFS('Данные'!$I$2:$I$505,'Данные'!$J$2:$J$505,A38,'Данные'!$B$2:$B$505,B38)</x:f>
        <x:v>0</x:v>
      </x:c>
      <x:c r="N38" s="1"/>
      <x:c r="O38" s="1"/>
      <x:c r="P38" s="1"/>
      <x:c r="Q38" s="1"/>
    </x:row>
    <x:row r="39" ht="21" customHeight="1">
      <x:c r="A39" s="5" t="n">
        <x:v>43955</x:v>
      </x:c>
      <x:c r="B39" s="1" t="str">
        <x:v>Тюмень</x:v>
      </x:c>
      <x:c r="C39" s="1" t="n">
        <x:f>COUNTIFS('Данные'!$J$2:$J$505,A39,'Данные'!$B$2:$B$505,B39)</x:f>
        <x:v>0</x:v>
      </x:c>
      <x:c r="D39" s="6" t="n">
        <x:f>SUMIFS('Данные'!$D$2:$D$505,'Данные'!$J$2:$J$505,A39,'Данные'!$B$2:$B$505,B39)</x:f>
        <x:v>0</x:v>
      </x:c>
      <x:c r="E39" s="6" t="n">
        <x:f>SUMIFS('Данные'!$E$2:$E$505,'Данные'!$J$2:$J$505,A39,'Данные'!$B$2:$B$505,B39)</x:f>
        <x:v>0</x:v>
      </x:c>
      <x:c r="F39" s="6" t="n">
        <x:f>SUMIFS('Данные'!$F$2:$F$505,'Данные'!$J$2:$J$505,A39,'Данные'!$B$2:$B$505,B39)</x:f>
        <x:v>0</x:v>
      </x:c>
      <x:c r="G39" s="6" t="n">
        <x:f>SUMIFS('Данные'!$G$2:$G$505,'Данные'!$J$2:$J$505,A39,'Данные'!$B$2:$B$505,B39)</x:f>
        <x:v>0</x:v>
      </x:c>
      <x:c r="H39" s="6" t="str">
        <x:f>IF(C39=0,"н.д.",G39/C39)</x:f>
        <x:v>н.д.</x:v>
      </x:c>
      <x:c r="I39" s="8" t="str">
        <x:f>IF(E39=0,"н.д.",(D39-E39)/E39)</x:f>
        <x:v>н.д.</x:v>
      </x:c>
      <x:c r="J39" s="8" t="str">
        <x:f>IF(D39=0,"н.д.",(D39-E39-F39)/D39)</x:f>
        <x:v>н.д.</x:v>
      </x:c>
      <x:c r="K39" s="6" t="str">
        <x:f>IF(G39=0,"н.д.",D39/H39)</x:f>
        <x:v>н.д.</x:v>
      </x:c>
      <x:c r="L39" s="1" t="n">
        <x:f>SUMIFS('Данные'!$H$2:$H$505,'Данные'!$J$2:$J$505,A39,'Данные'!$B$2:$B$505,B39)</x:f>
        <x:v>0</x:v>
      </x:c>
      <x:c r="M39" s="1" t="n">
        <x:f>SUMIFS('Данные'!$I$2:$I$505,'Данные'!$J$2:$J$505,A39,'Данные'!$B$2:$B$505,B39)</x:f>
        <x:v>0</x:v>
      </x:c>
      <x:c r="N39" s="1"/>
      <x:c r="O39" s="1"/>
      <x:c r="P39" s="1"/>
      <x:c r="Q39" s="1"/>
    </x:row>
    <x:row r="40" ht="21" customHeight="1">
      <x:c r="A40" s="5" t="n">
        <x:v>43955</x:v>
      </x:c>
      <x:c r="B40" s="1" t="str">
        <x:v>Уфа</x:v>
      </x:c>
      <x:c r="C40" s="1" t="n">
        <x:f>COUNTIFS('Данные'!$J$2:$J$505,A40,'Данные'!$B$2:$B$505,B40)</x:f>
        <x:v>0</x:v>
      </x:c>
      <x:c r="D40" s="6" t="n">
        <x:f>SUMIFS('Данные'!$D$2:$D$505,'Данные'!$J$2:$J$505,A40,'Данные'!$B$2:$B$505,B40)</x:f>
        <x:v>0</x:v>
      </x:c>
      <x:c r="E40" s="6" t="n">
        <x:f>SUMIFS('Данные'!$E$2:$E$505,'Данные'!$J$2:$J$505,A40,'Данные'!$B$2:$B$505,B40)</x:f>
        <x:v>0</x:v>
      </x:c>
      <x:c r="F40" s="6" t="n">
        <x:f>SUMIFS('Данные'!$F$2:$F$505,'Данные'!$J$2:$J$505,A40,'Данные'!$B$2:$B$505,B40)</x:f>
        <x:v>0</x:v>
      </x:c>
      <x:c r="G40" s="6" t="n">
        <x:f>SUMIFS('Данные'!$G$2:$G$505,'Данные'!$J$2:$J$505,A40,'Данные'!$B$2:$B$505,B40)</x:f>
        <x:v>0</x:v>
      </x:c>
      <x:c r="H40" s="6" t="str">
        <x:f>IF(C40=0,"н.д.",G40/C40)</x:f>
        <x:v>н.д.</x:v>
      </x:c>
      <x:c r="I40" s="8" t="str">
        <x:f>IF(E40=0,"н.д.",(D40-E40)/E40)</x:f>
        <x:v>н.д.</x:v>
      </x:c>
      <x:c r="J40" s="8" t="str">
        <x:f>IF(D40=0,"н.д.",(D40-E40-F40)/D40)</x:f>
        <x:v>н.д.</x:v>
      </x:c>
      <x:c r="K40" s="6" t="str">
        <x:f>IF(G40=0,"н.д.",D40/H40)</x:f>
        <x:v>н.д.</x:v>
      </x:c>
      <x:c r="L40" s="1" t="n">
        <x:f>SUMIFS('Данные'!$H$2:$H$505,'Данные'!$J$2:$J$505,A40,'Данные'!$B$2:$B$505,B40)</x:f>
        <x:v>0</x:v>
      </x:c>
      <x:c r="M40" s="1" t="n">
        <x:f>SUMIFS('Данные'!$I$2:$I$505,'Данные'!$J$2:$J$505,A40,'Данные'!$B$2:$B$505,B40)</x:f>
        <x:v>0</x:v>
      </x:c>
      <x:c r="N40" s="1"/>
      <x:c r="O40" s="1"/>
      <x:c r="P40" s="1"/>
      <x:c r="Q40" s="1"/>
    </x:row>
    <x:row r="41" ht="21" customHeight="1">
      <x:c r="A41" s="5" t="n">
        <x:v>43962</x:v>
      </x:c>
      <x:c r="B41" s="1" t="str">
        <x:v>Волгоград</x:v>
      </x:c>
      <x:c r="C41" s="1" t="n">
        <x:f>COUNTIFS('Данные'!$J$2:$J$505,A41,'Данные'!$B$2:$B$505,B41)</x:f>
        <x:v>7</x:v>
      </x:c>
      <x:c r="D41" s="6" t="n">
        <x:f>SUMIFS('Данные'!$D$2:$D$505,'Данные'!$J$2:$J$505,A41,'Данные'!$B$2:$B$505,B41)</x:f>
        <x:v>41300679</x:v>
      </x:c>
      <x:c r="E41" s="6" t="n">
        <x:f>SUMIFS('Данные'!$E$2:$E$505,'Данные'!$J$2:$J$505,A41,'Данные'!$B$2:$B$505,B41)</x:f>
        <x:v>32413619.108999997</x:v>
      </x:c>
      <x:c r="F41" s="6" t="n">
        <x:f>SUMIFS('Данные'!$F$2:$F$505,'Данные'!$J$2:$J$505,A41,'Данные'!$B$2:$B$505,B41)</x:f>
        <x:v>1153474.839607692</x:v>
      </x:c>
      <x:c r="G41" s="6" t="n">
        <x:f>SUMIFS('Данные'!$G$2:$G$505,'Данные'!$J$2:$J$505,A41,'Данные'!$B$2:$B$505,B41)</x:f>
        <x:v>252</x:v>
      </x:c>
      <x:c r="H41" s="6" t="n">
        <x:f>IF(C41=0,"н.д.",G41/C41)</x:f>
        <x:v>36</x:v>
      </x:c>
      <x:c r="I41" s="8" t="n">
        <x:f>IF(E41=0,"н.д.",(D41-E41)/E41)</x:f>
        <x:v>0.2741767237134101</x:v>
      </x:c>
      <x:c r="J41" s="8" t="n">
        <x:f>IF(D41=0,"н.д.",(D41-E41-F41)/D41)</x:f>
        <x:v>0.18725079680632636</x:v>
      </x:c>
      <x:c r="K41" s="6" t="n">
        <x:f>IF(G41=0,"н.д.",D41/H41)</x:f>
        <x:v>1147241.0833333333</x:v>
      </x:c>
      <x:c r="L41" s="1" t="n">
        <x:f>SUMIFS('Данные'!$H$2:$H$505,'Данные'!$J$2:$J$505,A41,'Данные'!$B$2:$B$505,B41)</x:f>
        <x:v>32886</x:v>
      </x:c>
      <x:c r="M41" s="1" t="n">
        <x:f>SUMIFS('Данные'!$I$2:$I$505,'Данные'!$J$2:$J$505,A41,'Данные'!$B$2:$B$505,B41)</x:f>
        <x:v>30356</x:v>
      </x:c>
      <x:c r="N41" s="1"/>
      <x:c r="O41" s="1"/>
      <x:c r="P41" s="1"/>
      <x:c r="Q41" s="1"/>
    </x:row>
    <x:row r="42" ht="21" customHeight="1">
      <x:c r="A42" s="5" t="n">
        <x:v>43962</x:v>
      </x:c>
      <x:c r="B42" s="1" t="str">
        <x:v>Екатеринбург</x:v>
      </x:c>
      <x:c r="C42" s="1" t="n">
        <x:f>COUNTIFS('Данные'!$J$2:$J$505,A42,'Данные'!$B$2:$B$505,B42)</x:f>
        <x:v>7</x:v>
      </x:c>
      <x:c r="D42" s="6" t="n">
        <x:f>SUMIFS('Данные'!$D$2:$D$505,'Данные'!$J$2:$J$505,A42,'Данные'!$B$2:$B$505,B42)</x:f>
        <x:v>47079841.5</x:v>
      </x:c>
      <x:c r="E42" s="6" t="n">
        <x:f>SUMIFS('Данные'!$E$2:$E$505,'Данные'!$J$2:$J$505,A42,'Данные'!$B$2:$B$505,B42)</x:f>
        <x:v>35597400.172</x:v>
      </x:c>
      <x:c r="F42" s="6" t="n">
        <x:f>SUMIFS('Данные'!$F$2:$F$505,'Данные'!$J$2:$J$505,A42,'Данные'!$B$2:$B$505,B42)</x:f>
        <x:v>1103372.8045384614</x:v>
      </x:c>
      <x:c r="G42" s="6" t="n">
        <x:f>SUMIFS('Данные'!$G$2:$G$505,'Данные'!$J$2:$J$505,A42,'Данные'!$B$2:$B$505,B42)</x:f>
        <x:v>217</x:v>
      </x:c>
      <x:c r="H42" s="6" t="n">
        <x:f>IF(C42=0,"н.д.",G42/C42)</x:f>
        <x:v>31</x:v>
      </x:c>
      <x:c r="I42" s="8" t="n">
        <x:f>IF(E42=0,"н.д.",(D42-E42)/E42)</x:f>
        <x:v>0.32256404323121873</x:v>
      </x:c>
      <x:c r="J42" s="8" t="n">
        <x:f>IF(D42=0,"н.д.",(D42-E42-F42)/D42)</x:f>
        <x:v>0.22045674311502386</x:v>
      </x:c>
      <x:c r="K42" s="6" t="n">
        <x:f>IF(G42=0,"н.д.",D42/H42)</x:f>
        <x:v>1518704.564516129</x:v>
      </x:c>
      <x:c r="L42" s="1" t="n">
        <x:f>SUMIFS('Данные'!$H$2:$H$505,'Данные'!$J$2:$J$505,A42,'Данные'!$B$2:$B$505,B42)</x:f>
        <x:v>35555</x:v>
      </x:c>
      <x:c r="M42" s="1" t="n">
        <x:f>SUMIFS('Данные'!$I$2:$I$505,'Данные'!$J$2:$J$505,A42,'Данные'!$B$2:$B$505,B42)</x:f>
        <x:v>32976</x:v>
      </x:c>
      <x:c r="N42" s="1"/>
      <x:c r="O42" s="1"/>
      <x:c r="P42" s="1"/>
      <x:c r="Q42" s="1"/>
    </x:row>
    <x:row r="43" ht="21" customHeight="1">
      <x:c r="A43" s="5" t="n">
        <x:v>43962</x:v>
      </x:c>
      <x:c r="B43" s="1" t="str">
        <x:v>Казань</x:v>
      </x:c>
      <x:c r="C43" s="1" t="n">
        <x:f>COUNTIFS('Данные'!$J$2:$J$505,A43,'Данные'!$B$2:$B$505,B43)</x:f>
        <x:v>7</x:v>
      </x:c>
      <x:c r="D43" s="6" t="n">
        <x:f>SUMIFS('Данные'!$D$2:$D$505,'Данные'!$J$2:$J$505,A43,'Данные'!$B$2:$B$505,B43)</x:f>
        <x:v>23603355</x:v>
      </x:c>
      <x:c r="E43" s="6" t="n">
        <x:f>SUMIFS('Данные'!$E$2:$E$505,'Данные'!$J$2:$J$505,A43,'Данные'!$B$2:$B$505,B43)</x:f>
        <x:v>18713102.851999998</x:v>
      </x:c>
      <x:c r="F43" s="6" t="n">
        <x:f>SUMIFS('Данные'!$F$2:$F$505,'Данные'!$J$2:$J$505,A43,'Данные'!$B$2:$B$505,B43)</x:f>
        <x:v>1451958.8952923077</x:v>
      </x:c>
      <x:c r="G43" s="6" t="n">
        <x:f>SUMIFS('Данные'!$G$2:$G$505,'Данные'!$J$2:$J$505,A43,'Данные'!$B$2:$B$505,B43)</x:f>
        <x:v>147</x:v>
      </x:c>
      <x:c r="H43" s="6" t="n">
        <x:f>IF(C43=0,"н.д.",G43/C43)</x:f>
        <x:v>21</x:v>
      </x:c>
      <x:c r="I43" s="8" t="n">
        <x:f>IF(E43=0,"н.д.",(D43-E43)/E43)</x:f>
        <x:v>0.26132770105933273</x:v>
      </x:c>
      <x:c r="J43" s="8" t="n">
        <x:f>IF(D43=0,"н.д.",(D43-E43-F43)/D43)</x:f>
        <x:v>0.1456696835135384</x:v>
      </x:c>
      <x:c r="K43" s="6" t="n">
        <x:f>IF(G43=0,"н.д.",D43/H43)</x:f>
        <x:v>1123969.2857142857</x:v>
      </x:c>
      <x:c r="L43" s="1" t="n">
        <x:f>SUMIFS('Данные'!$H$2:$H$505,'Данные'!$J$2:$J$505,A43,'Данные'!$B$2:$B$505,B43)</x:f>
        <x:v>14632</x:v>
      </x:c>
      <x:c r="M43" s="1" t="n">
        <x:f>SUMIFS('Данные'!$I$2:$I$505,'Данные'!$J$2:$J$505,A43,'Данные'!$B$2:$B$505,B43)</x:f>
        <x:v>13291</x:v>
      </x:c>
      <x:c r="N43" s="1"/>
      <x:c r="O43" s="1"/>
      <x:c r="P43" s="1"/>
      <x:c r="Q43" s="1"/>
    </x:row>
    <x:row r="44" ht="21" customHeight="1">
      <x:c r="A44" s="5" t="n">
        <x:v>43962</x:v>
      </x:c>
      <x:c r="B44" s="1" t="str">
        <x:v>Кемерово</x:v>
      </x:c>
      <x:c r="C44" s="1" t="n">
        <x:f>COUNTIFS('Данные'!$J$2:$J$505,A44,'Данные'!$B$2:$B$505,B44)</x:f>
        <x:v>7</x:v>
      </x:c>
      <x:c r="D44" s="6" t="n">
        <x:f>SUMIFS('Данные'!$D$2:$D$505,'Данные'!$J$2:$J$505,A44,'Данные'!$B$2:$B$505,B44)</x:f>
        <x:v>19724733</x:v>
      </x:c>
      <x:c r="E44" s="6" t="n">
        <x:f>SUMIFS('Данные'!$E$2:$E$505,'Данные'!$J$2:$J$505,A44,'Данные'!$B$2:$B$505,B44)</x:f>
        <x:v>15706086.412</x:v>
      </x:c>
      <x:c r="F44" s="6" t="n">
        <x:f>SUMIFS('Данные'!$F$2:$F$505,'Данные'!$J$2:$J$505,A44,'Данные'!$B$2:$B$505,B44)</x:f>
        <x:v>2183890.2336</x:v>
      </x:c>
      <x:c r="G44" s="6" t="n">
        <x:f>SUMIFS('Данные'!$G$2:$G$505,'Данные'!$J$2:$J$505,A44,'Данные'!$B$2:$B$505,B44)</x:f>
        <x:v>147</x:v>
      </x:c>
      <x:c r="H44" s="6" t="n">
        <x:f>IF(C44=0,"н.д.",G44/C44)</x:f>
        <x:v>21</x:v>
      </x:c>
      <x:c r="I44" s="8" t="n">
        <x:f>IF(E44=0,"н.д.",(D44-E44)/E44)</x:f>
        <x:v>0.2558655595406385</x:v>
      </x:c>
      <x:c r="J44" s="8" t="n">
        <x:f>IF(D44=0,"н.д.",(D44-E44-F44)/D44)</x:f>
        <x:v>0.09301805780590286</x:v>
      </x:c>
      <x:c r="K44" s="6" t="n">
        <x:f>IF(G44=0,"н.д.",D44/H44)</x:f>
        <x:v>939273</x:v>
      </x:c>
      <x:c r="L44" s="1" t="n">
        <x:f>SUMIFS('Данные'!$H$2:$H$505,'Данные'!$J$2:$J$505,A44,'Данные'!$B$2:$B$505,B44)</x:f>
        <x:v>12602</x:v>
      </x:c>
      <x:c r="M44" s="1" t="n">
        <x:f>SUMIFS('Данные'!$I$2:$I$505,'Данные'!$J$2:$J$505,A44,'Данные'!$B$2:$B$505,B44)</x:f>
        <x:v>11469</x:v>
      </x:c>
      <x:c r="N44" s="1"/>
      <x:c r="O44" s="1"/>
      <x:c r="P44" s="1"/>
      <x:c r="Q44" s="1"/>
    </x:row>
    <x:row r="45" ht="21" customHeight="1">
      <x:c r="A45" s="5" t="n">
        <x:v>43962</x:v>
      </x:c>
      <x:c r="B45" s="1" t="str">
        <x:v>Краснодар</x:v>
      </x:c>
      <x:c r="C45" s="1" t="n">
        <x:f>COUNTIFS('Данные'!$J$2:$J$505,A45,'Данные'!$B$2:$B$505,B45)</x:f>
        <x:v>7</x:v>
      </x:c>
      <x:c r="D45" s="6" t="n">
        <x:f>SUMIFS('Данные'!$D$2:$D$505,'Данные'!$J$2:$J$505,A45,'Данные'!$B$2:$B$505,B45)</x:f>
        <x:v>16732521</x:v>
      </x:c>
      <x:c r="E45" s="6" t="n">
        <x:f>SUMIFS('Данные'!$E$2:$E$505,'Данные'!$J$2:$J$505,A45,'Данные'!$B$2:$B$505,B45)</x:f>
        <x:v>13284890.583999999</x:v>
      </x:c>
      <x:c r="F45" s="6" t="n">
        <x:f>SUMIFS('Данные'!$F$2:$F$505,'Данные'!$J$2:$J$505,A45,'Данные'!$B$2:$B$505,B45)</x:f>
        <x:v>763810.8832923076</x:v>
      </x:c>
      <x:c r="G45" s="6" t="n">
        <x:f>SUMIFS('Данные'!$G$2:$G$505,'Данные'!$J$2:$J$505,A45,'Данные'!$B$2:$B$505,B45)</x:f>
        <x:v>133</x:v>
      </x:c>
      <x:c r="H45" s="6" t="n">
        <x:f>IF(C45=0,"н.д.",G45/C45)</x:f>
        <x:v>19</x:v>
      </x:c>
      <x:c r="I45" s="8" t="n">
        <x:f>IF(E45=0,"н.д.",(D45-E45)/E45)</x:f>
        <x:v>0.25951515326383223</x:v>
      </x:c>
      <x:c r="J45" s="8" t="n">
        <x:f>IF(D45=0,"н.д.",(D45-E45-F45)/D45)</x:f>
        <x:v>0.1603954080026371</x:v>
      </x:c>
      <x:c r="K45" s="6" t="n">
        <x:f>IF(G45=0,"н.д.",D45/H45)</x:f>
        <x:v>880659</x:v>
      </x:c>
      <x:c r="L45" s="1" t="n">
        <x:f>SUMIFS('Данные'!$H$2:$H$505,'Данные'!$J$2:$J$505,A45,'Данные'!$B$2:$B$505,B45)</x:f>
        <x:v>11974</x:v>
      </x:c>
      <x:c r="M45" s="1" t="n">
        <x:f>SUMIFS('Данные'!$I$2:$I$505,'Данные'!$J$2:$J$505,A45,'Данные'!$B$2:$B$505,B45)</x:f>
        <x:v>10893</x:v>
      </x:c>
      <x:c r="N45" s="1"/>
      <x:c r="O45" s="1"/>
      <x:c r="P45" s="1"/>
      <x:c r="Q45" s="1"/>
    </x:row>
    <x:row r="46" ht="21" customHeight="1">
      <x:c r="A46" s="5" t="n">
        <x:v>43962</x:v>
      </x:c>
      <x:c r="B46" s="1" t="str">
        <x:v>Москва Восток</x:v>
      </x:c>
      <x:c r="C46" s="1" t="n">
        <x:f>COUNTIFS('Данные'!$J$2:$J$505,A46,'Данные'!$B$2:$B$505,B46)</x:f>
        <x:v>7</x:v>
      </x:c>
      <x:c r="D46" s="6" t="n">
        <x:f>SUMIFS('Данные'!$D$2:$D$505,'Данные'!$J$2:$J$505,A46,'Данные'!$B$2:$B$505,B46)</x:f>
        <x:v>135813990</x:v>
      </x:c>
      <x:c r="E46" s="6" t="n">
        <x:f>SUMIFS('Данные'!$E$2:$E$505,'Данные'!$J$2:$J$505,A46,'Данные'!$B$2:$B$505,B46)</x:f>
        <x:v>99130725.856</x:v>
      </x:c>
      <x:c r="F46" s="6" t="n">
        <x:f>SUMIFS('Данные'!$F$2:$F$505,'Данные'!$J$2:$J$505,A46,'Данные'!$B$2:$B$505,B46)</x:f>
        <x:v>2331053.594069231</x:v>
      </x:c>
      <x:c r="G46" s="6" t="n">
        <x:f>SUMIFS('Данные'!$G$2:$G$505,'Данные'!$J$2:$J$505,A46,'Данные'!$B$2:$B$505,B46)</x:f>
        <x:v>378</x:v>
      </x:c>
      <x:c r="H46" s="6" t="n">
        <x:f>IF(C46=0,"н.д.",G46/C46)</x:f>
        <x:v>54</x:v>
      </x:c>
      <x:c r="I46" s="8" t="n">
        <x:f>IF(E46=0,"н.д.",(D46-E46)/E46)</x:f>
        <x:v>0.3700493850643957</x:v>
      </x:c>
      <x:c r="J46" s="8" t="n">
        <x:f>IF(D46=0,"н.д.",(D46-E46-F46)/D46)</x:f>
        <x:v>0.2529357288592344</x:v>
      </x:c>
      <x:c r="K46" s="6" t="n">
        <x:f>IF(G46=0,"н.д.",D46/H46)</x:f>
        <x:v>2515073.888888889</x:v>
      </x:c>
      <x:c r="L46" s="1" t="n">
        <x:f>SUMIFS('Данные'!$H$2:$H$505,'Данные'!$J$2:$J$505,A46,'Данные'!$B$2:$B$505,B46)</x:f>
        <x:v>81989</x:v>
      </x:c>
      <x:c r="M46" s="1" t="n">
        <x:f>SUMIFS('Данные'!$I$2:$I$505,'Данные'!$J$2:$J$505,A46,'Данные'!$B$2:$B$505,B46)</x:f>
        <x:v>76861</x:v>
      </x:c>
      <x:c r="N46" s="1"/>
      <x:c r="O46" s="1"/>
      <x:c r="P46" s="1"/>
      <x:c r="Q46" s="1"/>
    </x:row>
    <x:row r="47" ht="21" customHeight="1">
      <x:c r="A47" s="5" t="n">
        <x:v>43962</x:v>
      </x:c>
      <x:c r="B47" s="1" t="str">
        <x:v>Москва Запад</x:v>
      </x:c>
      <x:c r="C47" s="1" t="n">
        <x:f>COUNTIFS('Данные'!$J$2:$J$505,A47,'Данные'!$B$2:$B$505,B47)</x:f>
        <x:v>7</x:v>
      </x:c>
      <x:c r="D47" s="6" t="n">
        <x:f>SUMIFS('Данные'!$D$2:$D$505,'Данные'!$J$2:$J$505,A47,'Данные'!$B$2:$B$505,B47)</x:f>
        <x:v>142825023</x:v>
      </x:c>
      <x:c r="E47" s="6" t="n">
        <x:f>SUMIFS('Данные'!$E$2:$E$505,'Данные'!$J$2:$J$505,A47,'Данные'!$B$2:$B$505,B47)</x:f>
        <x:v>103986135.908</x:v>
      </x:c>
      <x:c r="F47" s="6" t="n">
        <x:f>SUMIFS('Данные'!$F$2:$F$505,'Данные'!$J$2:$J$505,A47,'Данные'!$B$2:$B$505,B47)</x:f>
        <x:v>2373432.107692308</x:v>
      </x:c>
      <x:c r="G47" s="6" t="n">
        <x:f>SUMIFS('Данные'!$G$2:$G$505,'Данные'!$J$2:$J$505,A47,'Данные'!$B$2:$B$505,B47)</x:f>
        <x:v>420</x:v>
      </x:c>
      <x:c r="H47" s="6" t="n">
        <x:f>IF(C47=0,"н.д.",G47/C47)</x:f>
        <x:v>60</x:v>
      </x:c>
      <x:c r="I47" s="8" t="n">
        <x:f>IF(E47=0,"н.д.",(D47-E47)/E47)</x:f>
        <x:v>0.3735006282603101</x:v>
      </x:c>
      <x:c r="J47" s="8" t="n">
        <x:f>IF(D47=0,"н.д.",(D47-E47-F47)/D47)</x:f>
        <x:v>0.25531558979204705</x:v>
      </x:c>
      <x:c r="K47" s="6" t="n">
        <x:f>IF(G47=0,"н.д.",D47/H47)</x:f>
        <x:v>2380417.05</x:v>
      </x:c>
      <x:c r="L47" s="1" t="n">
        <x:f>SUMIFS('Данные'!$H$2:$H$505,'Данные'!$J$2:$J$505,A47,'Данные'!$B$2:$B$505,B47)</x:f>
        <x:v>86333</x:v>
      </x:c>
      <x:c r="M47" s="1" t="n">
        <x:f>SUMIFS('Данные'!$I$2:$I$505,'Данные'!$J$2:$J$505,A47,'Данные'!$B$2:$B$505,B47)</x:f>
        <x:v>80774</x:v>
      </x:c>
      <x:c r="N47" s="1"/>
      <x:c r="O47" s="1"/>
      <x:c r="P47" s="1"/>
      <x:c r="Q47" s="1"/>
    </x:row>
    <x:row r="48" ht="21" customHeight="1">
      <x:c r="A48" s="5" t="n">
        <x:v>43962</x:v>
      </x:c>
      <x:c r="B48" s="1" t="str">
        <x:v>Нижний Новгород</x:v>
      </x:c>
      <x:c r="C48" s="1" t="n">
        <x:f>COUNTIFS('Данные'!$J$2:$J$505,A48,'Данные'!$B$2:$B$505,B48)</x:f>
        <x:v>7</x:v>
      </x:c>
      <x:c r="D48" s="6" t="n">
        <x:f>SUMIFS('Данные'!$D$2:$D$505,'Данные'!$J$2:$J$505,A48,'Данные'!$B$2:$B$505,B48)</x:f>
        <x:v>19963153.5</x:v>
      </x:c>
      <x:c r="E48" s="6" t="n">
        <x:f>SUMIFS('Данные'!$E$2:$E$505,'Данные'!$J$2:$J$505,A48,'Данные'!$B$2:$B$505,B48)</x:f>
        <x:v>15963150.127</x:v>
      </x:c>
      <x:c r="F48" s="6" t="n">
        <x:f>SUMIFS('Данные'!$F$2:$F$505,'Данные'!$J$2:$J$505,A48,'Данные'!$B$2:$B$505,B48)</x:f>
        <x:v>1088568.141430769</x:v>
      </x:c>
      <x:c r="G48" s="6" t="n">
        <x:f>SUMIFS('Данные'!$G$2:$G$505,'Данные'!$J$2:$J$505,A48,'Данные'!$B$2:$B$505,B48)</x:f>
        <x:v>133</x:v>
      </x:c>
      <x:c r="H48" s="6" t="n">
        <x:f>IF(C48=0,"н.д.",G48/C48)</x:f>
        <x:v>19</x:v>
      </x:c>
      <x:c r="I48" s="8" t="n">
        <x:f>IF(E48=0,"н.д.",(D48-E48)/E48)</x:f>
        <x:v>0.2505773197130065</x:v>
      </x:c>
      <x:c r="J48" s="8" t="n">
        <x:f>IF(D48=0,"н.д.",(D48-E48-F48)/D48)</x:f>
        <x:v>0.14584044708012842</x:v>
      </x:c>
      <x:c r="K48" s="6" t="n">
        <x:f>IF(G48=0,"н.д.",D48/H48)</x:f>
        <x:v>1050692.2894736843</x:v>
      </x:c>
      <x:c r="L48" s="1" t="n">
        <x:f>SUMIFS('Данные'!$H$2:$H$505,'Данные'!$J$2:$J$505,A48,'Данные'!$B$2:$B$505,B48)</x:f>
        <x:v>13370</x:v>
      </x:c>
      <x:c r="M48" s="1" t="n">
        <x:f>SUMIFS('Данные'!$I$2:$I$505,'Данные'!$J$2:$J$505,A48,'Данные'!$B$2:$B$505,B48)</x:f>
        <x:v>11868</x:v>
      </x:c>
      <x:c r="N48" s="1"/>
      <x:c r="O48" s="1"/>
      <x:c r="P48" s="1"/>
      <x:c r="Q48" s="1"/>
    </x:row>
    <x:row r="49" ht="21" customHeight="1">
      <x:c r="A49" s="5" t="n">
        <x:v>43962</x:v>
      </x:c>
      <x:c r="B49" s="1" t="str">
        <x:v>Новосибирск</x:v>
      </x:c>
      <x:c r="C49" s="1" t="n">
        <x:f>COUNTIFS('Данные'!$J$2:$J$505,A49,'Данные'!$B$2:$B$505,B49)</x:f>
        <x:v>7</x:v>
      </x:c>
      <x:c r="D49" s="6" t="n">
        <x:f>SUMIFS('Данные'!$D$2:$D$505,'Данные'!$J$2:$J$505,A49,'Данные'!$B$2:$B$505,B49)</x:f>
        <x:v>7841920.5</x:v>
      </x:c>
      <x:c r="E49" s="6" t="n">
        <x:f>SUMIFS('Данные'!$E$2:$E$505,'Данные'!$J$2:$J$505,A49,'Данные'!$B$2:$B$505,B49)</x:f>
        <x:v>6510421.608999999</x:v>
      </x:c>
      <x:c r="F49" s="6" t="n">
        <x:f>SUMIFS('Данные'!$F$2:$F$505,'Данные'!$J$2:$J$505,A49,'Данные'!$B$2:$B$505,B49)</x:f>
        <x:v>1140779.3025538463</x:v>
      </x:c>
      <x:c r="G49" s="6" t="n">
        <x:f>SUMIFS('Данные'!$G$2:$G$505,'Данные'!$J$2:$J$505,A49,'Данные'!$B$2:$B$505,B49)</x:f>
        <x:v>109</x:v>
      </x:c>
      <x:c r="H49" s="6" t="n">
        <x:f>IF(C49=0,"н.д.",G49/C49)</x:f>
        <x:v>15.571428571428571</x:v>
      </x:c>
      <x:c r="I49" s="8" t="n">
        <x:f>IF(E49=0,"н.д.",(D49-E49)/E49)</x:f>
        <x:v>0.2045180743992583</x:v>
      </x:c>
      <x:c r="J49" s="8" t="n">
        <x:f>IF(D49=0,"н.д.",(D49-E49-F49)/D49)</x:f>
        <x:v>0.02432052052123641</x:v>
      </x:c>
      <x:c r="K49" s="6" t="n">
        <x:f>IF(G49=0,"н.д.",D49/H49)</x:f>
        <x:v>503609.5733944954</x:v>
      </x:c>
      <x:c r="L49" s="1" t="n">
        <x:f>SUMIFS('Данные'!$H$2:$H$505,'Данные'!$J$2:$J$505,A49,'Данные'!$B$2:$B$505,B49)</x:f>
        <x:v>5688</x:v>
      </x:c>
      <x:c r="M49" s="1" t="n">
        <x:f>SUMIFS('Данные'!$I$2:$I$505,'Данные'!$J$2:$J$505,A49,'Данные'!$B$2:$B$505,B49)</x:f>
        <x:v>4996</x:v>
      </x:c>
      <x:c r="N49" s="1"/>
      <x:c r="O49" s="1"/>
      <x:c r="P49" s="1"/>
      <x:c r="Q49" s="1"/>
    </x:row>
    <x:row r="50" ht="21" customHeight="1">
      <x:c r="A50" s="5" t="n">
        <x:v>43962</x:v>
      </x:c>
      <x:c r="B50" s="1" t="str">
        <x:v>Пермь</x:v>
      </x:c>
      <x:c r="C50" s="1" t="n">
        <x:f>COUNTIFS('Данные'!$J$2:$J$505,A50,'Данные'!$B$2:$B$505,B50)</x:f>
        <x:v>7</x:v>
      </x:c>
      <x:c r="D50" s="6" t="n">
        <x:f>SUMIFS('Данные'!$D$2:$D$505,'Данные'!$J$2:$J$505,A50,'Данные'!$B$2:$B$505,B50)</x:f>
        <x:v>9036316.5</x:v>
      </x:c>
      <x:c r="E50" s="6" t="n">
        <x:f>SUMIFS('Данные'!$E$2:$E$505,'Данные'!$J$2:$J$505,A50,'Данные'!$B$2:$B$505,B50)</x:f>
        <x:v>7202690.934</x:v>
      </x:c>
      <x:c r="F50" s="6" t="n">
        <x:f>SUMIFS('Данные'!$F$2:$F$505,'Данные'!$J$2:$J$505,A50,'Данные'!$B$2:$B$505,B50)</x:f>
        <x:v>1686947.3593076922</x:v>
      </x:c>
      <x:c r="G50" s="6" t="n">
        <x:f>SUMIFS('Данные'!$G$2:$G$505,'Данные'!$J$2:$J$505,A50,'Данные'!$B$2:$B$505,B50)</x:f>
        <x:v>105</x:v>
      </x:c>
      <x:c r="H50" s="6" t="n">
        <x:f>IF(C50=0,"н.д.",G50/C50)</x:f>
        <x:v>15</x:v>
      </x:c>
      <x:c r="I50" s="8" t="n">
        <x:f>IF(E50=0,"н.д.",(D50-E50)/E50)</x:f>
        <x:v>0.25457507240029514</x:v>
      </x:c>
      <x:c r="J50" s="8" t="n">
        <x:f>IF(D50=0,"н.д.",(D50-E50-F50)/D50)</x:f>
        <x:v>0.016232079375739825</x:v>
      </x:c>
      <x:c r="K50" s="6" t="n">
        <x:f>IF(G50=0,"н.д.",D50/H50)</x:f>
        <x:v>602421.1</x:v>
      </x:c>
      <x:c r="L50" s="1" t="n">
        <x:f>SUMIFS('Данные'!$H$2:$H$505,'Данные'!$J$2:$J$505,A50,'Данные'!$B$2:$B$505,B50)</x:f>
        <x:v>6507</x:v>
      </x:c>
      <x:c r="M50" s="1" t="n">
        <x:f>SUMIFS('Данные'!$I$2:$I$505,'Данные'!$J$2:$J$505,A50,'Данные'!$B$2:$B$505,B50)</x:f>
        <x:v>5744</x:v>
      </x:c>
      <x:c r="N50" s="1"/>
      <x:c r="O50" s="1"/>
      <x:c r="P50" s="1"/>
      <x:c r="Q50" s="1"/>
    </x:row>
    <x:row r="51" ht="21" customHeight="1">
      <x:c r="A51" s="5" t="n">
        <x:v>43962</x:v>
      </x:c>
      <x:c r="B51" s="1" t="str">
        <x:v>Ростов-на-Дону</x:v>
      </x:c>
      <x:c r="C51" s="1" t="n">
        <x:f>COUNTIFS('Данные'!$J$2:$J$505,A51,'Данные'!$B$2:$B$505,B51)</x:f>
        <x:v>7</x:v>
      </x:c>
      <x:c r="D51" s="6" t="n">
        <x:f>SUMIFS('Данные'!$D$2:$D$505,'Данные'!$J$2:$J$505,A51,'Данные'!$B$2:$B$505,B51)</x:f>
        <x:v>7382458.5</x:v>
      </x:c>
      <x:c r="E51" s="6" t="n">
        <x:f>SUMIFS('Данные'!$E$2:$E$505,'Данные'!$J$2:$J$505,A51,'Данные'!$B$2:$B$505,B51)</x:f>
        <x:v>6115222.863999998</x:v>
      </x:c>
      <x:c r="F51" s="6" t="n">
        <x:f>SUMIFS('Данные'!$F$2:$F$505,'Данные'!$J$2:$J$505,A51,'Данные'!$B$2:$B$505,B51)</x:f>
        <x:v>1303164.203153846</x:v>
      </x:c>
      <x:c r="G51" s="6" t="n">
        <x:f>SUMIFS('Данные'!$G$2:$G$505,'Данные'!$J$2:$J$505,A51,'Данные'!$B$2:$B$505,B51)</x:f>
        <x:v>105</x:v>
      </x:c>
      <x:c r="H51" s="6" t="n">
        <x:f>IF(C51=0,"н.д.",G51/C51)</x:f>
        <x:v>15</x:v>
      </x:c>
      <x:c r="I51" s="8" t="n">
        <x:f>IF(E51=0,"н.д.",(D51-E51)/E51)</x:f>
        <x:v>0.20722640273016912</x:v>
      </x:c>
      <x:c r="J51" s="8" t="n">
        <x:f>IF(D51=0,"н.д.",(D51-E51-F51)/D51)</x:f>
        <x:v>-0.004866748272793445</x:v>
      </x:c>
      <x:c r="K51" s="6" t="n">
        <x:f>IF(G51=0,"н.д.",D51/H51)</x:f>
        <x:v>492163.9</x:v>
      </x:c>
      <x:c r="L51" s="1" t="n">
        <x:f>SUMIFS('Данные'!$H$2:$H$505,'Данные'!$J$2:$J$505,A51,'Данные'!$B$2:$B$505,B51)</x:f>
        <x:v>4672</x:v>
      </x:c>
      <x:c r="M51" s="1" t="n">
        <x:f>SUMIFS('Данные'!$I$2:$I$505,'Данные'!$J$2:$J$505,A51,'Данные'!$B$2:$B$505,B51)</x:f>
        <x:v>4022</x:v>
      </x:c>
      <x:c r="N51" s="1"/>
      <x:c r="O51" s="1"/>
      <x:c r="P51" s="1"/>
      <x:c r="Q51" s="1"/>
    </x:row>
    <x:row r="52" ht="21" customHeight="1">
      <x:c r="A52" s="5" t="n">
        <x:v>43962</x:v>
      </x:c>
      <x:c r="B52" s="1" t="str">
        <x:v>Самара</x:v>
      </x:c>
      <x:c r="C52" s="1" t="n">
        <x:f>COUNTIFS('Данные'!$J$2:$J$505,A52,'Данные'!$B$2:$B$505,B52)</x:f>
        <x:v>0</x:v>
      </x:c>
      <x:c r="D52" s="6" t="n">
        <x:f>SUMIFS('Данные'!$D$2:$D$505,'Данные'!$J$2:$J$505,A52,'Данные'!$B$2:$B$505,B52)</x:f>
        <x:v>0</x:v>
      </x:c>
      <x:c r="E52" s="6" t="n">
        <x:f>SUMIFS('Данные'!$E$2:$E$505,'Данные'!$J$2:$J$505,A52,'Данные'!$B$2:$B$505,B52)</x:f>
        <x:v>0</x:v>
      </x:c>
      <x:c r="F52" s="6" t="n">
        <x:f>SUMIFS('Данные'!$F$2:$F$505,'Данные'!$J$2:$J$505,A52,'Данные'!$B$2:$B$505,B52)</x:f>
        <x:v>0</x:v>
      </x:c>
      <x:c r="G52" s="6" t="n">
        <x:f>SUMIFS('Данные'!$G$2:$G$505,'Данные'!$J$2:$J$505,A52,'Данные'!$B$2:$B$505,B52)</x:f>
        <x:v>0</x:v>
      </x:c>
      <x:c r="H52" s="6" t="str">
        <x:f>IF(C52=0,"н.д.",G52/C52)</x:f>
        <x:v>н.д.</x:v>
      </x:c>
      <x:c r="I52" s="8" t="str">
        <x:f>IF(E52=0,"н.д.",(D52-E52)/E52)</x:f>
        <x:v>н.д.</x:v>
      </x:c>
      <x:c r="J52" s="8" t="str">
        <x:f>IF(D52=0,"н.д.",(D52-E52-F52)/D52)</x:f>
        <x:v>н.д.</x:v>
      </x:c>
      <x:c r="K52" s="6" t="str">
        <x:f>IF(G52=0,"н.д.",D52/H52)</x:f>
        <x:v>н.д.</x:v>
      </x:c>
      <x:c r="L52" s="1" t="n">
        <x:f>SUMIFS('Данные'!$H$2:$H$505,'Данные'!$J$2:$J$505,A52,'Данные'!$B$2:$B$505,B52)</x:f>
        <x:v>0</x:v>
      </x:c>
      <x:c r="M52" s="1" t="n">
        <x:f>SUMIFS('Данные'!$I$2:$I$505,'Данные'!$J$2:$J$505,A52,'Данные'!$B$2:$B$505,B52)</x:f>
        <x:v>0</x:v>
      </x:c>
      <x:c r="N52" s="1"/>
      <x:c r="O52" s="1"/>
      <x:c r="P52" s="1"/>
      <x:c r="Q52" s="1"/>
    </x:row>
    <x:row r="53" ht="21" customHeight="1">
      <x:c r="A53" s="5" t="n">
        <x:v>43962</x:v>
      </x:c>
      <x:c r="B53" s="1" t="str">
        <x:v>Санкт-Петербург Север</x:v>
      </x:c>
      <x:c r="C53" s="1" t="n">
        <x:f>COUNTIFS('Данные'!$J$2:$J$505,A53,'Данные'!$B$2:$B$505,B53)</x:f>
        <x:v>7</x:v>
      </x:c>
      <x:c r="D53" s="6" t="n">
        <x:f>SUMIFS('Данные'!$D$2:$D$505,'Данные'!$J$2:$J$505,A53,'Данные'!$B$2:$B$505,B53)</x:f>
        <x:v>269949999</x:v>
      </x:c>
      <x:c r="E53" s="6" t="n">
        <x:f>SUMIFS('Данные'!$E$2:$E$505,'Данные'!$J$2:$J$505,A53,'Данные'!$B$2:$B$505,B53)</x:f>
        <x:v>196016864.889</x:v>
      </x:c>
      <x:c r="F53" s="6" t="n">
        <x:f>SUMIFS('Данные'!$F$2:$F$505,'Данные'!$J$2:$J$505,A53,'Данные'!$B$2:$B$505,B53)</x:f>
        <x:v>3940487.6369000003</x:v>
      </x:c>
      <x:c r="G53" s="6" t="n">
        <x:f>SUMIFS('Данные'!$G$2:$G$505,'Данные'!$J$2:$J$505,A53,'Данные'!$B$2:$B$505,B53)</x:f>
        <x:v>875</x:v>
      </x:c>
      <x:c r="H53" s="6" t="n">
        <x:f>IF(C53=0,"н.д.",G53/C53)</x:f>
        <x:v>125</x:v>
      </x:c>
      <x:c r="I53" s="8" t="n">
        <x:f>IF(E53=0,"н.д.",(D53-E53)/E53)</x:f>
        <x:v>0.37717741354993456</x:v>
      </x:c>
      <x:c r="J53" s="8" t="n">
        <x:f>IF(D53=0,"н.д.",(D53-E53-F53)/D53)</x:f>
        <x:v>0.25928003976062247</x:v>
      </x:c>
      <x:c r="K53" s="6" t="n">
        <x:f>IF(G53=0,"н.д.",D53/H53)</x:f>
        <x:v>2159599.992</x:v>
      </x:c>
      <x:c r="L53" s="1" t="n">
        <x:f>SUMIFS('Данные'!$H$2:$H$505,'Данные'!$J$2:$J$505,A53,'Данные'!$B$2:$B$505,B53)</x:f>
        <x:v>143616</x:v>
      </x:c>
      <x:c r="M53" s="1" t="n">
        <x:f>SUMIFS('Данные'!$I$2:$I$505,'Данные'!$J$2:$J$505,A53,'Данные'!$B$2:$B$505,B53)</x:f>
        <x:v>133510</x:v>
      </x:c>
      <x:c r="N53" s="1"/>
      <x:c r="O53" s="1"/>
      <x:c r="P53" s="1"/>
      <x:c r="Q53" s="1"/>
    </x:row>
    <x:row r="54" ht="21" customHeight="1">
      <x:c r="A54" s="5" t="n">
        <x:v>43962</x:v>
      </x:c>
      <x:c r="B54" s="1" t="str">
        <x:v>Санкт-Петербург Юг</x:v>
      </x:c>
      <x:c r="C54" s="1" t="n">
        <x:f>COUNTIFS('Данные'!$J$2:$J$505,A54,'Данные'!$B$2:$B$505,B54)</x:f>
        <x:v>7</x:v>
      </x:c>
      <x:c r="D54" s="6" t="n">
        <x:f>SUMIFS('Данные'!$D$2:$D$505,'Данные'!$J$2:$J$505,A54,'Данные'!$B$2:$B$505,B54)</x:f>
        <x:v>199569624.22395</x:v>
      </x:c>
      <x:c r="E54" s="6" t="n">
        <x:f>SUMIFS('Данные'!$E$2:$E$505,'Данные'!$J$2:$J$505,A54,'Данные'!$B$2:$B$505,B54)</x:f>
        <x:v>145409726.83099997</x:v>
      </x:c>
      <x:c r="F54" s="6" t="n">
        <x:f>SUMIFS('Данные'!$F$2:$F$505,'Данные'!$J$2:$J$505,A54,'Данные'!$B$2:$B$505,B54)</x:f>
        <x:v>4604449.348507692</x:v>
      </x:c>
      <x:c r="G54" s="6" t="n">
        <x:f>SUMIFS('Данные'!$G$2:$G$505,'Данные'!$J$2:$J$505,A54,'Данные'!$B$2:$B$505,B54)</x:f>
        <x:v>903</x:v>
      </x:c>
      <x:c r="H54" s="6" t="n">
        <x:f>IF(C54=0,"н.д.",G54/C54)</x:f>
        <x:v>129</x:v>
      </x:c>
      <x:c r="I54" s="8" t="n">
        <x:f>IF(E54=0,"н.д.",(D54-E54)/E54)</x:f>
        <x:v>0.3724640611965145</x:v>
      </x:c>
      <x:c r="J54" s="8" t="n">
        <x:f>IF(D54=0,"н.д.",(D54-E54-F54)/D54)</x:f>
        <x:v>0.24831157665974735</x:v>
      </x:c>
      <x:c r="K54" s="6" t="n">
        <x:f>IF(G54=0,"н.д.",D54/H54)</x:f>
        <x:v>1547051.350573256</x:v>
      </x:c>
      <x:c r="L54" s="1" t="n">
        <x:f>SUMIFS('Данные'!$H$2:$H$505,'Данные'!$J$2:$J$505,A54,'Данные'!$B$2:$B$505,B54)</x:f>
        <x:v>113004</x:v>
      </x:c>
      <x:c r="M54" s="1" t="n">
        <x:f>SUMIFS('Данные'!$I$2:$I$505,'Данные'!$J$2:$J$505,A54,'Данные'!$B$2:$B$505,B54)</x:f>
        <x:v>105344</x:v>
      </x:c>
      <x:c r="N54" s="1"/>
      <x:c r="O54" s="1"/>
      <x:c r="P54" s="1"/>
      <x:c r="Q54" s="1"/>
    </x:row>
    <x:row r="55" ht="21" customHeight="1">
      <x:c r="A55" s="5" t="n">
        <x:v>43962</x:v>
      </x:c>
      <x:c r="B55" s="1" t="str">
        <x:v>Тольятти</x:v>
      </x:c>
      <x:c r="C55" s="1" t="n">
        <x:f>COUNTIFS('Данные'!$J$2:$J$505,A55,'Данные'!$B$2:$B$505,B55)</x:f>
        <x:v>7</x:v>
      </x:c>
      <x:c r="D55" s="6" t="n">
        <x:f>SUMIFS('Данные'!$D$2:$D$505,'Данные'!$J$2:$J$505,A55,'Данные'!$B$2:$B$505,B55)</x:f>
        <x:v>6439392</x:v>
      </x:c>
      <x:c r="E55" s="6" t="n">
        <x:f>SUMIFS('Данные'!$E$2:$E$505,'Данные'!$J$2:$J$505,A55,'Данные'!$B$2:$B$505,B55)</x:f>
        <x:v>5726486.329</x:v>
      </x:c>
      <x:c r="F55" s="6" t="n">
        <x:f>SUMIFS('Данные'!$F$2:$F$505,'Данные'!$J$2:$J$505,A55,'Данные'!$B$2:$B$505,B55)</x:f>
        <x:v>712207.2877846153</x:v>
      </x:c>
      <x:c r="G55" s="6" t="n">
        <x:f>SUMIFS('Данные'!$G$2:$G$505,'Данные'!$J$2:$J$505,A55,'Данные'!$B$2:$B$505,B55)</x:f>
        <x:v>70</x:v>
      </x:c>
      <x:c r="H55" s="6" t="n">
        <x:f>IF(C55=0,"н.д.",G55/C55)</x:f>
        <x:v>10</x:v>
      </x:c>
      <x:c r="I55" s="8" t="n">
        <x:f>IF(E55=0,"н.д.",(D55-E55)/E55)</x:f>
        <x:v>0.12449268714564325</x:v>
      </x:c>
      <x:c r="J55" s="8" t="n">
        <x:f>IF(D55=0,"н.д.",(D55-E55-F55)/D55)</x:f>
        <x:v>0.00010845483787674219</x:v>
      </x:c>
      <x:c r="K55" s="6" t="n">
        <x:f>IF(G55=0,"н.д.",D55/H55)</x:f>
        <x:v>643939.2</x:v>
      </x:c>
      <x:c r="L55" s="1" t="n">
        <x:f>SUMIFS('Данные'!$H$2:$H$505,'Данные'!$J$2:$J$505,A55,'Данные'!$B$2:$B$505,B55)</x:f>
        <x:v>4353</x:v>
      </x:c>
      <x:c r="M55" s="1" t="n">
        <x:f>SUMIFS('Данные'!$I$2:$I$505,'Данные'!$J$2:$J$505,A55,'Данные'!$B$2:$B$505,B55)</x:f>
        <x:v>3781</x:v>
      </x:c>
      <x:c r="N55" s="1"/>
      <x:c r="O55" s="1"/>
      <x:c r="P55" s="1"/>
      <x:c r="Q55" s="1"/>
    </x:row>
    <x:row r="56" ht="21" customHeight="1">
      <x:c r="A56" s="5" t="n">
        <x:v>43962</x:v>
      </x:c>
      <x:c r="B56" s="1" t="str">
        <x:v>Томск</x:v>
      </x:c>
      <x:c r="C56" s="1" t="n">
        <x:f>COUNTIFS('Данные'!$J$2:$J$505,A56,'Данные'!$B$2:$B$505,B56)</x:f>
        <x:v>0</x:v>
      </x:c>
      <x:c r="D56" s="6" t="n">
        <x:f>SUMIFS('Данные'!$D$2:$D$505,'Данные'!$J$2:$J$505,A56,'Данные'!$B$2:$B$505,B56)</x:f>
        <x:v>0</x:v>
      </x:c>
      <x:c r="E56" s="6" t="n">
        <x:f>SUMIFS('Данные'!$E$2:$E$505,'Данные'!$J$2:$J$505,A56,'Данные'!$B$2:$B$505,B56)</x:f>
        <x:v>0</x:v>
      </x:c>
      <x:c r="F56" s="6" t="n">
        <x:f>SUMIFS('Данные'!$F$2:$F$505,'Данные'!$J$2:$J$505,A56,'Данные'!$B$2:$B$505,B56)</x:f>
        <x:v>0</x:v>
      </x:c>
      <x:c r="G56" s="6" t="n">
        <x:f>SUMIFS('Данные'!$G$2:$G$505,'Данные'!$J$2:$J$505,A56,'Данные'!$B$2:$B$505,B56)</x:f>
        <x:v>0</x:v>
      </x:c>
      <x:c r="H56" s="6" t="str">
        <x:f>IF(C56=0,"н.д.",G56/C56)</x:f>
        <x:v>н.д.</x:v>
      </x:c>
      <x:c r="I56" s="8" t="str">
        <x:f>IF(E56=0,"н.д.",(D56-E56)/E56)</x:f>
        <x:v>н.д.</x:v>
      </x:c>
      <x:c r="J56" s="8" t="str">
        <x:f>IF(D56=0,"н.д.",(D56-E56-F56)/D56)</x:f>
        <x:v>н.д.</x:v>
      </x:c>
      <x:c r="K56" s="6" t="str">
        <x:f>IF(G56=0,"н.д.",D56/H56)</x:f>
        <x:v>н.д.</x:v>
      </x:c>
      <x:c r="L56" s="1" t="n">
        <x:f>SUMIFS('Данные'!$H$2:$H$505,'Данные'!$J$2:$J$505,A56,'Данные'!$B$2:$B$505,B56)</x:f>
        <x:v>0</x:v>
      </x:c>
      <x:c r="M56" s="1" t="n">
        <x:f>SUMIFS('Данные'!$I$2:$I$505,'Данные'!$J$2:$J$505,A56,'Данные'!$B$2:$B$505,B56)</x:f>
        <x:v>0</x:v>
      </x:c>
      <x:c r="N56" s="1"/>
      <x:c r="O56" s="1"/>
      <x:c r="P56" s="1"/>
      <x:c r="Q56" s="1"/>
    </x:row>
    <x:row r="57" ht="21" customHeight="1">
      <x:c r="A57" s="5" t="n">
        <x:v>43962</x:v>
      </x:c>
      <x:c r="B57" s="1" t="str">
        <x:v>Тюмень</x:v>
      </x:c>
      <x:c r="C57" s="1" t="n">
        <x:f>COUNTIFS('Данные'!$J$2:$J$505,A57,'Данные'!$B$2:$B$505,B57)</x:f>
        <x:v>0</x:v>
      </x:c>
      <x:c r="D57" s="6" t="n">
        <x:f>SUMIFS('Данные'!$D$2:$D$505,'Данные'!$J$2:$J$505,A57,'Данные'!$B$2:$B$505,B57)</x:f>
        <x:v>0</x:v>
      </x:c>
      <x:c r="E57" s="6" t="n">
        <x:f>SUMIFS('Данные'!$E$2:$E$505,'Данные'!$J$2:$J$505,A57,'Данные'!$B$2:$B$505,B57)</x:f>
        <x:v>0</x:v>
      </x:c>
      <x:c r="F57" s="6" t="n">
        <x:f>SUMIFS('Данные'!$F$2:$F$505,'Данные'!$J$2:$J$505,A57,'Данные'!$B$2:$B$505,B57)</x:f>
        <x:v>0</x:v>
      </x:c>
      <x:c r="G57" s="6" t="n">
        <x:f>SUMIFS('Данные'!$G$2:$G$505,'Данные'!$J$2:$J$505,A57,'Данные'!$B$2:$B$505,B57)</x:f>
        <x:v>0</x:v>
      </x:c>
      <x:c r="H57" s="6" t="str">
        <x:f>IF(C57=0,"н.д.",G57/C57)</x:f>
        <x:v>н.д.</x:v>
      </x:c>
      <x:c r="I57" s="8" t="str">
        <x:f>IF(E57=0,"н.д.",(D57-E57)/E57)</x:f>
        <x:v>н.д.</x:v>
      </x:c>
      <x:c r="J57" s="8" t="str">
        <x:f>IF(D57=0,"н.д.",(D57-E57-F57)/D57)</x:f>
        <x:v>н.д.</x:v>
      </x:c>
      <x:c r="K57" s="6" t="str">
        <x:f>IF(G57=0,"н.д.",D57/H57)</x:f>
        <x:v>н.д.</x:v>
      </x:c>
      <x:c r="L57" s="1" t="n">
        <x:f>SUMIFS('Данные'!$H$2:$H$505,'Данные'!$J$2:$J$505,A57,'Данные'!$B$2:$B$505,B57)</x:f>
        <x:v>0</x:v>
      </x:c>
      <x:c r="M57" s="1" t="n">
        <x:f>SUMIFS('Данные'!$I$2:$I$505,'Данные'!$J$2:$J$505,A57,'Данные'!$B$2:$B$505,B57)</x:f>
        <x:v>0</x:v>
      </x:c>
      <x:c r="N57" s="1"/>
      <x:c r="O57" s="1"/>
      <x:c r="P57" s="1"/>
      <x:c r="Q57" s="1"/>
    </x:row>
    <x:row r="58" ht="21" customHeight="1">
      <x:c r="A58" s="5" t="n">
        <x:v>43962</x:v>
      </x:c>
      <x:c r="B58" s="1" t="str">
        <x:v>Уфа</x:v>
      </x:c>
      <x:c r="C58" s="1" t="n">
        <x:f>COUNTIFS('Данные'!$J$2:$J$505,A58,'Данные'!$B$2:$B$505,B58)</x:f>
        <x:v>0</x:v>
      </x:c>
      <x:c r="D58" s="6" t="n">
        <x:f>SUMIFS('Данные'!$D$2:$D$505,'Данные'!$J$2:$J$505,A58,'Данные'!$B$2:$B$505,B58)</x:f>
        <x:v>0</x:v>
      </x:c>
      <x:c r="E58" s="6" t="n">
        <x:f>SUMIFS('Данные'!$E$2:$E$505,'Данные'!$J$2:$J$505,A58,'Данные'!$B$2:$B$505,B58)</x:f>
        <x:v>0</x:v>
      </x:c>
      <x:c r="F58" s="6" t="n">
        <x:f>SUMIFS('Данные'!$F$2:$F$505,'Данные'!$J$2:$J$505,A58,'Данные'!$B$2:$B$505,B58)</x:f>
        <x:v>0</x:v>
      </x:c>
      <x:c r="G58" s="6" t="n">
        <x:f>SUMIFS('Данные'!$G$2:$G$505,'Данные'!$J$2:$J$505,A58,'Данные'!$B$2:$B$505,B58)</x:f>
        <x:v>0</x:v>
      </x:c>
      <x:c r="H58" s="6" t="str">
        <x:f>IF(C58=0,"н.д.",G58/C58)</x:f>
        <x:v>н.д.</x:v>
      </x:c>
      <x:c r="I58" s="8" t="str">
        <x:f>IF(E58=0,"н.д.",(D58-E58)/E58)</x:f>
        <x:v>н.д.</x:v>
      </x:c>
      <x:c r="J58" s="8" t="str">
        <x:f>IF(D58=0,"н.д.",(D58-E58-F58)/D58)</x:f>
        <x:v>н.д.</x:v>
      </x:c>
      <x:c r="K58" s="6" t="str">
        <x:f>IF(G58=0,"н.д.",D58/H58)</x:f>
        <x:v>н.д.</x:v>
      </x:c>
      <x:c r="L58" s="1" t="n">
        <x:f>SUMIFS('Данные'!$H$2:$H$505,'Данные'!$J$2:$J$505,A58,'Данные'!$B$2:$B$505,B58)</x:f>
        <x:v>0</x:v>
      </x:c>
      <x:c r="M58" s="1" t="n">
        <x:f>SUMIFS('Данные'!$I$2:$I$505,'Данные'!$J$2:$J$505,A58,'Данные'!$B$2:$B$505,B58)</x:f>
        <x:v>0</x:v>
      </x:c>
      <x:c r="N58" s="1"/>
      <x:c r="O58" s="1"/>
      <x:c r="P58" s="1"/>
      <x:c r="Q58" s="1"/>
    </x:row>
    <x:row r="59" ht="21" customHeight="1">
      <x:c r="A59" s="5" t="n">
        <x:v>43969</x:v>
      </x:c>
      <x:c r="B59" s="1" t="str">
        <x:v>Волгоград</x:v>
      </x:c>
      <x:c r="C59" s="1" t="n">
        <x:f>COUNTIFS('Данные'!$J$2:$J$505,A59,'Данные'!$B$2:$B$505,B59)</x:f>
        <x:v>7</x:v>
      </x:c>
      <x:c r="D59" s="6" t="n">
        <x:f>SUMIFS('Данные'!$D$2:$D$505,'Данные'!$J$2:$J$505,A59,'Данные'!$B$2:$B$505,B59)</x:f>
        <x:v>44172813</x:v>
      </x:c>
      <x:c r="E59" s="6" t="n">
        <x:f>SUMIFS('Данные'!$E$2:$E$505,'Данные'!$J$2:$J$505,A59,'Данные'!$B$2:$B$505,B59)</x:f>
        <x:v>36684709.173</x:v>
      </x:c>
      <x:c r="F59" s="6" t="n">
        <x:f>SUMIFS('Данные'!$F$2:$F$505,'Данные'!$J$2:$J$505,A59,'Данные'!$B$2:$B$505,B59)</x:f>
        <x:v>1350955.4363538462</x:v>
      </x:c>
      <x:c r="G59" s="6" t="n">
        <x:f>SUMIFS('Данные'!$G$2:$G$505,'Данные'!$J$2:$J$505,A59,'Данные'!$B$2:$B$505,B59)</x:f>
        <x:v>252</x:v>
      </x:c>
      <x:c r="H59" s="6" t="n">
        <x:f>IF(C59=0,"н.д.",G59/C59)</x:f>
        <x:v>36</x:v>
      </x:c>
      <x:c r="I59" s="8" t="n">
        <x:f>IF(E59=0,"н.д.",(D59-E59)/E59)</x:f>
        <x:v>0.20412057218955015</x:v>
      </x:c>
      <x:c r="J59" s="8" t="n">
        <x:f>IF(D59=0,"н.д.",(D59-E59-F59)/D59)</x:f>
        <x:v>0.13893496867963</x:v>
      </x:c>
      <x:c r="K59" s="6" t="n">
        <x:f>IF(G59=0,"н.д.",D59/H59)</x:f>
        <x:v>1227022.5833333333</x:v>
      </x:c>
      <x:c r="L59" s="1" t="n">
        <x:f>SUMIFS('Данные'!$H$2:$H$505,'Данные'!$J$2:$J$505,A59,'Данные'!$B$2:$B$505,B59)</x:f>
        <x:v>36132</x:v>
      </x:c>
      <x:c r="M59" s="1" t="n">
        <x:f>SUMIFS('Данные'!$I$2:$I$505,'Данные'!$J$2:$J$505,A59,'Данные'!$B$2:$B$505,B59)</x:f>
        <x:v>33284</x:v>
      </x:c>
      <x:c r="N59" s="1"/>
      <x:c r="O59" s="1"/>
      <x:c r="P59" s="1"/>
      <x:c r="Q59" s="1"/>
    </x:row>
    <x:row r="60" ht="21" customHeight="1">
      <x:c r="A60" s="5" t="n">
        <x:v>43969</x:v>
      </x:c>
      <x:c r="B60" s="1" t="str">
        <x:v>Екатеринбург</x:v>
      </x:c>
      <x:c r="C60" s="1" t="n">
        <x:f>COUNTIFS('Данные'!$J$2:$J$505,A60,'Данные'!$B$2:$B$505,B60)</x:f>
        <x:v>7</x:v>
      </x:c>
      <x:c r="D60" s="6" t="n">
        <x:f>SUMIFS('Данные'!$D$2:$D$505,'Данные'!$J$2:$J$505,A60,'Данные'!$B$2:$B$505,B60)</x:f>
        <x:v>49575288</x:v>
      </x:c>
      <x:c r="E60" s="6" t="n">
        <x:f>SUMIFS('Данные'!$E$2:$E$505,'Данные'!$J$2:$J$505,A60,'Данные'!$B$2:$B$505,B60)</x:f>
        <x:v>39724986.72500001</x:v>
      </x:c>
      <x:c r="F60" s="6" t="n">
        <x:f>SUMIFS('Данные'!$F$2:$F$505,'Данные'!$J$2:$J$505,A60,'Данные'!$B$2:$B$505,B60)</x:f>
        <x:v>1543160.6804769232</x:v>
      </x:c>
      <x:c r="G60" s="6" t="n">
        <x:f>SUMIFS('Данные'!$G$2:$G$505,'Данные'!$J$2:$J$505,A60,'Данные'!$B$2:$B$505,B60)</x:f>
        <x:v>217</x:v>
      </x:c>
      <x:c r="H60" s="6" t="n">
        <x:f>IF(C60=0,"н.д.",G60/C60)</x:f>
        <x:v>31</x:v>
      </x:c>
      <x:c r="I60" s="8" t="n">
        <x:f>IF(E60=0,"н.д.",(D60-E60)/E60)</x:f>
        <x:v>0.2479623553606106</x:v>
      </x:c>
      <x:c r="J60" s="8" t="n">
        <x:f>IF(D60=0,"н.д.",(D60-E60-F60)/D60)</x:f>
        <x:v>0.16756615906140712</x:v>
      </x:c>
      <x:c r="K60" s="6" t="n">
        <x:f>IF(G60=0,"н.д.",D60/H60)</x:f>
        <x:v>1599202.8387096773</x:v>
      </x:c>
      <x:c r="L60" s="1" t="n">
        <x:f>SUMIFS('Данные'!$H$2:$H$505,'Данные'!$J$2:$J$505,A60,'Данные'!$B$2:$B$505,B60)</x:f>
        <x:v>38735</x:v>
      </x:c>
      <x:c r="M60" s="1" t="n">
        <x:f>SUMIFS('Данные'!$I$2:$I$505,'Данные'!$J$2:$J$505,A60,'Данные'!$B$2:$B$505,B60)</x:f>
        <x:v>35980</x:v>
      </x:c>
      <x:c r="N60" s="1"/>
      <x:c r="O60" s="1"/>
      <x:c r="P60" s="1"/>
      <x:c r="Q60" s="1"/>
    </x:row>
    <x:row r="61" ht="21" customHeight="1">
      <x:c r="A61" s="5" t="n">
        <x:v>43969</x:v>
      </x:c>
      <x:c r="B61" s="1" t="str">
        <x:v>Казань</x:v>
      </x:c>
      <x:c r="C61" s="1" t="n">
        <x:f>COUNTIFS('Данные'!$J$2:$J$505,A61,'Данные'!$B$2:$B$505,B61)</x:f>
        <x:v>7</x:v>
      </x:c>
      <x:c r="D61" s="6" t="n">
        <x:f>SUMIFS('Данные'!$D$2:$D$505,'Данные'!$J$2:$J$505,A61,'Данные'!$B$2:$B$505,B61)</x:f>
        <x:v>26815804.5</x:v>
      </x:c>
      <x:c r="E61" s="6" t="n">
        <x:f>SUMIFS('Данные'!$E$2:$E$505,'Данные'!$J$2:$J$505,A61,'Данные'!$B$2:$B$505,B61)</x:f>
        <x:v>21546858.08</x:v>
      </x:c>
      <x:c r="F61" s="6" t="n">
        <x:f>SUMIFS('Данные'!$F$2:$F$505,'Данные'!$J$2:$J$505,A61,'Данные'!$B$2:$B$505,B61)</x:f>
        <x:v>1281966.4175153845</x:v>
      </x:c>
      <x:c r="G61" s="6" t="n">
        <x:f>SUMIFS('Данные'!$G$2:$G$505,'Данные'!$J$2:$J$505,A61,'Данные'!$B$2:$B$505,B61)</x:f>
        <x:v>147</x:v>
      </x:c>
      <x:c r="H61" s="6" t="n">
        <x:f>IF(C61=0,"н.д.",G61/C61)</x:f>
        <x:v>21</x:v>
      </x:c>
      <x:c r="I61" s="8" t="n">
        <x:f>IF(E61=0,"н.д.",(D61-E61)/E61)</x:f>
        <x:v>0.24453432609233589</x:v>
      </x:c>
      <x:c r="J61" s="8" t="n">
        <x:f>IF(D61=0,"н.д.",(D61-E61-F61)/D61)</x:f>
        <x:v>0.14868023081256493</x:v>
      </x:c>
      <x:c r="K61" s="6" t="n">
        <x:f>IF(G61=0,"н.д.",D61/H61)</x:f>
        <x:v>1276943.0714285714</x:v>
      </x:c>
      <x:c r="L61" s="1" t="n">
        <x:f>SUMIFS('Данные'!$H$2:$H$505,'Данные'!$J$2:$J$505,A61,'Данные'!$B$2:$B$505,B61)</x:f>
        <x:v>16701</x:v>
      </x:c>
      <x:c r="M61" s="1" t="n">
        <x:f>SUMIFS('Данные'!$I$2:$I$505,'Данные'!$J$2:$J$505,A61,'Данные'!$B$2:$B$505,B61)</x:f>
        <x:v>15227</x:v>
      </x:c>
      <x:c r="N61" s="1"/>
      <x:c r="O61" s="1"/>
      <x:c r="P61" s="1"/>
      <x:c r="Q61" s="1"/>
    </x:row>
    <x:row r="62" ht="21" customHeight="1">
      <x:c r="A62" s="5" t="n">
        <x:v>43969</x:v>
      </x:c>
      <x:c r="B62" s="1" t="str">
        <x:v>Кемерово</x:v>
      </x:c>
      <x:c r="C62" s="1" t="n">
        <x:f>COUNTIFS('Данные'!$J$2:$J$505,A62,'Данные'!$B$2:$B$505,B62)</x:f>
        <x:v>7</x:v>
      </x:c>
      <x:c r="D62" s="6" t="n">
        <x:f>SUMIFS('Данные'!$D$2:$D$505,'Данные'!$J$2:$J$505,A62,'Данные'!$B$2:$B$505,B62)</x:f>
        <x:v>20915751</x:v>
      </x:c>
      <x:c r="E62" s="6" t="n">
        <x:f>SUMIFS('Данные'!$E$2:$E$505,'Данные'!$J$2:$J$505,A62,'Данные'!$B$2:$B$505,B62)</x:f>
        <x:v>17150806.778999995</x:v>
      </x:c>
      <x:c r="F62" s="6" t="n">
        <x:f>SUMIFS('Данные'!$F$2:$F$505,'Данные'!$J$2:$J$505,A62,'Данные'!$B$2:$B$505,B62)</x:f>
        <x:v>2217684.084084615</x:v>
      </x:c>
      <x:c r="G62" s="6" t="n">
        <x:f>SUMIFS('Данные'!$G$2:$G$505,'Данные'!$J$2:$J$505,A62,'Данные'!$B$2:$B$505,B62)</x:f>
        <x:v>146</x:v>
      </x:c>
      <x:c r="H62" s="6" t="n">
        <x:f>IF(C62=0,"н.д.",G62/C62)</x:f>
        <x:v>20.857142857142858</x:v>
      </x:c>
      <x:c r="I62" s="8" t="n">
        <x:f>IF(E62=0,"н.д.",(D62-E62)/E62)</x:f>
        <x:v>0.21951994850819057</x:v>
      </x:c>
      <x:c r="J62" s="8" t="n">
        <x:f>IF(D62=0,"н.д.",(D62-E62-F62)/D62)</x:f>
        <x:v>0.07397583461934451</x:v>
      </x:c>
      <x:c r="K62" s="6" t="n">
        <x:f>IF(G62=0,"н.д.",D62/H62)</x:f>
        <x:v>1002809.9794520547</x:v>
      </x:c>
      <x:c r="L62" s="1" t="n">
        <x:f>SUMIFS('Данные'!$H$2:$H$505,'Данные'!$J$2:$J$505,A62,'Данные'!$B$2:$B$505,B62)</x:f>
        <x:v>13787</x:v>
      </x:c>
      <x:c r="M62" s="1" t="n">
        <x:f>SUMIFS('Данные'!$I$2:$I$505,'Данные'!$J$2:$J$505,A62,'Данные'!$B$2:$B$505,B62)</x:f>
        <x:v>12585</x:v>
      </x:c>
      <x:c r="N62" s="1"/>
      <x:c r="O62" s="1"/>
      <x:c r="P62" s="1"/>
      <x:c r="Q62" s="1"/>
    </x:row>
    <x:row r="63" ht="21" customHeight="1">
      <x:c r="A63" s="5" t="n">
        <x:v>43969</x:v>
      </x:c>
      <x:c r="B63" s="1" t="str">
        <x:v>Краснодар</x:v>
      </x:c>
      <x:c r="C63" s="1" t="n">
        <x:f>COUNTIFS('Данные'!$J$2:$J$505,A63,'Данные'!$B$2:$B$505,B63)</x:f>
        <x:v>7</x:v>
      </x:c>
      <x:c r="D63" s="6" t="n">
        <x:f>SUMIFS('Данные'!$D$2:$D$505,'Данные'!$J$2:$J$505,A63,'Данные'!$B$2:$B$505,B63)</x:f>
        <x:v>17647479</x:v>
      </x:c>
      <x:c r="E63" s="6" t="n">
        <x:f>SUMIFS('Данные'!$E$2:$E$505,'Данные'!$J$2:$J$505,A63,'Данные'!$B$2:$B$505,B63)</x:f>
        <x:v>14254201.123</x:v>
      </x:c>
      <x:c r="F63" s="6" t="n">
        <x:f>SUMIFS('Данные'!$F$2:$F$505,'Данные'!$J$2:$J$505,A63,'Данные'!$B$2:$B$505,B63)</x:f>
        <x:v>710089.3046769232</x:v>
      </x:c>
      <x:c r="G63" s="6" t="n">
        <x:f>SUMIFS('Данные'!$G$2:$G$505,'Данные'!$J$2:$J$505,A63,'Данные'!$B$2:$B$505,B63)</x:f>
        <x:v>133</x:v>
      </x:c>
      <x:c r="H63" s="6" t="n">
        <x:f>IF(C63=0,"н.д.",G63/C63)</x:f>
        <x:v>19</x:v>
      </x:c>
      <x:c r="I63" s="8" t="n">
        <x:f>IF(E63=0,"н.д.",(D63-E63)/E63)</x:f>
        <x:v>0.2380545810823972</x:v>
      </x:c>
      <x:c r="J63" s="8" t="n">
        <x:f>IF(D63=0,"н.д.",(D63-E63-F63)/D63)</x:f>
        <x:v>0.15204373227037568</x:v>
      </x:c>
      <x:c r="K63" s="6" t="n">
        <x:f>IF(G63=0,"н.д.",D63/H63)</x:f>
        <x:v>928814.6842105263</x:v>
      </x:c>
      <x:c r="L63" s="1" t="n">
        <x:f>SUMIFS('Данные'!$H$2:$H$505,'Данные'!$J$2:$J$505,A63,'Данные'!$B$2:$B$505,B63)</x:f>
        <x:v>12967</x:v>
      </x:c>
      <x:c r="M63" s="1" t="n">
        <x:f>SUMIFS('Данные'!$I$2:$I$505,'Данные'!$J$2:$J$505,A63,'Данные'!$B$2:$B$505,B63)</x:f>
        <x:v>11849</x:v>
      </x:c>
      <x:c r="N63" s="1"/>
      <x:c r="O63" s="1"/>
      <x:c r="P63" s="1"/>
      <x:c r="Q63" s="1"/>
    </x:row>
    <x:row r="64" ht="21" customHeight="1">
      <x:c r="A64" s="5" t="n">
        <x:v>43969</x:v>
      </x:c>
      <x:c r="B64" s="1" t="str">
        <x:v>Москва Восток</x:v>
      </x:c>
      <x:c r="C64" s="1" t="n">
        <x:f>COUNTIFS('Данные'!$J$2:$J$505,A64,'Данные'!$B$2:$B$505,B64)</x:f>
        <x:v>7</x:v>
      </x:c>
      <x:c r="D64" s="6" t="n">
        <x:f>SUMIFS('Данные'!$D$2:$D$505,'Данные'!$J$2:$J$505,A64,'Данные'!$B$2:$B$505,B64)</x:f>
        <x:v>149589546</x:v>
      </x:c>
      <x:c r="E64" s="6" t="n">
        <x:f>SUMIFS('Данные'!$E$2:$E$505,'Данные'!$J$2:$J$505,A64,'Данные'!$B$2:$B$505,B64)</x:f>
        <x:v>111439552.26000002</x:v>
      </x:c>
      <x:c r="F64" s="6" t="n">
        <x:f>SUMIFS('Данные'!$F$2:$F$505,'Данные'!$J$2:$J$505,A64,'Данные'!$B$2:$B$505,B64)</x:f>
        <x:v>2070984.673953846</x:v>
      </x:c>
      <x:c r="G64" s="6" t="n">
        <x:f>SUMIFS('Данные'!$G$2:$G$505,'Данные'!$J$2:$J$505,A64,'Данные'!$B$2:$B$505,B64)</x:f>
        <x:v>378</x:v>
      </x:c>
      <x:c r="H64" s="6" t="n">
        <x:f>IF(C64=0,"н.д.",G64/C64)</x:f>
        <x:v>54</x:v>
      </x:c>
      <x:c r="I64" s="8" t="n">
        <x:f>IF(E64=0,"н.д.",(D64-E64)/E64)</x:f>
        <x:v>0.34233800267782927</x:v>
      </x:c>
      <x:c r="J64" s="8" t="n">
        <x:f>IF(D64=0,"н.д.",(D64-E64-F64)/D64)</x:f>
        <x:v>0.24118670074743145</x:v>
      </x:c>
      <x:c r="K64" s="6" t="n">
        <x:f>IF(G64=0,"н.д.",D64/H64)</x:f>
        <x:v>2770176.777777778</x:v>
      </x:c>
      <x:c r="L64" s="1" t="n">
        <x:f>SUMIFS('Данные'!$H$2:$H$505,'Данные'!$J$2:$J$505,A64,'Данные'!$B$2:$B$505,B64)</x:f>
        <x:v>93066</x:v>
      </x:c>
      <x:c r="M64" s="1" t="n">
        <x:f>SUMIFS('Данные'!$I$2:$I$505,'Данные'!$J$2:$J$505,A64,'Данные'!$B$2:$B$505,B64)</x:f>
        <x:v>86927</x:v>
      </x:c>
      <x:c r="N64" s="1"/>
      <x:c r="O64" s="1"/>
      <x:c r="P64" s="1"/>
      <x:c r="Q64" s="1"/>
    </x:row>
    <x:row r="65" ht="21" customHeight="1">
      <x:c r="A65" s="5" t="n">
        <x:v>43969</x:v>
      </x:c>
      <x:c r="B65" s="1" t="str">
        <x:v>Москва Запад</x:v>
      </x:c>
      <x:c r="C65" s="1" t="n">
        <x:f>COUNTIFS('Данные'!$J$2:$J$505,A65,'Данные'!$B$2:$B$505,B65)</x:f>
        <x:v>7</x:v>
      </x:c>
      <x:c r="D65" s="6" t="n">
        <x:f>SUMIFS('Данные'!$D$2:$D$505,'Данные'!$J$2:$J$505,A65,'Данные'!$B$2:$B$505,B65)</x:f>
        <x:v>157512358.5</x:v>
      </x:c>
      <x:c r="E65" s="6" t="n">
        <x:f>SUMIFS('Данные'!$E$2:$E$505,'Данные'!$J$2:$J$505,A65,'Данные'!$B$2:$B$505,B65)</x:f>
        <x:v>116869445.964</x:v>
      </x:c>
      <x:c r="F65" s="6" t="n">
        <x:f>SUMIFS('Данные'!$F$2:$F$505,'Данные'!$J$2:$J$505,A65,'Данные'!$B$2:$B$505,B65)</x:f>
        <x:v>2128560.7931153844</x:v>
      </x:c>
      <x:c r="G65" s="6" t="n">
        <x:f>SUMIFS('Данные'!$G$2:$G$505,'Данные'!$J$2:$J$505,A65,'Данные'!$B$2:$B$505,B65)</x:f>
        <x:v>420</x:v>
      </x:c>
      <x:c r="H65" s="6" t="n">
        <x:f>IF(C65=0,"н.д.",G65/C65)</x:f>
        <x:v>60</x:v>
      </x:c>
      <x:c r="I65" s="8" t="n">
        <x:f>IF(E65=0,"н.д.",(D65-E65)/E65)</x:f>
        <x:v>0.34776337134788404</x:v>
      </x:c>
      <x:c r="J65" s="8" t="n">
        <x:f>IF(D65=0,"н.д.",(D65-E65-F65)/D65)</x:f>
        <x:v>0.24451638023618708</x:v>
      </x:c>
      <x:c r="K65" s="6" t="n">
        <x:f>IF(G65=0,"н.д.",D65/H65)</x:f>
        <x:v>2625205.975</x:v>
      </x:c>
      <x:c r="L65" s="1" t="n">
        <x:f>SUMIFS('Данные'!$H$2:$H$505,'Данные'!$J$2:$J$505,A65,'Данные'!$B$2:$B$505,B65)</x:f>
        <x:v>98291</x:v>
      </x:c>
      <x:c r="M65" s="1" t="n">
        <x:f>SUMIFS('Данные'!$I$2:$I$505,'Данные'!$J$2:$J$505,A65,'Данные'!$B$2:$B$505,B65)</x:f>
        <x:v>91441</x:v>
      </x:c>
      <x:c r="N65" s="1"/>
      <x:c r="O65" s="1"/>
      <x:c r="P65" s="1"/>
      <x:c r="Q65" s="1"/>
    </x:row>
    <x:row r="66" ht="21" customHeight="1">
      <x:c r="A66" s="5" t="n">
        <x:v>43969</x:v>
      </x:c>
      <x:c r="B66" s="1" t="str">
        <x:v>Нижний Новгород</x:v>
      </x:c>
      <x:c r="C66" s="1" t="n">
        <x:f>COUNTIFS('Данные'!$J$2:$J$505,A66,'Данные'!$B$2:$B$505,B66)</x:f>
        <x:v>7</x:v>
      </x:c>
      <x:c r="D66" s="6" t="n">
        <x:f>SUMIFS('Данные'!$D$2:$D$505,'Данные'!$J$2:$J$505,A66,'Данные'!$B$2:$B$505,B66)</x:f>
        <x:v>20713983</x:v>
      </x:c>
      <x:c r="E66" s="6" t="n">
        <x:f>SUMIFS('Данные'!$E$2:$E$505,'Данные'!$J$2:$J$505,A66,'Данные'!$B$2:$B$505,B66)</x:f>
        <x:v>17024678.662</x:v>
      </x:c>
      <x:c r="F66" s="6" t="n">
        <x:f>SUMIFS('Данные'!$F$2:$F$505,'Данные'!$J$2:$J$505,A66,'Данные'!$B$2:$B$505,B66)</x:f>
        <x:v>1202472.4397307693</x:v>
      </x:c>
      <x:c r="G66" s="6" t="n">
        <x:f>SUMIFS('Данные'!$G$2:$G$505,'Данные'!$J$2:$J$505,A66,'Данные'!$B$2:$B$505,B66)</x:f>
        <x:v>136</x:v>
      </x:c>
      <x:c r="H66" s="6" t="n">
        <x:f>IF(C66=0,"н.д.",G66/C66)</x:f>
        <x:v>19.428571428571427</x:v>
      </x:c>
      <x:c r="I66" s="8" t="n">
        <x:f>IF(E66=0,"н.д.",(D66-E66)/E66)</x:f>
        <x:v>0.21670331706375906</x:v>
      </x:c>
      <x:c r="J66" s="8" t="n">
        <x:f>IF(D66=0,"н.д.",(D66-E66-F66)/D66)</x:f>
        <x:v>0.12005570817882927</x:v>
      </x:c>
      <x:c r="K66" s="6" t="n">
        <x:f>IF(G66=0,"н.д.",D66/H66)</x:f>
        <x:v>1066160.8897058824</x:v>
      </x:c>
      <x:c r="L66" s="1" t="n">
        <x:f>SUMIFS('Данные'!$H$2:$H$505,'Данные'!$J$2:$J$505,A66,'Данные'!$B$2:$B$505,B66)</x:f>
        <x:v>14282</x:v>
      </x:c>
      <x:c r="M66" s="1" t="n">
        <x:f>SUMIFS('Данные'!$I$2:$I$505,'Данные'!$J$2:$J$505,A66,'Данные'!$B$2:$B$505,B66)</x:f>
        <x:v>12711</x:v>
      </x:c>
      <x:c r="N66" s="1"/>
      <x:c r="O66" s="1"/>
      <x:c r="P66" s="1"/>
      <x:c r="Q66" s="1"/>
    </x:row>
    <x:row r="67" ht="21" customHeight="1">
      <x:c r="A67" s="5" t="n">
        <x:v>43969</x:v>
      </x:c>
      <x:c r="B67" s="1" t="str">
        <x:v>Новосибирск</x:v>
      </x:c>
      <x:c r="C67" s="1" t="n">
        <x:f>COUNTIFS('Данные'!$J$2:$J$505,A67,'Данные'!$B$2:$B$505,B67)</x:f>
        <x:v>7</x:v>
      </x:c>
      <x:c r="D67" s="6" t="n">
        <x:f>SUMIFS('Данные'!$D$2:$D$505,'Данные'!$J$2:$J$505,A67,'Данные'!$B$2:$B$505,B67)</x:f>
        <x:v>8990269.5</x:v>
      </x:c>
      <x:c r="E67" s="6" t="n">
        <x:f>SUMIFS('Данные'!$E$2:$E$505,'Данные'!$J$2:$J$505,A67,'Данные'!$B$2:$B$505,B67)</x:f>
        <x:v>7432224.7979999995</x:v>
      </x:c>
      <x:c r="F67" s="6" t="n">
        <x:f>SUMIFS('Данные'!$F$2:$F$505,'Данные'!$J$2:$J$505,A67,'Данные'!$B$2:$B$505,B67)</x:f>
        <x:v>957343.225323077</x:v>
      </x:c>
      <x:c r="G67" s="6" t="n">
        <x:f>SUMIFS('Данные'!$G$2:$G$505,'Данные'!$J$2:$J$505,A67,'Данные'!$B$2:$B$505,B67)</x:f>
        <x:v>122</x:v>
      </x:c>
      <x:c r="H67" s="6" t="n">
        <x:f>IF(C67=0,"н.д.",G67/C67)</x:f>
        <x:v>17.428571428571427</x:v>
      </x:c>
      <x:c r="I67" s="8" t="n">
        <x:f>IF(E67=0,"н.д.",(D67-E67)/E67)</x:f>
        <x:v>0.20963368901587423</x:v>
      </x:c>
      <x:c r="J67" s="8" t="n">
        <x:f>IF(D67=0,"н.д.",(D67-E67-F67)/D67)</x:f>
        <x:v>0.06681684866921103</x:v>
      </x:c>
      <x:c r="K67" s="6" t="n">
        <x:f>IF(G67=0,"н.д.",D67/H67)</x:f>
        <x:v>515835.1352459017</x:v>
      </x:c>
      <x:c r="L67" s="1" t="n">
        <x:f>SUMIFS('Данные'!$H$2:$H$505,'Данные'!$J$2:$J$505,A67,'Данные'!$B$2:$B$505,B67)</x:f>
        <x:v>6521</x:v>
      </x:c>
      <x:c r="M67" s="1" t="n">
        <x:f>SUMIFS('Данные'!$I$2:$I$505,'Данные'!$J$2:$J$505,A67,'Данные'!$B$2:$B$505,B67)</x:f>
        <x:v>5785</x:v>
      </x:c>
      <x:c r="N67" s="1"/>
      <x:c r="O67" s="1"/>
      <x:c r="P67" s="1"/>
      <x:c r="Q67" s="1"/>
    </x:row>
    <x:row r="68" ht="21" customHeight="1">
      <x:c r="A68" s="5" t="n">
        <x:v>43969</x:v>
      </x:c>
      <x:c r="B68" s="1" t="str">
        <x:v>Пермь</x:v>
      </x:c>
      <x:c r="C68" s="1" t="n">
        <x:f>COUNTIFS('Данные'!$J$2:$J$505,A68,'Данные'!$B$2:$B$505,B68)</x:f>
        <x:v>7</x:v>
      </x:c>
      <x:c r="D68" s="6" t="n">
        <x:f>SUMIFS('Данные'!$D$2:$D$505,'Данные'!$J$2:$J$505,A68,'Данные'!$B$2:$B$505,B68)</x:f>
        <x:v>10598445</x:v>
      </x:c>
      <x:c r="E68" s="6" t="n">
        <x:f>SUMIFS('Данные'!$E$2:$E$505,'Данные'!$J$2:$J$505,A68,'Данные'!$B$2:$B$505,B68)</x:f>
        <x:v>8666939.83</x:v>
      </x:c>
      <x:c r="F68" s="6" t="n">
        <x:f>SUMIFS('Данные'!$F$2:$F$505,'Данные'!$J$2:$J$505,A68,'Данные'!$B$2:$B$505,B68)</x:f>
        <x:v>1638161.1197846155</x:v>
      </x:c>
      <x:c r="G68" s="6" t="n">
        <x:f>SUMIFS('Данные'!$G$2:$G$505,'Данные'!$J$2:$J$505,A68,'Данные'!$B$2:$B$505,B68)</x:f>
        <x:v>116</x:v>
      </x:c>
      <x:c r="H68" s="6" t="n">
        <x:f>IF(C68=0,"н.д.",G68/C68)</x:f>
        <x:v>16.571428571428573</x:v>
      </x:c>
      <x:c r="I68" s="8" t="n">
        <x:f>IF(E68=0,"н.д.",(D68-E68)/E68)</x:f>
        <x:v>0.2228589568966697</x:v>
      </x:c>
      <x:c r="J68" s="8" t="n">
        <x:f>IF(D68=0,"н.д.",(D68-E68-F68)/D68)</x:f>
        <x:v>0.027678027315835903</x:v>
      </x:c>
      <x:c r="K68" s="6" t="n">
        <x:f>IF(G68=0,"н.д.",D68/H68)</x:f>
        <x:v>639561.3362068965</x:v>
      </x:c>
      <x:c r="L68" s="1" t="n">
        <x:f>SUMIFS('Данные'!$H$2:$H$505,'Данные'!$J$2:$J$505,A68,'Данные'!$B$2:$B$505,B68)</x:f>
        <x:v>7722</x:v>
      </x:c>
      <x:c r="M68" s="1" t="n">
        <x:f>SUMIFS('Данные'!$I$2:$I$505,'Данные'!$J$2:$J$505,A68,'Данные'!$B$2:$B$505,B68)</x:f>
        <x:v>6869</x:v>
      </x:c>
      <x:c r="N68" s="1"/>
      <x:c r="O68" s="1"/>
      <x:c r="P68" s="1"/>
      <x:c r="Q68" s="1"/>
    </x:row>
    <x:row r="69" ht="21" customHeight="1">
      <x:c r="A69" s="5" t="n">
        <x:v>43969</x:v>
      </x:c>
      <x:c r="B69" s="1" t="str">
        <x:v>Ростов-на-Дону</x:v>
      </x:c>
      <x:c r="C69" s="1" t="n">
        <x:f>COUNTIFS('Данные'!$J$2:$J$505,A69,'Данные'!$B$2:$B$505,B69)</x:f>
        <x:v>7</x:v>
      </x:c>
      <x:c r="D69" s="6" t="n">
        <x:f>SUMIFS('Данные'!$D$2:$D$505,'Данные'!$J$2:$J$505,A69,'Данные'!$B$2:$B$505,B69)</x:f>
        <x:v>8638525.5</x:v>
      </x:c>
      <x:c r="E69" s="6" t="n">
        <x:f>SUMIFS('Данные'!$E$2:$E$505,'Данные'!$J$2:$J$505,A69,'Данные'!$B$2:$B$505,B69)</x:f>
        <x:v>7096583.1559999995</x:v>
      </x:c>
      <x:c r="F69" s="6" t="n">
        <x:f>SUMIFS('Данные'!$F$2:$F$505,'Данные'!$J$2:$J$505,A69,'Данные'!$B$2:$B$505,B69)</x:f>
        <x:v>1465510.8650692308</x:v>
      </x:c>
      <x:c r="G69" s="6" t="n">
        <x:f>SUMIFS('Данные'!$G$2:$G$505,'Данные'!$J$2:$J$505,A69,'Данные'!$B$2:$B$505,B69)</x:f>
        <x:v>105</x:v>
      </x:c>
      <x:c r="H69" s="6" t="n">
        <x:f>IF(C69=0,"н.д.",G69/C69)</x:f>
        <x:v>15</x:v>
      </x:c>
      <x:c r="I69" s="8" t="n">
        <x:f>IF(E69=0,"н.д.",(D69-E69)/E69)</x:f>
        <x:v>0.2172795428594849</x:v>
      </x:c>
      <x:c r="J69" s="8" t="n">
        <x:f>IF(D69=0,"н.д.",(D69-E69-F69)/D69)</x:f>
        <x:v>0.00884774594122223</x:v>
      </x:c>
      <x:c r="K69" s="6" t="n">
        <x:f>IF(G69=0,"н.д.",D69/H69)</x:f>
        <x:v>575901.7</x:v>
      </x:c>
      <x:c r="L69" s="1" t="n">
        <x:f>SUMIFS('Данные'!$H$2:$H$505,'Данные'!$J$2:$J$505,A69,'Данные'!$B$2:$B$505,B69)</x:f>
        <x:v>5690</x:v>
      </x:c>
      <x:c r="M69" s="1" t="n">
        <x:f>SUMIFS('Данные'!$I$2:$I$505,'Данные'!$J$2:$J$505,A69,'Данные'!$B$2:$B$505,B69)</x:f>
        <x:v>4969</x:v>
      </x:c>
      <x:c r="N69" s="1"/>
      <x:c r="O69" s="1"/>
      <x:c r="P69" s="1"/>
      <x:c r="Q69" s="1"/>
    </x:row>
    <x:row r="70" ht="21" customHeight="1">
      <x:c r="A70" s="5" t="n">
        <x:v>43969</x:v>
      </x:c>
      <x:c r="B70" s="1" t="str">
        <x:v>Самара</x:v>
      </x:c>
      <x:c r="C70" s="1" t="n">
        <x:f>COUNTIFS('Данные'!$J$2:$J$505,A70,'Данные'!$B$2:$B$505,B70)</x:f>
        <x:v>0</x:v>
      </x:c>
      <x:c r="D70" s="6" t="n">
        <x:f>SUMIFS('Данные'!$D$2:$D$505,'Данные'!$J$2:$J$505,A70,'Данные'!$B$2:$B$505,B70)</x:f>
        <x:v>0</x:v>
      </x:c>
      <x:c r="E70" s="6" t="n">
        <x:f>SUMIFS('Данные'!$E$2:$E$505,'Данные'!$J$2:$J$505,A70,'Данные'!$B$2:$B$505,B70)</x:f>
        <x:v>0</x:v>
      </x:c>
      <x:c r="F70" s="6" t="n">
        <x:f>SUMIFS('Данные'!$F$2:$F$505,'Данные'!$J$2:$J$505,A70,'Данные'!$B$2:$B$505,B70)</x:f>
        <x:v>0</x:v>
      </x:c>
      <x:c r="G70" s="6" t="n">
        <x:f>SUMIFS('Данные'!$G$2:$G$505,'Данные'!$J$2:$J$505,A70,'Данные'!$B$2:$B$505,B70)</x:f>
        <x:v>0</x:v>
      </x:c>
      <x:c r="H70" s="6" t="str">
        <x:f>IF(C70=0,"н.д.",G70/C70)</x:f>
        <x:v>н.д.</x:v>
      </x:c>
      <x:c r="I70" s="8" t="str">
        <x:f>IF(E70=0,"н.д.",(D70-E70)/E70)</x:f>
        <x:v>н.д.</x:v>
      </x:c>
      <x:c r="J70" s="8" t="str">
        <x:f>IF(D70=0,"н.д.",(D70-E70-F70)/D70)</x:f>
        <x:v>н.д.</x:v>
      </x:c>
      <x:c r="K70" s="6" t="str">
        <x:f>IF(G70=0,"н.д.",D70/H70)</x:f>
        <x:v>н.д.</x:v>
      </x:c>
      <x:c r="L70" s="1" t="n">
        <x:f>SUMIFS('Данные'!$H$2:$H$505,'Данные'!$J$2:$J$505,A70,'Данные'!$B$2:$B$505,B70)</x:f>
        <x:v>0</x:v>
      </x:c>
      <x:c r="M70" s="1" t="n">
        <x:f>SUMIFS('Данные'!$I$2:$I$505,'Данные'!$J$2:$J$505,A70,'Данные'!$B$2:$B$505,B70)</x:f>
        <x:v>0</x:v>
      </x:c>
      <x:c r="N70" s="1"/>
      <x:c r="O70" s="1"/>
      <x:c r="P70" s="1"/>
      <x:c r="Q70" s="1"/>
    </x:row>
    <x:row r="71" ht="21" customHeight="1">
      <x:c r="A71" s="5" t="n">
        <x:v>43969</x:v>
      </x:c>
      <x:c r="B71" s="1" t="str">
        <x:v>Санкт-Петербург Север</x:v>
      </x:c>
      <x:c r="C71" s="1" t="n">
        <x:f>COUNTIFS('Данные'!$J$2:$J$505,A71,'Данные'!$B$2:$B$505,B71)</x:f>
        <x:v>7</x:v>
      </x:c>
      <x:c r="D71" s="6" t="n">
        <x:f>SUMIFS('Данные'!$D$2:$D$505,'Данные'!$J$2:$J$505,A71,'Данные'!$B$2:$B$505,B71)</x:f>
        <x:v>275539431.57</x:v>
      </x:c>
      <x:c r="E71" s="6" t="n">
        <x:f>SUMIFS('Данные'!$E$2:$E$505,'Данные'!$J$2:$J$505,A71,'Данные'!$B$2:$B$505,B71)</x:f>
        <x:v>203112417.09699997</x:v>
      </x:c>
      <x:c r="F71" s="6" t="n">
        <x:f>SUMIFS('Данные'!$F$2:$F$505,'Данные'!$J$2:$J$505,A71,'Данные'!$B$2:$B$505,B71)</x:f>
        <x:v>5066670.406492307</x:v>
      </x:c>
      <x:c r="G71" s="6" t="n">
        <x:f>SUMIFS('Данные'!$G$2:$G$505,'Данные'!$J$2:$J$505,A71,'Данные'!$B$2:$B$505,B71)</x:f>
        <x:v>875</x:v>
      </x:c>
      <x:c r="H71" s="6" t="n">
        <x:f>IF(C71=0,"н.д.",G71/C71)</x:f>
        <x:v>125</x:v>
      </x:c>
      <x:c r="I71" s="8" t="n">
        <x:f>IF(E71=0,"н.д.",(D71-E71)/E71)</x:f>
        <x:v>0.3565858528403569</x:v>
      </x:c>
      <x:c r="J71" s="8" t="n">
        <x:f>IF(D71=0,"н.д.",(D71-E71-F71)/D71)</x:f>
        <x:v>0.24446716639681756</x:v>
      </x:c>
      <x:c r="K71" s="6" t="n">
        <x:f>IF(G71=0,"н.д.",D71/H71)</x:f>
        <x:v>2204315.45256</x:v>
      </x:c>
      <x:c r="L71" s="1" t="n">
        <x:f>SUMIFS('Данные'!$H$2:$H$505,'Данные'!$J$2:$J$505,A71,'Данные'!$B$2:$B$505,B71)</x:f>
        <x:v>150810</x:v>
      </x:c>
      <x:c r="M71" s="1" t="n">
        <x:f>SUMIFS('Данные'!$I$2:$I$505,'Данные'!$J$2:$J$505,A71,'Данные'!$B$2:$B$505,B71)</x:f>
        <x:v>139875</x:v>
      </x:c>
      <x:c r="N71" s="1"/>
      <x:c r="O71" s="1"/>
      <x:c r="P71" s="1"/>
      <x:c r="Q71" s="1"/>
    </x:row>
    <x:row r="72" ht="21" customHeight="1">
      <x:c r="A72" s="5" t="n">
        <x:v>43969</x:v>
      </x:c>
      <x:c r="B72" s="1" t="str">
        <x:v>Санкт-Петербург Юг</x:v>
      </x:c>
      <x:c r="C72" s="1" t="n">
        <x:f>COUNTIFS('Данные'!$J$2:$J$505,A72,'Данные'!$B$2:$B$505,B72)</x:f>
        <x:v>7</x:v>
      </x:c>
      <x:c r="D72" s="6" t="n">
        <x:f>SUMIFS('Данные'!$D$2:$D$505,'Данные'!$J$2:$J$505,A72,'Данные'!$B$2:$B$505,B72)</x:f>
        <x:v>204608809.4766</x:v>
      </x:c>
      <x:c r="E72" s="6" t="n">
        <x:f>SUMIFS('Данные'!$E$2:$E$505,'Данные'!$J$2:$J$505,A72,'Данные'!$B$2:$B$505,B72)</x:f>
        <x:v>151823199.293</x:v>
      </x:c>
      <x:c r="F72" s="6" t="n">
        <x:f>SUMIFS('Данные'!$F$2:$F$505,'Данные'!$J$2:$J$505,A72,'Данные'!$B$2:$B$505,B72)</x:f>
        <x:v>5177984.794684615</x:v>
      </x:c>
      <x:c r="G72" s="6" t="n">
        <x:f>SUMIFS('Данные'!$G$2:$G$505,'Данные'!$J$2:$J$505,A72,'Данные'!$B$2:$B$505,B72)</x:f>
        <x:v>903</x:v>
      </x:c>
      <x:c r="H72" s="6" t="n">
        <x:f>IF(C72=0,"н.д.",G72/C72)</x:f>
        <x:v>129</x:v>
      </x:c>
      <x:c r="I72" s="8" t="n">
        <x:f>IF(E72=0,"н.д.",(D72-E72)/E72)</x:f>
        <x:v>0.3476781574186846</x:v>
      </x:c>
      <x:c r="J72" s="8" t="n">
        <x:f>IF(D72=0,"н.д.",(D72-E72-F72)/D72)</x:f>
        <x:v>0.23267632273848887</x:v>
      </x:c>
      <x:c r="K72" s="6" t="n">
        <x:f>IF(G72=0,"н.д.",D72/H72)</x:f>
        <x:v>1586114.8021441859</x:v>
      </x:c>
      <x:c r="L72" s="1" t="n">
        <x:f>SUMIFS('Данные'!$H$2:$H$505,'Данные'!$J$2:$J$505,A72,'Данные'!$B$2:$B$505,B72)</x:f>
        <x:v>119145</x:v>
      </x:c>
      <x:c r="M72" s="1" t="n">
        <x:f>SUMIFS('Данные'!$I$2:$I$505,'Данные'!$J$2:$J$505,A72,'Данные'!$B$2:$B$505,B72)</x:f>
        <x:v>110710</x:v>
      </x:c>
      <x:c r="N72" s="1"/>
      <x:c r="O72" s="1"/>
      <x:c r="P72" s="1"/>
      <x:c r="Q72" s="1"/>
    </x:row>
    <x:row r="73" ht="21" customHeight="1">
      <x:c r="A73" s="5" t="n">
        <x:v>43969</x:v>
      </x:c>
      <x:c r="B73" s="1" t="str">
        <x:v>Тольятти</x:v>
      </x:c>
      <x:c r="C73" s="1" t="n">
        <x:f>COUNTIFS('Данные'!$J$2:$J$505,A73,'Данные'!$B$2:$B$505,B73)</x:f>
        <x:v>7</x:v>
      </x:c>
      <x:c r="D73" s="6" t="n">
        <x:f>SUMIFS('Данные'!$D$2:$D$505,'Данные'!$J$2:$J$505,A73,'Данные'!$B$2:$B$505,B73)</x:f>
        <x:v>7373379</x:v>
      </x:c>
      <x:c r="E73" s="6" t="n">
        <x:f>SUMIFS('Данные'!$E$2:$E$505,'Данные'!$J$2:$J$505,A73,'Данные'!$B$2:$B$505,B73)</x:f>
        <x:v>6426123.811</x:v>
      </x:c>
      <x:c r="F73" s="6" t="n">
        <x:f>SUMIFS('Данные'!$F$2:$F$505,'Данные'!$J$2:$J$505,A73,'Данные'!$B$2:$B$505,B73)</x:f>
        <x:v>579368.1312923077</x:v>
      </x:c>
      <x:c r="G73" s="6" t="n">
        <x:f>SUMIFS('Данные'!$G$2:$G$505,'Данные'!$J$2:$J$505,A73,'Данные'!$B$2:$B$505,B73)</x:f>
        <x:v>70</x:v>
      </x:c>
      <x:c r="H73" s="6" t="n">
        <x:f>IF(C73=0,"н.д.",G73/C73)</x:f>
        <x:v>10</x:v>
      </x:c>
      <x:c r="I73" s="8" t="n">
        <x:f>IF(E73=0,"н.д.",(D73-E73)/E73)</x:f>
        <x:v>0.1474069309680159</x:v>
      </x:c>
      <x:c r="J73" s="8" t="n">
        <x:f>IF(D73=0,"н.д.",(D73-E73-F73)/D73)</x:f>
        <x:v>0.04989395739832341</x:v>
      </x:c>
      <x:c r="K73" s="6" t="n">
        <x:f>IF(G73=0,"н.д.",D73/H73)</x:f>
        <x:v>737337.9</x:v>
      </x:c>
      <x:c r="L73" s="1" t="n">
        <x:f>SUMIFS('Данные'!$H$2:$H$505,'Данные'!$J$2:$J$505,A73,'Данные'!$B$2:$B$505,B73)</x:f>
        <x:v>5148</x:v>
      </x:c>
      <x:c r="M73" s="1" t="n">
        <x:f>SUMIFS('Данные'!$I$2:$I$505,'Данные'!$J$2:$J$505,A73,'Данные'!$B$2:$B$505,B73)</x:f>
        <x:v>4530</x:v>
      </x:c>
      <x:c r="N73" s="1"/>
      <x:c r="O73" s="1"/>
      <x:c r="P73" s="1"/>
      <x:c r="Q73" s="1"/>
    </x:row>
    <x:row r="74" ht="21" customHeight="1">
      <x:c r="A74" s="5" t="n">
        <x:v>43969</x:v>
      </x:c>
      <x:c r="B74" s="1" t="str">
        <x:v>Томск</x:v>
      </x:c>
      <x:c r="C74" s="1" t="n">
        <x:f>COUNTIFS('Данные'!$J$2:$J$505,A74,'Данные'!$B$2:$B$505,B74)</x:f>
        <x:v>0</x:v>
      </x:c>
      <x:c r="D74" s="6" t="n">
        <x:f>SUMIFS('Данные'!$D$2:$D$505,'Данные'!$J$2:$J$505,A74,'Данные'!$B$2:$B$505,B74)</x:f>
        <x:v>0</x:v>
      </x:c>
      <x:c r="E74" s="6" t="n">
        <x:f>SUMIFS('Данные'!$E$2:$E$505,'Данные'!$J$2:$J$505,A74,'Данные'!$B$2:$B$505,B74)</x:f>
        <x:v>0</x:v>
      </x:c>
      <x:c r="F74" s="6" t="n">
        <x:f>SUMIFS('Данные'!$F$2:$F$505,'Данные'!$J$2:$J$505,A74,'Данные'!$B$2:$B$505,B74)</x:f>
        <x:v>0</x:v>
      </x:c>
      <x:c r="G74" s="6" t="n">
        <x:f>SUMIFS('Данные'!$G$2:$G$505,'Данные'!$J$2:$J$505,A74,'Данные'!$B$2:$B$505,B74)</x:f>
        <x:v>0</x:v>
      </x:c>
      <x:c r="H74" s="6" t="str">
        <x:f>IF(C74=0,"н.д.",G74/C74)</x:f>
        <x:v>н.д.</x:v>
      </x:c>
      <x:c r="I74" s="8" t="str">
        <x:f>IF(E74=0,"н.д.",(D74-E74)/E74)</x:f>
        <x:v>н.д.</x:v>
      </x:c>
      <x:c r="J74" s="8" t="str">
        <x:f>IF(D74=0,"н.д.",(D74-E74-F74)/D74)</x:f>
        <x:v>н.д.</x:v>
      </x:c>
      <x:c r="K74" s="6" t="str">
        <x:f>IF(G74=0,"н.д.",D74/H74)</x:f>
        <x:v>н.д.</x:v>
      </x:c>
      <x:c r="L74" s="1" t="n">
        <x:f>SUMIFS('Данные'!$H$2:$H$505,'Данные'!$J$2:$J$505,A74,'Данные'!$B$2:$B$505,B74)</x:f>
        <x:v>0</x:v>
      </x:c>
      <x:c r="M74" s="1" t="n">
        <x:f>SUMIFS('Данные'!$I$2:$I$505,'Данные'!$J$2:$J$505,A74,'Данные'!$B$2:$B$505,B74)</x:f>
        <x:v>0</x:v>
      </x:c>
      <x:c r="N74" s="1"/>
      <x:c r="O74" s="1"/>
      <x:c r="P74" s="1"/>
      <x:c r="Q74" s="1"/>
    </x:row>
    <x:row r="75" ht="21" customHeight="1">
      <x:c r="A75" s="5" t="n">
        <x:v>43969</x:v>
      </x:c>
      <x:c r="B75" s="1" t="str">
        <x:v>Тюмень</x:v>
      </x:c>
      <x:c r="C75" s="1" t="n">
        <x:f>COUNTIFS('Данные'!$J$2:$J$505,A75,'Данные'!$B$2:$B$505,B75)</x:f>
        <x:v>0</x:v>
      </x:c>
      <x:c r="D75" s="6" t="n">
        <x:f>SUMIFS('Данные'!$D$2:$D$505,'Данные'!$J$2:$J$505,A75,'Данные'!$B$2:$B$505,B75)</x:f>
        <x:v>0</x:v>
      </x:c>
      <x:c r="E75" s="6" t="n">
        <x:f>SUMIFS('Данные'!$E$2:$E$505,'Данные'!$J$2:$J$505,A75,'Данные'!$B$2:$B$505,B75)</x:f>
        <x:v>0</x:v>
      </x:c>
      <x:c r="F75" s="6" t="n">
        <x:f>SUMIFS('Данные'!$F$2:$F$505,'Данные'!$J$2:$J$505,A75,'Данные'!$B$2:$B$505,B75)</x:f>
        <x:v>0</x:v>
      </x:c>
      <x:c r="G75" s="6" t="n">
        <x:f>SUMIFS('Данные'!$G$2:$G$505,'Данные'!$J$2:$J$505,A75,'Данные'!$B$2:$B$505,B75)</x:f>
        <x:v>0</x:v>
      </x:c>
      <x:c r="H75" s="6" t="str">
        <x:f>IF(C75=0,"н.д.",G75/C75)</x:f>
        <x:v>н.д.</x:v>
      </x:c>
      <x:c r="I75" s="8" t="str">
        <x:f>IF(E75=0,"н.д.",(D75-E75)/E75)</x:f>
        <x:v>н.д.</x:v>
      </x:c>
      <x:c r="J75" s="8" t="str">
        <x:f>IF(D75=0,"н.д.",(D75-E75-F75)/D75)</x:f>
        <x:v>н.д.</x:v>
      </x:c>
      <x:c r="K75" s="6" t="str">
        <x:f>IF(G75=0,"н.д.",D75/H75)</x:f>
        <x:v>н.д.</x:v>
      </x:c>
      <x:c r="L75" s="1" t="n">
        <x:f>SUMIFS('Данные'!$H$2:$H$505,'Данные'!$J$2:$J$505,A75,'Данные'!$B$2:$B$505,B75)</x:f>
        <x:v>0</x:v>
      </x:c>
      <x:c r="M75" s="1" t="n">
        <x:f>SUMIFS('Данные'!$I$2:$I$505,'Данные'!$J$2:$J$505,A75,'Данные'!$B$2:$B$505,B75)</x:f>
        <x:v>0</x:v>
      </x:c>
      <x:c r="N75" s="1"/>
      <x:c r="O75" s="1"/>
      <x:c r="P75" s="1"/>
      <x:c r="Q75" s="1"/>
    </x:row>
    <x:row r="76" ht="21" customHeight="1">
      <x:c r="A76" s="5" t="n">
        <x:v>43969</x:v>
      </x:c>
      <x:c r="B76" s="1" t="str">
        <x:v>Уфа</x:v>
      </x:c>
      <x:c r="C76" s="1" t="n">
        <x:f>COUNTIFS('Данные'!$J$2:$J$505,A76,'Данные'!$B$2:$B$505,B76)</x:f>
        <x:v>0</x:v>
      </x:c>
      <x:c r="D76" s="6" t="n">
        <x:f>SUMIFS('Данные'!$D$2:$D$505,'Данные'!$J$2:$J$505,A76,'Данные'!$B$2:$B$505,B76)</x:f>
        <x:v>0</x:v>
      </x:c>
      <x:c r="E76" s="6" t="n">
        <x:f>SUMIFS('Данные'!$E$2:$E$505,'Данные'!$J$2:$J$505,A76,'Данные'!$B$2:$B$505,B76)</x:f>
        <x:v>0</x:v>
      </x:c>
      <x:c r="F76" s="6" t="n">
        <x:f>SUMIFS('Данные'!$F$2:$F$505,'Данные'!$J$2:$J$505,A76,'Данные'!$B$2:$B$505,B76)</x:f>
        <x:v>0</x:v>
      </x:c>
      <x:c r="G76" s="6" t="n">
        <x:f>SUMIFS('Данные'!$G$2:$G$505,'Данные'!$J$2:$J$505,A76,'Данные'!$B$2:$B$505,B76)</x:f>
        <x:v>0</x:v>
      </x:c>
      <x:c r="H76" s="6" t="str">
        <x:f>IF(C76=0,"н.д.",G76/C76)</x:f>
        <x:v>н.д.</x:v>
      </x:c>
      <x:c r="I76" s="8" t="str">
        <x:f>IF(E76=0,"н.д.",(D76-E76)/E76)</x:f>
        <x:v>н.д.</x:v>
      </x:c>
      <x:c r="J76" s="8" t="str">
        <x:f>IF(D76=0,"н.д.",(D76-E76-F76)/D76)</x:f>
        <x:v>н.д.</x:v>
      </x:c>
      <x:c r="K76" s="6" t="str">
        <x:f>IF(G76=0,"н.д.",D76/H76)</x:f>
        <x:v>н.д.</x:v>
      </x:c>
      <x:c r="L76" s="1" t="n">
        <x:f>SUMIFS('Данные'!$H$2:$H$505,'Данные'!$J$2:$J$505,A76,'Данные'!$B$2:$B$505,B76)</x:f>
        <x:v>0</x:v>
      </x:c>
      <x:c r="M76" s="1" t="n">
        <x:f>SUMIFS('Данные'!$I$2:$I$505,'Данные'!$J$2:$J$505,A76,'Данные'!$B$2:$B$505,B76)</x:f>
        <x:v>0</x:v>
      </x:c>
      <x:c r="N76" s="1"/>
      <x:c r="O76" s="1"/>
      <x:c r="P76" s="1"/>
      <x:c r="Q76" s="1"/>
    </x:row>
    <x:row r="77" ht="21" customHeight="1">
      <x:c r="A77" s="5" t="n">
        <x:v>43976</x:v>
      </x:c>
      <x:c r="B77" s="1" t="str">
        <x:v>Волгоград</x:v>
      </x:c>
      <x:c r="C77" s="1" t="n">
        <x:f>COUNTIFS('Данные'!$J$2:$J$505,A77,'Данные'!$B$2:$B$505,B77)</x:f>
        <x:v>7</x:v>
      </x:c>
      <x:c r="D77" s="6" t="n">
        <x:f>SUMIFS('Данные'!$D$2:$D$505,'Данные'!$J$2:$J$505,A77,'Данные'!$B$2:$B$505,B77)</x:f>
        <x:v>46485094.5</x:v>
      </x:c>
      <x:c r="E77" s="6" t="n">
        <x:f>SUMIFS('Данные'!$E$2:$E$505,'Данные'!$J$2:$J$505,A77,'Данные'!$B$2:$B$505,B77)</x:f>
        <x:v>36573772.578999996</x:v>
      </x:c>
      <x:c r="F77" s="6" t="n">
        <x:f>SUMIFS('Данные'!$F$2:$F$505,'Данные'!$J$2:$J$505,A77,'Данные'!$B$2:$B$505,B77)</x:f>
        <x:v>1215586.0448769229</x:v>
      </x:c>
      <x:c r="G77" s="6" t="n">
        <x:f>SUMIFS('Данные'!$G$2:$G$505,'Данные'!$J$2:$J$505,A77,'Данные'!$B$2:$B$505,B77)</x:f>
        <x:v>256</x:v>
      </x:c>
      <x:c r="H77" s="6" t="n">
        <x:f>IF(C77=0,"н.д.",G77/C77)</x:f>
        <x:v>36.57142857142857</x:v>
      </x:c>
      <x:c r="I77" s="8" t="n">
        <x:f>IF(E77=0,"н.д.",(D77-E77)/E77)</x:f>
        <x:v>0.270995339613691</x:v>
      </x:c>
      <x:c r="J77" s="8" t="n">
        <x:f>IF(D77=0,"н.д.",(D77-E77-F77)/D77)</x:f>
        <x:v>0.18706503600036958</x:v>
      </x:c>
      <x:c r="K77" s="6" t="n">
        <x:f>IF(G77=0,"н.д.",D77/H77)</x:f>
        <x:v>1271076.802734375</x:v>
      </x:c>
      <x:c r="L77" s="1" t="n">
        <x:f>SUMIFS('Данные'!$H$2:$H$505,'Данные'!$J$2:$J$505,A77,'Данные'!$B$2:$B$505,B77)</x:f>
        <x:v>36734</x:v>
      </x:c>
      <x:c r="M77" s="1" t="n">
        <x:f>SUMIFS('Данные'!$I$2:$I$505,'Данные'!$J$2:$J$505,A77,'Данные'!$B$2:$B$505,B77)</x:f>
        <x:v>33925</x:v>
      </x:c>
      <x:c r="N77" s="1"/>
      <x:c r="O77" s="1"/>
      <x:c r="P77" s="1"/>
      <x:c r="Q77" s="1"/>
    </x:row>
    <x:row r="78" ht="21" customHeight="1">
      <x:c r="A78" s="5" t="n">
        <x:v>43976</x:v>
      </x:c>
      <x:c r="B78" s="1" t="str">
        <x:v>Екатеринбург</x:v>
      </x:c>
      <x:c r="C78" s="1" t="n">
        <x:f>COUNTIFS('Данные'!$J$2:$J$505,A78,'Данные'!$B$2:$B$505,B78)</x:f>
        <x:v>7</x:v>
      </x:c>
      <x:c r="D78" s="6" t="n">
        <x:f>SUMIFS('Данные'!$D$2:$D$505,'Данные'!$J$2:$J$505,A78,'Данные'!$B$2:$B$505,B78)</x:f>
        <x:v>50729185.5</x:v>
      </x:c>
      <x:c r="E78" s="6" t="n">
        <x:f>SUMIFS('Данные'!$E$2:$E$505,'Данные'!$J$2:$J$505,A78,'Данные'!$B$2:$B$505,B78)</x:f>
        <x:v>39434704.58499999</x:v>
      </x:c>
      <x:c r="F78" s="6" t="n">
        <x:f>SUMIFS('Данные'!$F$2:$F$505,'Данные'!$J$2:$J$505,A78,'Данные'!$B$2:$B$505,B78)</x:f>
        <x:v>808350.5681615385</x:v>
      </x:c>
      <x:c r="G78" s="6" t="n">
        <x:f>SUMIFS('Данные'!$G$2:$G$505,'Данные'!$J$2:$J$505,A78,'Данные'!$B$2:$B$505,B78)</x:f>
        <x:v>217</x:v>
      </x:c>
      <x:c r="H78" s="6" t="n">
        <x:f>IF(C78=0,"н.д.",G78/C78)</x:f>
        <x:v>31</x:v>
      </x:c>
      <x:c r="I78" s="8" t="n">
        <x:f>IF(E78=0,"н.д.",(D78-E78)/E78)</x:f>
        <x:v>0.2864096747740353</x:v>
      </x:c>
      <x:c r="J78" s="8" t="n">
        <x:f>IF(D78=0,"н.д.",(D78-E78-F78)/D78)</x:f>
        <x:v>0.20670803687235367</x:v>
      </x:c>
      <x:c r="K78" s="6" t="n">
        <x:f>IF(G78=0,"н.д.",D78/H78)</x:f>
        <x:v>1636425.3387096773</x:v>
      </x:c>
      <x:c r="L78" s="1" t="n">
        <x:f>SUMIFS('Данные'!$H$2:$H$505,'Данные'!$J$2:$J$505,A78,'Данные'!$B$2:$B$505,B78)</x:f>
        <x:v>39634</x:v>
      </x:c>
      <x:c r="M78" s="1" t="n">
        <x:f>SUMIFS('Данные'!$I$2:$I$505,'Данные'!$J$2:$J$505,A78,'Данные'!$B$2:$B$505,B78)</x:f>
        <x:v>36856</x:v>
      </x:c>
      <x:c r="N78" s="1"/>
      <x:c r="O78" s="1"/>
      <x:c r="P78" s="1"/>
      <x:c r="Q78" s="1"/>
    </x:row>
    <x:row r="79" ht="21" customHeight="1">
      <x:c r="A79" s="5" t="n">
        <x:v>43976</x:v>
      </x:c>
      <x:c r="B79" s="1" t="str">
        <x:v>Казань</x:v>
      </x:c>
      <x:c r="C79" s="1" t="n">
        <x:f>COUNTIFS('Данные'!$J$2:$J$505,A79,'Данные'!$B$2:$B$505,B79)</x:f>
        <x:v>7</x:v>
      </x:c>
      <x:c r="D79" s="6" t="n">
        <x:f>SUMIFS('Данные'!$D$2:$D$505,'Данные'!$J$2:$J$505,A79,'Данные'!$B$2:$B$505,B79)</x:f>
        <x:v>27495690</x:v>
      </x:c>
      <x:c r="E79" s="6" t="n">
        <x:f>SUMIFS('Данные'!$E$2:$E$505,'Данные'!$J$2:$J$505,A79,'Данные'!$B$2:$B$505,B79)</x:f>
        <x:v>21336710.455</x:v>
      </x:c>
      <x:c r="F79" s="6" t="n">
        <x:f>SUMIFS('Данные'!$F$2:$F$505,'Данные'!$J$2:$J$505,A79,'Данные'!$B$2:$B$505,B79)</x:f>
        <x:v>1213933.109676923</x:v>
      </x:c>
      <x:c r="G79" s="6" t="n">
        <x:f>SUMIFS('Данные'!$G$2:$G$505,'Данные'!$J$2:$J$505,A79,'Данные'!$B$2:$B$505,B79)</x:f>
        <x:v>152</x:v>
      </x:c>
      <x:c r="H79" s="6" t="n">
        <x:f>IF(C79=0,"н.д.",G79/C79)</x:f>
        <x:v>21.714285714285715</x:v>
      </x:c>
      <x:c r="I79" s="8" t="n">
        <x:f>IF(E79=0,"н.д.",(D79-E79)/E79)</x:f>
        <x:v>0.2886564711083062</x:v>
      </x:c>
      <x:c r="J79" s="8" t="n">
        <x:f>IF(D79=0,"н.д.",(D79-E79-F79)/D79)</x:f>
        <x:v>0.1798480574709374</x:v>
      </x:c>
      <x:c r="K79" s="6" t="n">
        <x:f>IF(G79=0,"н.д.",D79/H79)</x:f>
        <x:v>1266248.8815789474</x:v>
      </x:c>
      <x:c r="L79" s="1" t="n">
        <x:f>SUMIFS('Данные'!$H$2:$H$505,'Данные'!$J$2:$J$505,A79,'Данные'!$B$2:$B$505,B79)</x:f>
        <x:v>17544</x:v>
      </x:c>
      <x:c r="M79" s="1" t="n">
        <x:f>SUMIFS('Данные'!$I$2:$I$505,'Данные'!$J$2:$J$505,A79,'Данные'!$B$2:$B$505,B79)</x:f>
        <x:v>16025</x:v>
      </x:c>
      <x:c r="N79" s="1"/>
      <x:c r="O79" s="1"/>
      <x:c r="P79" s="1"/>
      <x:c r="Q79" s="1"/>
    </x:row>
    <x:row r="80" ht="21" customHeight="1">
      <x:c r="A80" s="5" t="n">
        <x:v>43976</x:v>
      </x:c>
      <x:c r="B80" s="1" t="str">
        <x:v>Кемерово</x:v>
      </x:c>
      <x:c r="C80" s="1" t="n">
        <x:f>COUNTIFS('Данные'!$J$2:$J$505,A80,'Данные'!$B$2:$B$505,B80)</x:f>
        <x:v>7</x:v>
      </x:c>
      <x:c r="D80" s="6" t="n">
        <x:f>SUMIFS('Данные'!$D$2:$D$505,'Данные'!$J$2:$J$505,A80,'Данные'!$B$2:$B$505,B80)</x:f>
        <x:v>22579281</x:v>
      </x:c>
      <x:c r="E80" s="6" t="n">
        <x:f>SUMIFS('Данные'!$E$2:$E$505,'Данные'!$J$2:$J$505,A80,'Данные'!$B$2:$B$505,B80)</x:f>
        <x:v>18021287.75</x:v>
      </x:c>
      <x:c r="F80" s="6" t="n">
        <x:f>SUMIFS('Данные'!$F$2:$F$505,'Данные'!$J$2:$J$505,A80,'Данные'!$B$2:$B$505,B80)</x:f>
        <x:v>1857393.9804</x:v>
      </x:c>
      <x:c r="G80" s="6" t="n">
        <x:f>SUMIFS('Данные'!$G$2:$G$505,'Данные'!$J$2:$J$505,A80,'Данные'!$B$2:$B$505,B80)</x:f>
        <x:v>141</x:v>
      </x:c>
      <x:c r="H80" s="6" t="n">
        <x:f>IF(C80=0,"н.д.",G80/C80)</x:f>
        <x:v>20.142857142857142</x:v>
      </x:c>
      <x:c r="I80" s="8" t="n">
        <x:f>IF(E80=0,"н.д.",(D80-E80)/E80)</x:f>
        <x:v>0.2529227274560332</x:v>
      </x:c>
      <x:c r="J80" s="8" t="n">
        <x:f>IF(D80=0,"н.д.",(D80-E80-F80)/D80)</x:f>
        <x:v>0.1196051933451734</x:v>
      </x:c>
      <x:c r="K80" s="6" t="n">
        <x:f>IF(G80=0,"н.д.",D80/H80)</x:f>
        <x:v>1120957.2127659575</x:v>
      </x:c>
      <x:c r="L80" s="1" t="n">
        <x:f>SUMIFS('Данные'!$H$2:$H$505,'Данные'!$J$2:$J$505,A80,'Данные'!$B$2:$B$505,B80)</x:f>
        <x:v>15075</x:v>
      </x:c>
      <x:c r="M80" s="1" t="n">
        <x:f>SUMIFS('Данные'!$I$2:$I$505,'Данные'!$J$2:$J$505,A80,'Данные'!$B$2:$B$505,B80)</x:f>
        <x:v>13784</x:v>
      </x:c>
      <x:c r="N80" s="1"/>
      <x:c r="O80" s="1"/>
      <x:c r="P80" s="1"/>
      <x:c r="Q80" s="1"/>
    </x:row>
    <x:row r="81" ht="21" customHeight="1">
      <x:c r="A81" s="5" t="n">
        <x:v>43976</x:v>
      </x:c>
      <x:c r="B81" s="1" t="str">
        <x:v>Краснодар</x:v>
      </x:c>
      <x:c r="C81" s="1" t="n">
        <x:f>COUNTIFS('Данные'!$J$2:$J$505,A81,'Данные'!$B$2:$B$505,B81)</x:f>
        <x:v>7</x:v>
      </x:c>
      <x:c r="D81" s="6" t="n">
        <x:f>SUMIFS('Данные'!$D$2:$D$505,'Данные'!$J$2:$J$505,A81,'Данные'!$B$2:$B$505,B81)</x:f>
        <x:v>18595773</x:v>
      </x:c>
      <x:c r="E81" s="6" t="n">
        <x:f>SUMIFS('Данные'!$E$2:$E$505,'Данные'!$J$2:$J$505,A81,'Данные'!$B$2:$B$505,B81)</x:f>
        <x:v>14841990.301</x:v>
      </x:c>
      <x:c r="F81" s="6" t="n">
        <x:f>SUMIFS('Данные'!$F$2:$F$505,'Данные'!$J$2:$J$505,A81,'Данные'!$B$2:$B$505,B81)</x:f>
        <x:v>677023.7852230769</x:v>
      </x:c>
      <x:c r="G81" s="6" t="n">
        <x:f>SUMIFS('Данные'!$G$2:$G$505,'Данные'!$J$2:$J$505,A81,'Данные'!$B$2:$B$505,B81)</x:f>
        <x:v>141</x:v>
      </x:c>
      <x:c r="H81" s="6" t="n">
        <x:f>IF(C81=0,"н.д.",G81/C81)</x:f>
        <x:v>20.142857142857142</x:v>
      </x:c>
      <x:c r="I81" s="8" t="n">
        <x:f>IF(E81=0,"н.д.",(D81-E81)/E81)</x:f>
        <x:v>0.2529163961754565</x:v>
      </x:c>
      <x:c r="J81" s="8" t="n">
        <x:f>IF(D81=0,"н.д.",(D81-E81-F81)/D81)</x:f>
        <x:v>0.16545474682751407</x:v>
      </x:c>
      <x:c r="K81" s="6" t="n">
        <x:f>IF(G81=0,"н.д.",D81/H81)</x:f>
        <x:v>923194.4042553192</x:v>
      </x:c>
      <x:c r="L81" s="1" t="n">
        <x:f>SUMIFS('Данные'!$H$2:$H$505,'Данные'!$J$2:$J$505,A81,'Данные'!$B$2:$B$505,B81)</x:f>
        <x:v>13755</x:v>
      </x:c>
      <x:c r="M81" s="1" t="n">
        <x:f>SUMIFS('Данные'!$I$2:$I$505,'Данные'!$J$2:$J$505,A81,'Данные'!$B$2:$B$505,B81)</x:f>
        <x:v>12541</x:v>
      </x:c>
      <x:c r="N81" s="1"/>
      <x:c r="O81" s="1"/>
      <x:c r="P81" s="1"/>
      <x:c r="Q81" s="1"/>
    </x:row>
    <x:row r="82" ht="21" customHeight="1">
      <x:c r="A82" s="5" t="n">
        <x:v>43976</x:v>
      </x:c>
      <x:c r="B82" s="1" t="str">
        <x:v>Москва Восток</x:v>
      </x:c>
      <x:c r="C82" s="1" t="n">
        <x:f>COUNTIFS('Данные'!$J$2:$J$505,A82,'Данные'!$B$2:$B$505,B82)</x:f>
        <x:v>7</x:v>
      </x:c>
      <x:c r="D82" s="6" t="n">
        <x:f>SUMIFS('Данные'!$D$2:$D$505,'Данные'!$J$2:$J$505,A82,'Данные'!$B$2:$B$505,B82)</x:f>
        <x:v>151451013</x:v>
      </x:c>
      <x:c r="E82" s="6" t="n">
        <x:f>SUMIFS('Данные'!$E$2:$E$505,'Данные'!$J$2:$J$505,A82,'Данные'!$B$2:$B$505,B82)</x:f>
        <x:v>112710382.72100002</x:v>
      </x:c>
      <x:c r="F82" s="6" t="n">
        <x:f>SUMIFS('Данные'!$F$2:$F$505,'Данные'!$J$2:$J$505,A82,'Данные'!$B$2:$B$505,B82)</x:f>
        <x:v>2011267.8798461535</x:v>
      </x:c>
      <x:c r="G82" s="6" t="n">
        <x:f>SUMIFS('Данные'!$G$2:$G$505,'Данные'!$J$2:$J$505,A82,'Данные'!$B$2:$B$505,B82)</x:f>
        <x:v>378</x:v>
      </x:c>
      <x:c r="H82" s="6" t="n">
        <x:f>IF(C82=0,"н.д.",G82/C82)</x:f>
        <x:v>54</x:v>
      </x:c>
      <x:c r="I82" s="8" t="n">
        <x:f>IF(E82=0,"н.д.",(D82-E82)/E82)</x:f>
        <x:v>0.34371838107317415</x:v>
      </x:c>
      <x:c r="J82" s="8" t="n">
        <x:f>IF(D82=0,"н.д.",(D82-E82-F82)/D82)</x:f>
        <x:v>0.24251645249248896</x:v>
      </x:c>
      <x:c r="K82" s="6" t="n">
        <x:f>IF(G82=0,"н.д.",D82/H82)</x:f>
        <x:v>2804648.388888889</x:v>
      </x:c>
      <x:c r="L82" s="1" t="n">
        <x:f>SUMIFS('Данные'!$H$2:$H$505,'Данные'!$J$2:$J$505,A82,'Данные'!$B$2:$B$505,B82)</x:f>
        <x:v>94045</x:v>
      </x:c>
      <x:c r="M82" s="1" t="n">
        <x:f>SUMIFS('Данные'!$I$2:$I$505,'Данные'!$J$2:$J$505,A82,'Данные'!$B$2:$B$505,B82)</x:f>
        <x:v>87485</x:v>
      </x:c>
      <x:c r="N82" s="1"/>
      <x:c r="O82" s="1"/>
      <x:c r="P82" s="1"/>
      <x:c r="Q82" s="1"/>
    </x:row>
    <x:row r="83" ht="21" customHeight="1">
      <x:c r="A83" s="5" t="n">
        <x:v>43976</x:v>
      </x:c>
      <x:c r="B83" s="1" t="str">
        <x:v>Москва Запад</x:v>
      </x:c>
      <x:c r="C83" s="1" t="n">
        <x:f>COUNTIFS('Данные'!$J$2:$J$505,A83,'Данные'!$B$2:$B$505,B83)</x:f>
        <x:v>7</x:v>
      </x:c>
      <x:c r="D83" s="6" t="n">
        <x:f>SUMIFS('Данные'!$D$2:$D$505,'Данные'!$J$2:$J$505,A83,'Данные'!$B$2:$B$505,B83)</x:f>
        <x:v>157857214.5</x:v>
      </x:c>
      <x:c r="E83" s="6" t="n">
        <x:f>SUMIFS('Данные'!$E$2:$E$505,'Данные'!$J$2:$J$505,A83,'Данные'!$B$2:$B$505,B83)</x:f>
        <x:v>117032371.46499999</x:v>
      </x:c>
      <x:c r="F83" s="6" t="n">
        <x:f>SUMIFS('Данные'!$F$2:$F$505,'Данные'!$J$2:$J$505,A83,'Данные'!$B$2:$B$505,B83)</x:f>
        <x:v>1929112.4076923078</x:v>
      </x:c>
      <x:c r="G83" s="6" t="n">
        <x:f>SUMIFS('Данные'!$G$2:$G$505,'Данные'!$J$2:$J$505,A83,'Данные'!$B$2:$B$505,B83)</x:f>
        <x:v>414</x:v>
      </x:c>
      <x:c r="H83" s="6" t="n">
        <x:f>IF(C83=0,"н.д.",G83/C83)</x:f>
        <x:v>59.142857142857146</x:v>
      </x:c>
      <x:c r="I83" s="8" t="n">
        <x:f>IF(E83=0,"н.д.",(D83-E83)/E83)</x:f>
        <x:v>0.3488337673069301</x:v>
      </x:c>
      <x:c r="J83" s="8" t="n">
        <x:f>IF(D83=0,"н.д.",(D83-E83-F83)/D83)</x:f>
        <x:v>0.24639818173978806</x:v>
      </x:c>
      <x:c r="K83" s="6" t="n">
        <x:f>IF(G83=0,"н.д.",D83/H83)</x:f>
        <x:v>2669083.3369565215</x:v>
      </x:c>
      <x:c r="L83" s="1" t="n">
        <x:f>SUMIFS('Данные'!$H$2:$H$505,'Данные'!$J$2:$J$505,A83,'Данные'!$B$2:$B$505,B83)</x:f>
        <x:v>98369</x:v>
      </x:c>
      <x:c r="M83" s="1" t="n">
        <x:f>SUMIFS('Данные'!$I$2:$I$505,'Данные'!$J$2:$J$505,A83,'Данные'!$B$2:$B$505,B83)</x:f>
        <x:v>91327</x:v>
      </x:c>
      <x:c r="N83" s="1"/>
      <x:c r="O83" s="1"/>
      <x:c r="P83" s="1"/>
      <x:c r="Q83" s="1"/>
    </x:row>
    <x:row r="84" ht="21" customHeight="1">
      <x:c r="A84" s="5" t="n">
        <x:v>43976</x:v>
      </x:c>
      <x:c r="B84" s="1" t="str">
        <x:v>Нижний Новгород</x:v>
      </x:c>
      <x:c r="C84" s="1" t="n">
        <x:f>COUNTIFS('Данные'!$J$2:$J$505,A84,'Данные'!$B$2:$B$505,B84)</x:f>
        <x:v>7</x:v>
      </x:c>
      <x:c r="D84" s="6" t="n">
        <x:f>SUMIFS('Данные'!$D$2:$D$505,'Данные'!$J$2:$J$505,A84,'Данные'!$B$2:$B$505,B84)</x:f>
        <x:v>21605704.5</x:v>
      </x:c>
      <x:c r="E84" s="6" t="n">
        <x:f>SUMIFS('Данные'!$E$2:$E$505,'Данные'!$J$2:$J$505,A84,'Данные'!$B$2:$B$505,B84)</x:f>
        <x:v>17167429.889</x:v>
      </x:c>
      <x:c r="F84" s="6" t="n">
        <x:f>SUMIFS('Данные'!$F$2:$F$505,'Данные'!$J$2:$J$505,A84,'Данные'!$B$2:$B$505,B84)</x:f>
        <x:v>1168237.703930769</x:v>
      </x:c>
      <x:c r="G84" s="6" t="n">
        <x:f>SUMIFS('Данные'!$G$2:$G$505,'Данные'!$J$2:$J$505,A84,'Данные'!$B$2:$B$505,B84)</x:f>
        <x:v>140</x:v>
      </x:c>
      <x:c r="H84" s="6" t="n">
        <x:f>IF(C84=0,"н.д.",G84/C84)</x:f>
        <x:v>20</x:v>
      </x:c>
      <x:c r="I84" s="8" t="n">
        <x:f>IF(E84=0,"н.д.",(D84-E84)/E84)</x:f>
        <x:v>0.2585287745280858</x:v>
      </x:c>
      <x:c r="J84" s="8" t="n">
        <x:f>IF(D84=0,"н.д.",(D84-E84-F84)/D84)</x:f>
        <x:v>0.15135062626952211</x:v>
      </x:c>
      <x:c r="K84" s="6" t="n">
        <x:f>IF(G84=0,"н.д.",D84/H84)</x:f>
        <x:v>1080285.225</x:v>
      </x:c>
      <x:c r="L84" s="1" t="n">
        <x:f>SUMIFS('Данные'!$H$2:$H$505,'Данные'!$J$2:$J$505,A84,'Данные'!$B$2:$B$505,B84)</x:f>
        <x:v>14974</x:v>
      </x:c>
      <x:c r="M84" s="1" t="n">
        <x:f>SUMIFS('Данные'!$I$2:$I$505,'Данные'!$J$2:$J$505,A84,'Данные'!$B$2:$B$505,B84)</x:f>
        <x:v>13289</x:v>
      </x:c>
      <x:c r="N84" s="1"/>
      <x:c r="O84" s="1"/>
      <x:c r="P84" s="1"/>
      <x:c r="Q84" s="1"/>
    </x:row>
    <x:row r="85" ht="21" customHeight="1">
      <x:c r="A85" s="5" t="n">
        <x:v>43976</x:v>
      </x:c>
      <x:c r="B85" s="1" t="str">
        <x:v>Новосибирск</x:v>
      </x:c>
      <x:c r="C85" s="1" t="n">
        <x:f>COUNTIFS('Данные'!$J$2:$J$505,A85,'Данные'!$B$2:$B$505,B85)</x:f>
        <x:v>7</x:v>
      </x:c>
      <x:c r="D85" s="6" t="n">
        <x:f>SUMIFS('Данные'!$D$2:$D$505,'Данные'!$J$2:$J$505,A85,'Данные'!$B$2:$B$505,B85)</x:f>
        <x:v>9909624</x:v>
      </x:c>
      <x:c r="E85" s="6" t="n">
        <x:f>SUMIFS('Данные'!$E$2:$E$505,'Данные'!$J$2:$J$505,A85,'Данные'!$B$2:$B$505,B85)</x:f>
        <x:v>8086120.618</x:v>
      </x:c>
      <x:c r="F85" s="6" t="n">
        <x:f>SUMIFS('Данные'!$F$2:$F$505,'Данные'!$J$2:$J$505,A85,'Данные'!$B$2:$B$505,B85)</x:f>
        <x:v>663214.7942923077</x:v>
      </x:c>
      <x:c r="G85" s="6" t="n">
        <x:f>SUMIFS('Данные'!$G$2:$G$505,'Данные'!$J$2:$J$505,A85,'Данные'!$B$2:$B$505,B85)</x:f>
        <x:v>126</x:v>
      </x:c>
      <x:c r="H85" s="6" t="n">
        <x:f>IF(C85=0,"н.д.",G85/C85)</x:f>
        <x:v>18</x:v>
      </x:c>
      <x:c r="I85" s="8" t="n">
        <x:f>IF(E85=0,"н.д.",(D85-E85)/E85)</x:f>
        <x:v>0.2255102870888192</x:v>
      </x:c>
      <x:c r="J85" s="8" t="n">
        <x:f>IF(D85=0,"н.д.",(D85-E85-F85)/D85)</x:f>
        <x:v>0.11708704464545704</x:v>
      </x:c>
      <x:c r="K85" s="6" t="n">
        <x:f>IF(G85=0,"н.д.",D85/H85)</x:f>
        <x:v>550534.6666666666</x:v>
      </x:c>
      <x:c r="L85" s="1" t="n">
        <x:f>SUMIFS('Данные'!$H$2:$H$505,'Данные'!$J$2:$J$505,A85,'Данные'!$B$2:$B$505,B85)</x:f>
        <x:v>7144</x:v>
      </x:c>
      <x:c r="M85" s="1" t="n">
        <x:f>SUMIFS('Данные'!$I$2:$I$505,'Данные'!$J$2:$J$505,A85,'Данные'!$B$2:$B$505,B85)</x:f>
        <x:v>6380</x:v>
      </x:c>
      <x:c r="N85" s="1"/>
      <x:c r="O85" s="1"/>
      <x:c r="P85" s="1"/>
      <x:c r="Q85" s="1"/>
    </x:row>
    <x:row r="86" ht="21" customHeight="1">
      <x:c r="A86" s="5" t="n">
        <x:v>43976</x:v>
      </x:c>
      <x:c r="B86" s="1" t="str">
        <x:v>Пермь</x:v>
      </x:c>
      <x:c r="C86" s="1" t="n">
        <x:f>COUNTIFS('Данные'!$J$2:$J$505,A86,'Данные'!$B$2:$B$505,B86)</x:f>
        <x:v>7</x:v>
      </x:c>
      <x:c r="D86" s="6" t="n">
        <x:f>SUMIFS('Данные'!$D$2:$D$505,'Данные'!$J$2:$J$505,A86,'Данные'!$B$2:$B$505,B86)</x:f>
        <x:v>11902053</x:v>
      </x:c>
      <x:c r="E86" s="6" t="n">
        <x:f>SUMIFS('Данные'!$E$2:$E$505,'Данные'!$J$2:$J$505,A86,'Данные'!$B$2:$B$505,B86)</x:f>
        <x:v>9600312.131</x:v>
      </x:c>
      <x:c r="F86" s="6" t="n">
        <x:f>SUMIFS('Данные'!$F$2:$F$505,'Данные'!$J$2:$J$505,A86,'Данные'!$B$2:$B$505,B86)</x:f>
        <x:v>1516859.5838461537</x:v>
      </x:c>
      <x:c r="G86" s="6" t="n">
        <x:f>SUMIFS('Данные'!$G$2:$G$505,'Данные'!$J$2:$J$505,A86,'Данные'!$B$2:$B$505,B86)</x:f>
        <x:v>119</x:v>
      </x:c>
      <x:c r="H86" s="6" t="n">
        <x:f>IF(C86=0,"н.д.",G86/C86)</x:f>
        <x:v>17</x:v>
      </x:c>
      <x:c r="I86" s="8" t="n">
        <x:f>IF(E86=0,"н.д.",(D86-E86)/E86)</x:f>
        <x:v>0.23975687848393365</x:v>
      </x:c>
      <x:c r="J86" s="8" t="n">
        <x:f>IF(D86=0,"н.д.",(D86-E86-F86)/D86)</x:f>
        <x:v>0.06594503361343183</x:v>
      </x:c>
      <x:c r="K86" s="6" t="n">
        <x:f>IF(G86=0,"н.д.",D86/H86)</x:f>
        <x:v>700120.7647058824</x:v>
      </x:c>
      <x:c r="L86" s="1" t="n">
        <x:f>SUMIFS('Данные'!$H$2:$H$505,'Данные'!$J$2:$J$505,A86,'Данные'!$B$2:$B$505,B86)</x:f>
        <x:v>8761</x:v>
      </x:c>
      <x:c r="M86" s="1" t="n">
        <x:f>SUMIFS('Данные'!$I$2:$I$505,'Данные'!$J$2:$J$505,A86,'Данные'!$B$2:$B$505,B86)</x:f>
        <x:v>7787</x:v>
      </x:c>
      <x:c r="N86" s="1"/>
      <x:c r="O86" s="1"/>
      <x:c r="P86" s="1"/>
      <x:c r="Q86" s="1"/>
    </x:row>
    <x:row r="87" ht="21" customHeight="1">
      <x:c r="A87" s="5" t="n">
        <x:v>43976</x:v>
      </x:c>
      <x:c r="B87" s="1" t="str">
        <x:v>Ростов-на-Дону</x:v>
      </x:c>
      <x:c r="C87" s="1" t="n">
        <x:f>COUNTIFS('Данные'!$J$2:$J$505,A87,'Данные'!$B$2:$B$505,B87)</x:f>
        <x:v>7</x:v>
      </x:c>
      <x:c r="D87" s="6" t="n">
        <x:f>SUMIFS('Данные'!$D$2:$D$505,'Данные'!$J$2:$J$505,A87,'Данные'!$B$2:$B$505,B87)</x:f>
        <x:v>9328845</x:v>
      </x:c>
      <x:c r="E87" s="6" t="n">
        <x:f>SUMIFS('Данные'!$E$2:$E$505,'Данные'!$J$2:$J$505,A87,'Данные'!$B$2:$B$505,B87)</x:f>
        <x:v>7482668.031</x:v>
      </x:c>
      <x:c r="F87" s="6" t="n">
        <x:f>SUMIFS('Данные'!$F$2:$F$505,'Данные'!$J$2:$J$505,A87,'Данные'!$B$2:$B$505,B87)</x:f>
        <x:v>1225599.978876923</x:v>
      </x:c>
      <x:c r="G87" s="6" t="n">
        <x:f>SUMIFS('Данные'!$G$2:$G$505,'Данные'!$J$2:$J$505,A87,'Данные'!$B$2:$B$505,B87)</x:f>
        <x:v>109</x:v>
      </x:c>
      <x:c r="H87" s="6" t="n">
        <x:f>IF(C87=0,"н.д.",G87/C87)</x:f>
        <x:v>15.571428571428571</x:v>
      </x:c>
      <x:c r="I87" s="8" t="n">
        <x:f>IF(E87=0,"н.д.",(D87-E87)/E87)</x:f>
        <x:v>0.24672709805532725</x:v>
      </x:c>
      <x:c r="J87" s="8" t="n">
        <x:f>IF(D87=0,"н.д.",(D87-E87-F87)/D87)</x:f>
        <x:v>0.0665223819372148</x:v>
      </x:c>
      <x:c r="K87" s="6" t="n">
        <x:f>IF(G87=0,"н.д.",D87/H87)</x:f>
        <x:v>599100.1376146789</x:v>
      </x:c>
      <x:c r="L87" s="1" t="n">
        <x:f>SUMIFS('Данные'!$H$2:$H$505,'Данные'!$J$2:$J$505,A87,'Данные'!$B$2:$B$505,B87)</x:f>
        <x:v>6278</x:v>
      </x:c>
      <x:c r="M87" s="1" t="n">
        <x:f>SUMIFS('Данные'!$I$2:$I$505,'Данные'!$J$2:$J$505,A87,'Данные'!$B$2:$B$505,B87)</x:f>
        <x:v>5490</x:v>
      </x:c>
      <x:c r="N87" s="1"/>
      <x:c r="O87" s="1"/>
      <x:c r="P87" s="1"/>
      <x:c r="Q87" s="1"/>
    </x:row>
    <x:row r="88" ht="21" customHeight="1">
      <x:c r="A88" s="5" t="n">
        <x:v>43976</x:v>
      </x:c>
      <x:c r="B88" s="1" t="str">
        <x:v>Самара</x:v>
      </x:c>
      <x:c r="C88" s="1" t="n">
        <x:f>COUNTIFS('Данные'!$J$2:$J$505,A88,'Данные'!$B$2:$B$505,B88)</x:f>
        <x:v>4</x:v>
      </x:c>
      <x:c r="D88" s="6" t="n">
        <x:f>SUMIFS('Данные'!$D$2:$D$505,'Данные'!$J$2:$J$505,A88,'Данные'!$B$2:$B$505,B88)</x:f>
        <x:v>2706253.5</x:v>
      </x:c>
      <x:c r="E88" s="6" t="n">
        <x:f>SUMIFS('Данные'!$E$2:$E$505,'Данные'!$J$2:$J$505,A88,'Данные'!$B$2:$B$505,B88)</x:f>
        <x:v>2515464.466</x:v>
      </x:c>
      <x:c r="F88" s="6" t="n">
        <x:f>SUMIFS('Данные'!$F$2:$F$505,'Данные'!$J$2:$J$505,A88,'Данные'!$B$2:$B$505,B88)</x:f>
        <x:v>321104.94968461536</x:v>
      </x:c>
      <x:c r="G88" s="6" t="n">
        <x:f>SUMIFS('Данные'!$G$2:$G$505,'Данные'!$J$2:$J$505,A88,'Данные'!$B$2:$B$505,B88)</x:f>
        <x:v>60</x:v>
      </x:c>
      <x:c r="H88" s="6" t="n">
        <x:f>IF(C88=0,"н.д.",G88/C88)</x:f>
        <x:v>15</x:v>
      </x:c>
      <x:c r="I88" s="8" t="n">
        <x:f>IF(E88=0,"н.д.",(D88-E88)/E88)</x:f>
        <x:v>0.07584644370007172</x:v>
      </x:c>
      <x:c r="J88" s="8" t="n">
        <x:f>IF(D88=0,"н.д.",(D88-E88-F88)/D88)</x:f>
        <x:v>-0.04815362481179807</x:v>
      </x:c>
      <x:c r="K88" s="6" t="n">
        <x:f>IF(G88=0,"н.д.",D88/H88)</x:f>
        <x:v>180416.9</x:v>
      </x:c>
      <x:c r="L88" s="1" t="n">
        <x:f>SUMIFS('Данные'!$H$2:$H$505,'Данные'!$J$2:$J$505,A88,'Данные'!$B$2:$B$505,B88)</x:f>
        <x:v>1795</x:v>
      </x:c>
      <x:c r="M88" s="1" t="n">
        <x:f>SUMIFS('Данные'!$I$2:$I$505,'Данные'!$J$2:$J$505,A88,'Данные'!$B$2:$B$505,B88)</x:f>
        <x:v>1496</x:v>
      </x:c>
      <x:c r="N88" s="1"/>
      <x:c r="O88" s="1"/>
      <x:c r="P88" s="1"/>
      <x:c r="Q88" s="1"/>
    </x:row>
    <x:row r="89" ht="21" customHeight="1">
      <x:c r="A89" s="5" t="n">
        <x:v>43976</x:v>
      </x:c>
      <x:c r="B89" s="1" t="str">
        <x:v>Санкт-Петербург Север</x:v>
      </x:c>
      <x:c r="C89" s="1" t="n">
        <x:f>COUNTIFS('Данные'!$J$2:$J$505,A89,'Данные'!$B$2:$B$505,B89)</x:f>
        <x:v>7</x:v>
      </x:c>
      <x:c r="D89" s="6" t="n">
        <x:f>SUMIFS('Данные'!$D$2:$D$505,'Данные'!$J$2:$J$505,A89,'Данные'!$B$2:$B$505,B89)</x:f>
        <x:v>292155049.5</x:v>
      </x:c>
      <x:c r="E89" s="6" t="n">
        <x:f>SUMIFS('Данные'!$E$2:$E$505,'Данные'!$J$2:$J$505,A89,'Данные'!$B$2:$B$505,B89)</x:f>
        <x:v>216200382.60500002</x:v>
      </x:c>
      <x:c r="F89" s="6" t="n">
        <x:f>SUMIFS('Данные'!$F$2:$F$505,'Данные'!$J$2:$J$505,A89,'Данные'!$B$2:$B$505,B89)</x:f>
        <x:v>4012887.0277307695</x:v>
      </x:c>
      <x:c r="G89" s="6" t="n">
        <x:f>SUMIFS('Данные'!$G$2:$G$505,'Данные'!$J$2:$J$505,A89,'Данные'!$B$2:$B$505,B89)</x:f>
        <x:v>868</x:v>
      </x:c>
      <x:c r="H89" s="6" t="n">
        <x:f>IF(C89=0,"н.д.",G89/C89)</x:f>
        <x:v>124</x:v>
      </x:c>
      <x:c r="I89" s="8" t="n">
        <x:f>IF(E89=0,"н.д.",(D89-E89)/E89)</x:f>
        <x:v>0.35131606142330385</x:v>
      </x:c>
      <x:c r="J89" s="8" t="n">
        <x:f>IF(D89=0,"н.д.",(D89-E89-F89)/D89)</x:f>
        <x:v>0.24624520435430372</x:v>
      </x:c>
      <x:c r="K89" s="6" t="n">
        <x:f>IF(G89=0,"н.д.",D89/H89)</x:f>
        <x:v>2356089.1088709678</x:v>
      </x:c>
      <x:c r="L89" s="1" t="n">
        <x:f>SUMIFS('Данные'!$H$2:$H$505,'Данные'!$J$2:$J$505,A89,'Данные'!$B$2:$B$505,B89)</x:f>
        <x:v>155308</x:v>
      </x:c>
      <x:c r="M89" s="1" t="n">
        <x:f>SUMIFS('Данные'!$I$2:$I$505,'Данные'!$J$2:$J$505,A89,'Данные'!$B$2:$B$505,B89)</x:f>
        <x:v>144114</x:v>
      </x:c>
      <x:c r="N89" s="1"/>
      <x:c r="O89" s="1"/>
      <x:c r="P89" s="1"/>
      <x:c r="Q89" s="1"/>
    </x:row>
    <x:row r="90" ht="21" customHeight="1">
      <x:c r="A90" s="5" t="n">
        <x:v>43976</x:v>
      </x:c>
      <x:c r="B90" s="1" t="str">
        <x:v>Санкт-Петербург Юг</x:v>
      </x:c>
      <x:c r="C90" s="1" t="n">
        <x:f>COUNTIFS('Данные'!$J$2:$J$505,A90,'Данные'!$B$2:$B$505,B90)</x:f>
        <x:v>7</x:v>
      </x:c>
      <x:c r="D90" s="6" t="n">
        <x:f>SUMIFS('Данные'!$D$2:$D$505,'Данные'!$J$2:$J$505,A90,'Данные'!$B$2:$B$505,B90)</x:f>
        <x:v>219265928.75384998</x:v>
      </x:c>
      <x:c r="E90" s="6" t="n">
        <x:f>SUMIFS('Данные'!$E$2:$E$505,'Данные'!$J$2:$J$505,A90,'Данные'!$B$2:$B$505,B90)</x:f>
        <x:v>164247123.755</x:v>
      </x:c>
      <x:c r="F90" s="6" t="n">
        <x:f>SUMIFS('Данные'!$F$2:$F$505,'Данные'!$J$2:$J$505,A90,'Данные'!$B$2:$B$505,B90)</x:f>
        <x:v>3932115.550715384</x:v>
      </x:c>
      <x:c r="G90" s="6" t="n">
        <x:f>SUMIFS('Данные'!$G$2:$G$505,'Данные'!$J$2:$J$505,A90,'Данные'!$B$2:$B$505,B90)</x:f>
        <x:v>903</x:v>
      </x:c>
      <x:c r="H90" s="6" t="n">
        <x:f>IF(C90=0,"н.д.",G90/C90)</x:f>
        <x:v>129</x:v>
      </x:c>
      <x:c r="I90" s="8" t="n">
        <x:f>IF(E90=0,"н.д.",(D90-E90)/E90)</x:f>
        <x:v>0.3349757593376128</x:v>
      </x:c>
      <x:c r="J90" s="8" t="n">
        <x:f>IF(D90=0,"н.д.",(D90-E90-F90)/D90)</x:f>
        <x:v>0.23298963837416348</x:v>
      </x:c>
      <x:c r="K90" s="6" t="n">
        <x:f>IF(G90=0,"н.д.",D90/H90)</x:f>
        <x:v>1699735.8818127906</x:v>
      </x:c>
      <x:c r="L90" s="1" t="n">
        <x:f>SUMIFS('Данные'!$H$2:$H$505,'Данные'!$J$2:$J$505,A90,'Данные'!$B$2:$B$505,B90)</x:f>
        <x:v>125730</x:v>
      </x:c>
      <x:c r="M90" s="1" t="n">
        <x:f>SUMIFS('Данные'!$I$2:$I$505,'Данные'!$J$2:$J$505,A90,'Данные'!$B$2:$B$505,B90)</x:f>
        <x:v>116798</x:v>
      </x:c>
      <x:c r="N90" s="1"/>
      <x:c r="O90" s="1"/>
      <x:c r="P90" s="1"/>
      <x:c r="Q90" s="1"/>
    </x:row>
    <x:row r="91" ht="21" customHeight="1">
      <x:c r="A91" s="5" t="n">
        <x:v>43976</x:v>
      </x:c>
      <x:c r="B91" s="1" t="str">
        <x:v>Тольятти</x:v>
      </x:c>
      <x:c r="C91" s="1" t="n">
        <x:f>COUNTIFS('Данные'!$J$2:$J$505,A91,'Данные'!$B$2:$B$505,B91)</x:f>
        <x:v>7</x:v>
      </x:c>
      <x:c r="D91" s="6" t="n">
        <x:f>SUMIFS('Данные'!$D$2:$D$505,'Данные'!$J$2:$J$505,A91,'Данные'!$B$2:$B$505,B91)</x:f>
        <x:v>7762362</x:v>
      </x:c>
      <x:c r="E91" s="6" t="n">
        <x:f>SUMIFS('Данные'!$E$2:$E$505,'Данные'!$J$2:$J$505,A91,'Данные'!$B$2:$B$505,B91)</x:f>
        <x:v>6527089.4290000005</x:v>
      </x:c>
      <x:c r="F91" s="6" t="n">
        <x:f>SUMIFS('Данные'!$F$2:$F$505,'Данные'!$J$2:$J$505,A91,'Данные'!$B$2:$B$505,B91)</x:f>
        <x:v>548423.4243</x:v>
      </x:c>
      <x:c r="G91" s="6" t="n">
        <x:f>SUMIFS('Данные'!$G$2:$G$505,'Данные'!$J$2:$J$505,A91,'Данные'!$B$2:$B$505,B91)</x:f>
        <x:v>70</x:v>
      </x:c>
      <x:c r="H91" s="6" t="n">
        <x:f>IF(C91=0,"н.д.",G91/C91)</x:f>
        <x:v>10</x:v>
      </x:c>
      <x:c r="I91" s="8" t="n">
        <x:f>IF(E91=0,"н.д.",(D91-E91)/E91)</x:f>
        <x:v>0.18925320151301384</x:v>
      </x:c>
      <x:c r="J91" s="8" t="n">
        <x:f>IF(D91=0,"н.д.",(D91-E91-F91)/D91)</x:f>
        <x:v>0.08848455492026777</x:v>
      </x:c>
      <x:c r="K91" s="6" t="n">
        <x:f>IF(G91=0,"н.д.",D91/H91)</x:f>
        <x:v>776236.2</x:v>
      </x:c>
      <x:c r="L91" s="1" t="n">
        <x:f>SUMIFS('Данные'!$H$2:$H$505,'Данные'!$J$2:$J$505,A91,'Данные'!$B$2:$B$505,B91)</x:f>
        <x:v>5466</x:v>
      </x:c>
      <x:c r="M91" s="1" t="n">
        <x:f>SUMIFS('Данные'!$I$2:$I$505,'Данные'!$J$2:$J$505,A91,'Данные'!$B$2:$B$505,B91)</x:f>
        <x:v>4788</x:v>
      </x:c>
      <x:c r="N91" s="1"/>
      <x:c r="O91" s="1"/>
      <x:c r="P91" s="1"/>
      <x:c r="Q91" s="1"/>
    </x:row>
    <x:row r="92" ht="21" customHeight="1">
      <x:c r="A92" s="5" t="n">
        <x:v>43976</x:v>
      </x:c>
      <x:c r="B92" s="1" t="str">
        <x:v>Томск</x:v>
      </x:c>
      <x:c r="C92" s="1" t="n">
        <x:f>COUNTIFS('Данные'!$J$2:$J$505,A92,'Данные'!$B$2:$B$505,B92)</x:f>
        <x:v>1</x:v>
      </x:c>
      <x:c r="D92" s="6" t="n">
        <x:f>SUMIFS('Данные'!$D$2:$D$505,'Данные'!$J$2:$J$505,A92,'Данные'!$B$2:$B$505,B92)</x:f>
        <x:v>493893</x:v>
      </x:c>
      <x:c r="E92" s="6" t="n">
        <x:f>SUMIFS('Данные'!$E$2:$E$505,'Данные'!$J$2:$J$505,A92,'Данные'!$B$2:$B$505,B92)</x:f>
        <x:v>459762.61999999994</x:v>
      </x:c>
      <x:c r="F92" s="6" t="n">
        <x:f>SUMIFS('Данные'!$F$2:$F$505,'Данные'!$J$2:$J$505,A92,'Данные'!$B$2:$B$505,B92)</x:f>
        <x:v>28040.97692307692</x:v>
      </x:c>
      <x:c r="G92" s="6" t="n">
        <x:f>SUMIFS('Данные'!$G$2:$G$505,'Данные'!$J$2:$J$505,A92,'Данные'!$B$2:$B$505,B92)</x:f>
        <x:v>9</x:v>
      </x:c>
      <x:c r="H92" s="6" t="n">
        <x:f>IF(C92=0,"н.д.",G92/C92)</x:f>
        <x:v>9</x:v>
      </x:c>
      <x:c r="I92" s="8" t="n">
        <x:f>IF(E92=0,"н.д.",(D92-E92)/E92)</x:f>
        <x:v>0.07423478663837453</x:v>
      </x:c>
      <x:c r="J92" s="8" t="n">
        <x:f>IF(D92=0,"н.д.",(D92-E92-F92)/D92)</x:f>
        <x:v>0.012329397413859163</x:v>
      </x:c>
      <x:c r="K92" s="6" t="n">
        <x:f>IF(G92=0,"н.д.",D92/H92)</x:f>
        <x:v>54877</x:v>
      </x:c>
      <x:c r="L92" s="1" t="n">
        <x:f>SUMIFS('Данные'!$H$2:$H$505,'Данные'!$J$2:$J$505,A92,'Данные'!$B$2:$B$505,B92)</x:f>
        <x:v>345</x:v>
      </x:c>
      <x:c r="M92" s="1" t="n">
        <x:f>SUMIFS('Данные'!$I$2:$I$505,'Данные'!$J$2:$J$505,A92,'Данные'!$B$2:$B$505,B92)</x:f>
        <x:v>255</x:v>
      </x:c>
      <x:c r="N92" s="1"/>
      <x:c r="O92" s="1"/>
      <x:c r="P92" s="1"/>
      <x:c r="Q92" s="1"/>
    </x:row>
    <x:row r="93" ht="21" customHeight="1">
      <x:c r="A93" s="5" t="n">
        <x:v>43976</x:v>
      </x:c>
      <x:c r="B93" s="1" t="str">
        <x:v>Тюмень</x:v>
      </x:c>
      <x:c r="C93" s="1" t="n">
        <x:f>COUNTIFS('Данные'!$J$2:$J$505,A93,'Данные'!$B$2:$B$505,B93)</x:f>
        <x:v>6</x:v>
      </x:c>
      <x:c r="D93" s="6" t="n">
        <x:f>SUMIFS('Данные'!$D$2:$D$505,'Данные'!$J$2:$J$505,A93,'Данные'!$B$2:$B$505,B93)</x:f>
        <x:v>4861708.5</x:v>
      </x:c>
      <x:c r="E93" s="6" t="n">
        <x:f>SUMIFS('Данные'!$E$2:$E$505,'Данные'!$J$2:$J$505,A93,'Данные'!$B$2:$B$505,B93)</x:f>
        <x:v>4210652.65</x:v>
      </x:c>
      <x:c r="F93" s="6" t="n">
        <x:f>SUMIFS('Данные'!$F$2:$F$505,'Данные'!$J$2:$J$505,A93,'Данные'!$B$2:$B$505,B93)</x:f>
        <x:v>337993.33525384613</x:v>
      </x:c>
      <x:c r="G93" s="6" t="n">
        <x:f>SUMIFS('Данные'!$G$2:$G$505,'Данные'!$J$2:$J$505,A93,'Данные'!$B$2:$B$505,B93)</x:f>
        <x:v>42</x:v>
      </x:c>
      <x:c r="H93" s="6" t="n">
        <x:f>IF(C93=0,"н.д.",G93/C93)</x:f>
        <x:v>7</x:v>
      </x:c>
      <x:c r="I93" s="8" t="n">
        <x:f>IF(E93=0,"н.д.",(D93-E93)/E93)</x:f>
        <x:v>0.15462112506478054</x:v>
      </x:c>
      <x:c r="J93" s="8" t="n">
        <x:f>IF(D93=0,"н.д.",(D93-E93-F93)/D93)</x:f>
        <x:v>0.06439351819348146</x:v>
      </x:c>
      <x:c r="K93" s="6" t="n">
        <x:f>IF(G93=0,"н.д.",D93/H93)</x:f>
        <x:v>694529.7857142857</x:v>
      </x:c>
      <x:c r="L93" s="1" t="n">
        <x:f>SUMIFS('Данные'!$H$2:$H$505,'Данные'!$J$2:$J$505,A93,'Данные'!$B$2:$B$505,B93)</x:f>
        <x:v>2959</x:v>
      </x:c>
      <x:c r="M93" s="1" t="n">
        <x:f>SUMIFS('Данные'!$I$2:$I$505,'Данные'!$J$2:$J$505,A93,'Данные'!$B$2:$B$505,B93)</x:f>
        <x:v>2372</x:v>
      </x:c>
      <x:c r="N93" s="1"/>
      <x:c r="O93" s="1"/>
      <x:c r="P93" s="1"/>
      <x:c r="Q93" s="1"/>
    </x:row>
    <x:row r="94" ht="21" customHeight="1">
      <x:c r="A94" s="5" t="n">
        <x:v>43976</x:v>
      </x:c>
      <x:c r="B94" s="1" t="str">
        <x:v>Уфа</x:v>
      </x:c>
      <x:c r="C94" s="1" t="n">
        <x:f>COUNTIFS('Данные'!$J$2:$J$505,A94,'Данные'!$B$2:$B$505,B94)</x:f>
        <x:v>1</x:v>
      </x:c>
      <x:c r="D94" s="6" t="n">
        <x:f>SUMIFS('Данные'!$D$2:$D$505,'Данные'!$J$2:$J$505,A94,'Данные'!$B$2:$B$505,B94)</x:f>
        <x:v>468835.5</x:v>
      </x:c>
      <x:c r="E94" s="6" t="n">
        <x:f>SUMIFS('Данные'!$E$2:$E$505,'Данные'!$J$2:$J$505,A94,'Данные'!$B$2:$B$505,B94)</x:f>
        <x:v>412625.887</x:v>
      </x:c>
      <x:c r="F94" s="6" t="n">
        <x:f>SUMIFS('Данные'!$F$2:$F$505,'Данные'!$J$2:$J$505,A94,'Данные'!$B$2:$B$505,B94)</x:f>
        <x:v>8642.376923076923</x:v>
      </x:c>
      <x:c r="G94" s="6" t="n">
        <x:f>SUMIFS('Данные'!$G$2:$G$505,'Данные'!$J$2:$J$505,A94,'Данные'!$B$2:$B$505,B94)</x:f>
        <x:v>6</x:v>
      </x:c>
      <x:c r="H94" s="6" t="n">
        <x:f>IF(C94=0,"н.д.",G94/C94)</x:f>
        <x:v>6</x:v>
      </x:c>
      <x:c r="I94" s="8" t="n">
        <x:f>IF(E94=0,"н.д.",(D94-E94)/E94)</x:f>
        <x:v>0.1362241555145085</x:v>
      </x:c>
      <x:c r="J94" s="8" t="n">
        <x:f>IF(D94=0,"н.д.",(D94-E94-F94)/D94)</x:f>
        <x:v>0.10145826431002578</x:v>
      </x:c>
      <x:c r="K94" s="6" t="n">
        <x:f>IF(G94=0,"н.д.",D94/H94)</x:f>
        <x:v>78139.25</x:v>
      </x:c>
      <x:c r="L94" s="1" t="n">
        <x:f>SUMIFS('Данные'!$H$2:$H$505,'Данные'!$J$2:$J$505,A94,'Данные'!$B$2:$B$505,B94)</x:f>
        <x:v>261</x:v>
      </x:c>
      <x:c r="M94" s="1" t="n">
        <x:f>SUMIFS('Данные'!$I$2:$I$505,'Данные'!$J$2:$J$505,A94,'Данные'!$B$2:$B$505,B94)</x:f>
        <x:v>188</x:v>
      </x:c>
      <x:c r="N94" s="1"/>
      <x:c r="O94" s="1"/>
      <x:c r="P94" s="1"/>
      <x:c r="Q94" s="1"/>
    </x:row>
    <x:row r="95" ht="21" customHeight="1">
      <x:c r="A95" s="5" t="n">
        <x:v>43983</x:v>
      </x:c>
      <x:c r="B95" s="1" t="str">
        <x:v>Волгоград</x:v>
      </x:c>
      <x:c r="C95" s="1" t="n">
        <x:f>COUNTIFS('Данные'!$J$2:$J$505,A95,'Данные'!$B$2:$B$505,B95)</x:f>
        <x:v>1</x:v>
      </x:c>
      <x:c r="D95" s="6" t="n">
        <x:f>SUMIFS('Данные'!$D$2:$D$505,'Данные'!$J$2:$J$505,A95,'Данные'!$B$2:$B$505,B95)</x:f>
        <x:v>5800290</x:v>
      </x:c>
      <x:c r="E95" s="6" t="n">
        <x:f>SUMIFS('Данные'!$E$2:$E$505,'Данные'!$J$2:$J$505,A95,'Данные'!$B$2:$B$505,B95)</x:f>
        <x:v>4332158.433</x:v>
      </x:c>
      <x:c r="F95" s="6" t="n">
        <x:f>SUMIFS('Данные'!$F$2:$F$505,'Данные'!$J$2:$J$505,A95,'Данные'!$B$2:$B$505,B95)</x:f>
        <x:v>205428.24997692305</x:v>
      </x:c>
      <x:c r="G95" s="6" t="n">
        <x:f>SUMIFS('Данные'!$G$2:$G$505,'Данные'!$J$2:$J$505,A95,'Данные'!$B$2:$B$505,B95)</x:f>
        <x:v>37</x:v>
      </x:c>
      <x:c r="H95" s="6" t="n">
        <x:f>IF(C95=0,"н.д.",G95/C95)</x:f>
        <x:v>37</x:v>
      </x:c>
      <x:c r="I95" s="8" t="n">
        <x:f>IF(E95=0,"н.д.",(D95-E95)/E95)</x:f>
        <x:v>0.33889147631734357</x:v>
      </x:c>
      <x:c r="J95" s="8" t="n">
        <x:f>IF(D95=0,"н.д.",(D95-E95-F95)/D95)</x:f>
        <x:v>0.21769658362307348</x:v>
      </x:c>
      <x:c r="K95" s="6" t="n">
        <x:f>IF(G95=0,"н.д.",D95/H95)</x:f>
        <x:v>156764.5945945946</x:v>
      </x:c>
      <x:c r="L95" s="1" t="n">
        <x:f>SUMIFS('Данные'!$H$2:$H$505,'Данные'!$J$2:$J$505,A95,'Данные'!$B$2:$B$505,B95)</x:f>
        <x:v>4722</x:v>
      </x:c>
      <x:c r="M95" s="1" t="n">
        <x:f>SUMIFS('Данные'!$I$2:$I$505,'Данные'!$J$2:$J$505,A95,'Данные'!$B$2:$B$505,B95)</x:f>
        <x:v>4352</x:v>
      </x:c>
      <x:c r="N95" s="1"/>
      <x:c r="O95" s="1"/>
      <x:c r="P95" s="1"/>
      <x:c r="Q95" s="1"/>
    </x:row>
    <x:row r="96" ht="21" customHeight="1">
      <x:c r="A96" s="5" t="n">
        <x:v>43983</x:v>
      </x:c>
      <x:c r="B96" s="1" t="str">
        <x:v>Екатеринбург</x:v>
      </x:c>
      <x:c r="C96" s="1" t="n">
        <x:f>COUNTIFS('Данные'!$J$2:$J$505,A96,'Данные'!$B$2:$B$505,B96)</x:f>
        <x:v>1</x:v>
      </x:c>
      <x:c r="D96" s="6" t="n">
        <x:f>SUMIFS('Данные'!$D$2:$D$505,'Данные'!$J$2:$J$505,A96,'Данные'!$B$2:$B$505,B96)</x:f>
        <x:v>6829921.5</x:v>
      </x:c>
      <x:c r="E96" s="6" t="n">
        <x:f>SUMIFS('Данные'!$E$2:$E$505,'Данные'!$J$2:$J$505,A96,'Данные'!$B$2:$B$505,B96)</x:f>
        <x:v>5152925.182</x:v>
      </x:c>
      <x:c r="F96" s="6" t="n">
        <x:f>SUMIFS('Данные'!$F$2:$F$505,'Данные'!$J$2:$J$505,A96,'Данные'!$B$2:$B$505,B96)</x:f>
        <x:v>219200.11557692307</x:v>
      </x:c>
      <x:c r="G96" s="6" t="n">
        <x:f>SUMIFS('Данные'!$G$2:$G$505,'Данные'!$J$2:$J$505,A96,'Данные'!$B$2:$B$505,B96)</x:f>
        <x:v>31</x:v>
      </x:c>
      <x:c r="H96" s="6" t="n">
        <x:f>IF(C96=0,"н.д.",G96/C96)</x:f>
        <x:v>31</x:v>
      </x:c>
      <x:c r="I96" s="8" t="n">
        <x:f>IF(E96=0,"н.д.",(D96-E96)/E96)</x:f>
        <x:v>0.3254455011025619</x:v>
      </x:c>
      <x:c r="J96" s="8" t="n">
        <x:f>IF(D96=0,"н.д.",(D96-E96-F96)/D96)</x:f>
        <x:v>0.21344259995126985</x:v>
      </x:c>
      <x:c r="K96" s="6" t="n">
        <x:f>IF(G96=0,"н.д.",D96/H96)</x:f>
        <x:v>220320.0483870968</x:v>
      </x:c>
      <x:c r="L96" s="1" t="n">
        <x:f>SUMIFS('Данные'!$H$2:$H$505,'Данные'!$J$2:$J$505,A96,'Данные'!$B$2:$B$505,B96)</x:f>
        <x:v>5468</x:v>
      </x:c>
      <x:c r="M96" s="1" t="n">
        <x:f>SUMIFS('Данные'!$I$2:$I$505,'Данные'!$J$2:$J$505,A96,'Данные'!$B$2:$B$505,B96)</x:f>
        <x:v>5081</x:v>
      </x:c>
      <x:c r="N96" s="1"/>
      <x:c r="O96" s="1"/>
      <x:c r="P96" s="1"/>
      <x:c r="Q96" s="1"/>
    </x:row>
    <x:row r="97" ht="21" customHeight="1">
      <x:c r="A97" s="5" t="n">
        <x:v>43983</x:v>
      </x:c>
      <x:c r="B97" s="1" t="str">
        <x:v>Казань</x:v>
      </x:c>
      <x:c r="C97" s="1" t="n">
        <x:f>COUNTIFS('Данные'!$J$2:$J$505,A97,'Данные'!$B$2:$B$505,B97)</x:f>
        <x:v>1</x:v>
      </x:c>
      <x:c r="D97" s="6" t="n">
        <x:f>SUMIFS('Данные'!$D$2:$D$505,'Данные'!$J$2:$J$505,A97,'Данные'!$B$2:$B$505,B97)</x:f>
        <x:v>3865251</x:v>
      </x:c>
      <x:c r="E97" s="6" t="n">
        <x:f>SUMIFS('Данные'!$E$2:$E$505,'Данные'!$J$2:$J$505,A97,'Данные'!$B$2:$B$505,B97)</x:f>
        <x:v>2972895.417</x:v>
      </x:c>
      <x:c r="F97" s="6" t="n">
        <x:f>SUMIFS('Данные'!$F$2:$F$505,'Данные'!$J$2:$J$505,A97,'Данные'!$B$2:$B$505,B97)</x:f>
        <x:v>336001.0803923077</x:v>
      </x:c>
      <x:c r="G97" s="6" t="n">
        <x:f>SUMIFS('Данные'!$G$2:$G$505,'Данные'!$J$2:$J$505,A97,'Данные'!$B$2:$B$505,B97)</x:f>
        <x:v>23</x:v>
      </x:c>
      <x:c r="H97" s="6" t="n">
        <x:f>IF(C97=0,"н.д.",G97/C97)</x:f>
        <x:v>23</x:v>
      </x:c>
      <x:c r="I97" s="8" t="n">
        <x:f>IF(E97=0,"н.д.",(D97-E97)/E97)</x:f>
        <x:v>0.3001637992030313</x:v>
      </x:c>
      <x:c r="J97" s="8" t="n">
        <x:f>IF(D97=0,"н.д.",(D97-E97-F97)/D97)</x:f>
        <x:v>0.14393748364794223</x:v>
      </x:c>
      <x:c r="K97" s="6" t="n">
        <x:f>IF(G97=0,"н.д.",D97/H97)</x:f>
        <x:v>168054.39130434784</x:v>
      </x:c>
      <x:c r="L97" s="1" t="n">
        <x:f>SUMIFS('Данные'!$H$2:$H$505,'Данные'!$J$2:$J$505,A97,'Данные'!$B$2:$B$505,B97)</x:f>
        <x:v>2531</x:v>
      </x:c>
      <x:c r="M97" s="1" t="n">
        <x:f>SUMIFS('Данные'!$I$2:$I$505,'Данные'!$J$2:$J$505,A97,'Данные'!$B$2:$B$505,B97)</x:f>
        <x:v>2296</x:v>
      </x:c>
      <x:c r="N97" s="1"/>
      <x:c r="O97" s="1"/>
      <x:c r="P97" s="1"/>
      <x:c r="Q97" s="1"/>
    </x:row>
    <x:row r="98" ht="21" customHeight="1">
      <x:c r="A98" s="5" t="n">
        <x:v>43983</x:v>
      </x:c>
      <x:c r="B98" s="1" t="str">
        <x:v>Кемерово</x:v>
      </x:c>
      <x:c r="C98" s="1" t="n">
        <x:f>COUNTIFS('Данные'!$J$2:$J$505,A98,'Данные'!$B$2:$B$505,B98)</x:f>
        <x:v>1</x:v>
      </x:c>
      <x:c r="D98" s="6" t="n">
        <x:f>SUMIFS('Данные'!$D$2:$D$505,'Данные'!$J$2:$J$505,A98,'Данные'!$B$2:$B$505,B98)</x:f>
        <x:v>2945035.5</x:v>
      </x:c>
      <x:c r="E98" s="6" t="n">
        <x:f>SUMIFS('Данные'!$E$2:$E$505,'Данные'!$J$2:$J$505,A98,'Данные'!$B$2:$B$505,B98)</x:f>
        <x:v>2320195.4450000003</x:v>
      </x:c>
      <x:c r="F98" s="6" t="n">
        <x:f>SUMIFS('Данные'!$F$2:$F$505,'Данные'!$J$2:$J$505,A98,'Данные'!$B$2:$B$505,B98)</x:f>
        <x:v>383761.6669230769</x:v>
      </x:c>
      <x:c r="G98" s="6" t="n">
        <x:f>SUMIFS('Данные'!$G$2:$G$505,'Данные'!$J$2:$J$505,A98,'Данные'!$B$2:$B$505,B98)</x:f>
        <x:v>21</x:v>
      </x:c>
      <x:c r="H98" s="6" t="n">
        <x:f>IF(C98=0,"н.д.",G98/C98)</x:f>
        <x:v>21</x:v>
      </x:c>
      <x:c r="I98" s="8" t="n">
        <x:f>IF(E98=0,"н.д.",(D98-E98)/E98)</x:f>
        <x:v>0.2693049227152498</x:v>
      </x:c>
      <x:c r="J98" s="8" t="n">
        <x:f>IF(D98=0,"н.д.",(D98-E98-F98)/D98)</x:f>
        <x:v>0.08185924688409454</x:v>
      </x:c>
      <x:c r="K98" s="6" t="n">
        <x:f>IF(G98=0,"н.д.",D98/H98)</x:f>
        <x:v>140239.7857142857</x:v>
      </x:c>
      <x:c r="L98" s="1" t="n">
        <x:f>SUMIFS('Данные'!$H$2:$H$505,'Данные'!$J$2:$J$505,A98,'Данные'!$B$2:$B$505,B98)</x:f>
        <x:v>2025</x:v>
      </x:c>
      <x:c r="M98" s="1" t="n">
        <x:f>SUMIFS('Данные'!$I$2:$I$505,'Данные'!$J$2:$J$505,A98,'Данные'!$B$2:$B$505,B98)</x:f>
        <x:v>1849</x:v>
      </x:c>
      <x:c r="N98" s="1"/>
      <x:c r="O98" s="1"/>
      <x:c r="P98" s="1"/>
      <x:c r="Q98" s="1"/>
    </x:row>
    <x:row r="99" ht="21" customHeight="1">
      <x:c r="A99" s="5" t="n">
        <x:v>43983</x:v>
      </x:c>
      <x:c r="B99" s="1" t="str">
        <x:v>Краснодар</x:v>
      </x:c>
      <x:c r="C99" s="1" t="n">
        <x:f>COUNTIFS('Данные'!$J$2:$J$505,A99,'Данные'!$B$2:$B$505,B99)</x:f>
        <x:v>1</x:v>
      </x:c>
      <x:c r="D99" s="6" t="n">
        <x:f>SUMIFS('Данные'!$D$2:$D$505,'Данные'!$J$2:$J$505,A99,'Данные'!$B$2:$B$505,B99)</x:f>
        <x:v>2538967.5</x:v>
      </x:c>
      <x:c r="E99" s="6" t="n">
        <x:f>SUMIFS('Данные'!$E$2:$E$505,'Данные'!$J$2:$J$505,A99,'Данные'!$B$2:$B$505,B99)</x:f>
        <x:v>1983277.5959999997</x:v>
      </x:c>
      <x:c r="F99" s="6" t="n">
        <x:f>SUMIFS('Данные'!$F$2:$F$505,'Данные'!$J$2:$J$505,A99,'Данные'!$B$2:$B$505,B99)</x:f>
        <x:v>134168.53587692307</x:v>
      </x:c>
      <x:c r="G99" s="6" t="n">
        <x:f>SUMIFS('Данные'!$G$2:$G$505,'Данные'!$J$2:$J$505,A99,'Данные'!$B$2:$B$505,B99)</x:f>
        <x:v>21</x:v>
      </x:c>
      <x:c r="H99" s="6" t="n">
        <x:f>IF(C99=0,"н.д.",G99/C99)</x:f>
        <x:v>21</x:v>
      </x:c>
      <x:c r="I99" s="8" t="n">
        <x:f>IF(E99=0,"н.д.",(D99-E99)/E99)</x:f>
        <x:v>0.2801876576031268</x:v>
      </x:c>
      <x:c r="J99" s="8" t="n">
        <x:f>IF(D99=0,"н.д.",(D99-E99-F99)/D99)</x:f>
        <x:v>0.16602078133063036</x:v>
      </x:c>
      <x:c r="K99" s="6" t="n">
        <x:f>IF(G99=0,"н.д.",D99/H99)</x:f>
        <x:v>120903.21428571429</x:v>
      </x:c>
      <x:c r="L99" s="1" t="n">
        <x:f>SUMIFS('Данные'!$H$2:$H$505,'Данные'!$J$2:$J$505,A99,'Данные'!$B$2:$B$505,B99)</x:f>
        <x:v>1879</x:v>
      </x:c>
      <x:c r="M99" s="1" t="n">
        <x:f>SUMIFS('Данные'!$I$2:$I$505,'Данные'!$J$2:$J$505,A99,'Данные'!$B$2:$B$505,B99)</x:f>
        <x:v>1720</x:v>
      </x:c>
      <x:c r="N99" s="1"/>
      <x:c r="O99" s="1"/>
      <x:c r="P99" s="1"/>
      <x:c r="Q99" s="1"/>
    </x:row>
    <x:row r="100" ht="21" customHeight="1">
      <x:c r="A100" s="5" t="n">
        <x:v>43983</x:v>
      </x:c>
      <x:c r="B100" s="1" t="str">
        <x:v>Москва Восток</x:v>
      </x:c>
      <x:c r="C100" s="1" t="n">
        <x:f>COUNTIFS('Данные'!$J$2:$J$505,A100,'Данные'!$B$2:$B$505,B100)</x:f>
        <x:v>1</x:v>
      </x:c>
      <x:c r="D100" s="6" t="n">
        <x:f>SUMIFS('Данные'!$D$2:$D$505,'Данные'!$J$2:$J$505,A100,'Данные'!$B$2:$B$505,B100)</x:f>
        <x:v>18914194.5</x:v>
      </x:c>
      <x:c r="E100" s="6" t="n">
        <x:f>SUMIFS('Данные'!$E$2:$E$505,'Данные'!$J$2:$J$505,A100,'Данные'!$B$2:$B$505,B100)</x:f>
        <x:v>13959979.012</x:v>
      </x:c>
      <x:c r="F100" s="6" t="n">
        <x:f>SUMIFS('Данные'!$F$2:$F$505,'Данные'!$J$2:$J$505,A100,'Данные'!$B$2:$B$505,B100)</x:f>
        <x:v>464232.5484615384</x:v>
      </x:c>
      <x:c r="G100" s="6" t="n">
        <x:f>SUMIFS('Данные'!$G$2:$G$505,'Данные'!$J$2:$J$505,A100,'Данные'!$B$2:$B$505,B100)</x:f>
        <x:v>54</x:v>
      </x:c>
      <x:c r="H100" s="6" t="n">
        <x:f>IF(C100=0,"н.д.",G100/C100)</x:f>
        <x:v>54</x:v>
      </x:c>
      <x:c r="I100" s="8" t="n">
        <x:f>IF(E100=0,"н.д.",(D100-E100)/E100)</x:f>
        <x:v>0.3548870298258583</x:v>
      </x:c>
      <x:c r="J100" s="8" t="n">
        <x:f>IF(D100=0,"н.д.",(D100-E100-F100)/D100)</x:f>
        <x:v>0.23738694976085084</x:v>
      </x:c>
      <x:c r="K100" s="6" t="n">
        <x:f>IF(G100=0,"н.д.",D100/H100)</x:f>
        <x:v>350262.8611111111</x:v>
      </x:c>
      <x:c r="L100" s="1" t="n">
        <x:f>SUMIFS('Данные'!$H$2:$H$505,'Данные'!$J$2:$J$505,A100,'Данные'!$B$2:$B$505,B100)</x:f>
        <x:v>11864</x:v>
      </x:c>
      <x:c r="M100" s="1" t="n">
        <x:f>SUMIFS('Данные'!$I$2:$I$505,'Данные'!$J$2:$J$505,A100,'Данные'!$B$2:$B$505,B100)</x:f>
        <x:v>11071</x:v>
      </x:c>
      <x:c r="N100" s="1"/>
      <x:c r="O100" s="1"/>
      <x:c r="P100" s="1"/>
      <x:c r="Q100" s="1"/>
    </x:row>
    <x:row r="101" ht="21" customHeight="1">
      <x:c r="A101" s="5" t="n">
        <x:v>43983</x:v>
      </x:c>
      <x:c r="B101" s="1" t="str">
        <x:v>Москва Запад</x:v>
      </x:c>
      <x:c r="C101" s="1" t="n">
        <x:f>COUNTIFS('Данные'!$J$2:$J$505,A101,'Данные'!$B$2:$B$505,B101)</x:f>
        <x:v>1</x:v>
      </x:c>
      <x:c r="D101" s="6" t="n">
        <x:f>SUMIFS('Данные'!$D$2:$D$505,'Данные'!$J$2:$J$505,A101,'Данные'!$B$2:$B$505,B101)</x:f>
        <x:v>19465372.5</x:v>
      </x:c>
      <x:c r="E101" s="6" t="n">
        <x:f>SUMIFS('Данные'!$E$2:$E$505,'Данные'!$J$2:$J$505,A101,'Данные'!$B$2:$B$505,B101)</x:f>
        <x:v>14354207.141999999</x:v>
      </x:c>
      <x:c r="F101" s="6" t="n">
        <x:f>SUMIFS('Данные'!$F$2:$F$505,'Данные'!$J$2:$J$505,A101,'Данные'!$B$2:$B$505,B101)</x:f>
        <x:v>467483.70729230763</x:v>
      </x:c>
      <x:c r="G101" s="6" t="n">
        <x:f>SUMIFS('Данные'!$G$2:$G$505,'Данные'!$J$2:$J$505,A101,'Данные'!$B$2:$B$505,B101)</x:f>
        <x:v>59</x:v>
      </x:c>
      <x:c r="H101" s="6" t="n">
        <x:f>IF(C101=0,"н.д.",G101/C101)</x:f>
        <x:v>59</x:v>
      </x:c>
      <x:c r="I101" s="8" t="n">
        <x:f>IF(E101=0,"н.д.",(D101-E101)/E101)</x:f>
        <x:v>0.3560743764833153</x:v>
      </x:c>
      <x:c r="J101" s="8" t="n">
        <x:f>IF(D101=0,"н.д.",(D101-E101-F101)/D101)</x:f>
        <x:v>0.23856115009911544</x:v>
      </x:c>
      <x:c r="K101" s="6" t="n">
        <x:f>IF(G101=0,"н.д.",D101/H101)</x:f>
        <x:v>329921.5677966102</x:v>
      </x:c>
      <x:c r="L101" s="1" t="n">
        <x:f>SUMIFS('Данные'!$H$2:$H$505,'Данные'!$J$2:$J$505,A101,'Данные'!$B$2:$B$505,B101)</x:f>
        <x:v>12299</x:v>
      </x:c>
      <x:c r="M101" s="1" t="n">
        <x:f>SUMIFS('Данные'!$I$2:$I$505,'Данные'!$J$2:$J$505,A101,'Данные'!$B$2:$B$505,B101)</x:f>
        <x:v>11448</x:v>
      </x:c>
      <x:c r="N101" s="1"/>
      <x:c r="O101" s="1"/>
      <x:c r="P101" s="1"/>
      <x:c r="Q101" s="1"/>
    </x:row>
    <x:row r="102" ht="21" customHeight="1">
      <x:c r="A102" s="5" t="n">
        <x:v>43983</x:v>
      </x:c>
      <x:c r="B102" s="1" t="str">
        <x:v>Нижний Новгород</x:v>
      </x:c>
      <x:c r="C102" s="1" t="n">
        <x:f>COUNTIFS('Данные'!$J$2:$J$505,A102,'Данные'!$B$2:$B$505,B102)</x:f>
        <x:v>1</x:v>
      </x:c>
      <x:c r="D102" s="6" t="n">
        <x:f>SUMIFS('Данные'!$D$2:$D$505,'Данные'!$J$2:$J$505,A102,'Данные'!$B$2:$B$505,B102)</x:f>
        <x:v>3013512</x:v>
      </x:c>
      <x:c r="E102" s="6" t="n">
        <x:f>SUMIFS('Данные'!$E$2:$E$505,'Данные'!$J$2:$J$505,A102,'Данные'!$B$2:$B$505,B102)</x:f>
        <x:v>2355616.679</x:v>
      </x:c>
      <x:c r="F102" s="6" t="n">
        <x:f>SUMIFS('Данные'!$F$2:$F$505,'Данные'!$J$2:$J$505,A102,'Данные'!$B$2:$B$505,B102)</x:f>
        <x:v>219429.2774153846</x:v>
      </x:c>
      <x:c r="G102" s="6" t="n">
        <x:f>SUMIFS('Данные'!$G$2:$G$505,'Данные'!$J$2:$J$505,A102,'Данные'!$B$2:$B$505,B102)</x:f>
        <x:v>20</x:v>
      </x:c>
      <x:c r="H102" s="6" t="n">
        <x:f>IF(C102=0,"н.д.",G102/C102)</x:f>
        <x:v>20</x:v>
      </x:c>
      <x:c r="I102" s="8" t="n">
        <x:f>IF(E102=0,"н.д.",(D102-E102)/E102)</x:f>
        <x:v>0.27928793630349397</x:v>
      </x:c>
      <x:c r="J102" s="8" t="n">
        <x:f>IF(D102=0,"н.д.",(D102-E102-F102)/D102)</x:f>
        <x:v>0.14550001579041844</x:v>
      </x:c>
      <x:c r="K102" s="6" t="n">
        <x:f>IF(G102=0,"н.д.",D102/H102)</x:f>
        <x:v>150675.6</x:v>
      </x:c>
      <x:c r="L102" s="1" t="n">
        <x:f>SUMIFS('Данные'!$H$2:$H$505,'Данные'!$J$2:$J$505,A102,'Данные'!$B$2:$B$505,B102)</x:f>
        <x:v>2136</x:v>
      </x:c>
      <x:c r="M102" s="1" t="n">
        <x:f>SUMIFS('Данные'!$I$2:$I$505,'Данные'!$J$2:$J$505,A102,'Данные'!$B$2:$B$505,B102)</x:f>
        <x:v>1899</x:v>
      </x:c>
      <x:c r="N102" s="1"/>
      <x:c r="O102" s="1"/>
      <x:c r="P102" s="1"/>
      <x:c r="Q102" s="1"/>
    </x:row>
    <x:row r="103" ht="21" customHeight="1">
      <x:c r="A103" s="5" t="n">
        <x:v>43983</x:v>
      </x:c>
      <x:c r="B103" s="1" t="str">
        <x:v>Новосибирск</x:v>
      </x:c>
      <x:c r="C103" s="1" t="n">
        <x:f>COUNTIFS('Данные'!$J$2:$J$505,A103,'Данные'!$B$2:$B$505,B103)</x:f>
        <x:v>1</x:v>
      </x:c>
      <x:c r="D103" s="6" t="n">
        <x:f>SUMIFS('Данные'!$D$2:$D$505,'Данные'!$J$2:$J$505,A103,'Данные'!$B$2:$B$505,B103)</x:f>
        <x:v>1293219</x:v>
      </x:c>
      <x:c r="E103" s="6" t="n">
        <x:f>SUMIFS('Данные'!$E$2:$E$505,'Данные'!$J$2:$J$505,A103,'Данные'!$B$2:$B$505,B103)</x:f>
        <x:v>1006008.1159999999</x:v>
      </x:c>
      <x:c r="F103" s="6" t="n">
        <x:f>SUMIFS('Данные'!$F$2:$F$505,'Данные'!$J$2:$J$505,A103,'Данные'!$B$2:$B$505,B103)</x:f>
        <x:v>129348.2923076923</x:v>
      </x:c>
      <x:c r="G103" s="6" t="n">
        <x:f>SUMIFS('Данные'!$G$2:$G$505,'Данные'!$J$2:$J$505,A103,'Данные'!$B$2:$B$505,B103)</x:f>
        <x:v>18</x:v>
      </x:c>
      <x:c r="H103" s="6" t="n">
        <x:f>IF(C103=0,"н.д.",G103/C103)</x:f>
        <x:v>18</x:v>
      </x:c>
      <x:c r="I103" s="8" t="n">
        <x:f>IF(E103=0,"н.д.",(D103-E103)/E103)</x:f>
        <x:v>0.2854955933576187</x:v>
      </x:c>
      <x:c r="J103" s="8" t="n">
        <x:f>IF(D103=0,"н.д.",(D103-E103-F103)/D103)</x:f>
        <x:v>0.1220694961118788</x:v>
      </x:c>
      <x:c r="K103" s="6" t="n">
        <x:f>IF(G103=0,"н.д.",D103/H103)</x:f>
        <x:v>71845.5</x:v>
      </x:c>
      <x:c r="L103" s="1" t="n">
        <x:f>SUMIFS('Данные'!$H$2:$H$505,'Данные'!$J$2:$J$505,A103,'Данные'!$B$2:$B$505,B103)</x:f>
        <x:v>923</x:v>
      </x:c>
      <x:c r="M103" s="1" t="n">
        <x:f>SUMIFS('Данные'!$I$2:$I$505,'Данные'!$J$2:$J$505,A103,'Данные'!$B$2:$B$505,B103)</x:f>
        <x:v>824</x:v>
      </x:c>
      <x:c r="N103" s="1"/>
      <x:c r="O103" s="1"/>
      <x:c r="P103" s="1"/>
      <x:c r="Q103" s="1"/>
    </x:row>
    <x:row r="104" ht="21" customHeight="1">
      <x:c r="A104" s="5" t="n">
        <x:v>43983</x:v>
      </x:c>
      <x:c r="B104" s="1" t="str">
        <x:v>Пермь</x:v>
      </x:c>
      <x:c r="C104" s="1" t="n">
        <x:f>COUNTIFS('Данные'!$J$2:$J$505,A104,'Данные'!$B$2:$B$505,B104)</x:f>
        <x:v>1</x:v>
      </x:c>
      <x:c r="D104" s="6" t="n">
        <x:f>SUMIFS('Данные'!$D$2:$D$505,'Данные'!$J$2:$J$505,A104,'Данные'!$B$2:$B$505,B104)</x:f>
        <x:v>1526608.5</x:v>
      </x:c>
      <x:c r="E104" s="6" t="n">
        <x:f>SUMIFS('Данные'!$E$2:$E$505,'Данные'!$J$2:$J$505,A104,'Данные'!$B$2:$B$505,B104)</x:f>
        <x:v>1202670.0489999999</x:v>
      </x:c>
      <x:c r="F104" s="6" t="n">
        <x:f>SUMIFS('Данные'!$F$2:$F$505,'Данные'!$J$2:$J$505,A104,'Данные'!$B$2:$B$505,B104)</x:f>
        <x:v>340349.5336923077</x:v>
      </x:c>
      <x:c r="G104" s="6" t="n">
        <x:f>SUMIFS('Данные'!$G$2:$G$505,'Данные'!$J$2:$J$505,A104,'Данные'!$B$2:$B$505,B104)</x:f>
        <x:v>17</x:v>
      </x:c>
      <x:c r="H104" s="6" t="n">
        <x:f>IF(C104=0,"н.д.",G104/C104)</x:f>
        <x:v>17</x:v>
      </x:c>
      <x:c r="I104" s="8" t="n">
        <x:f>IF(E104=0,"н.д.",(D104-E104)/E104)</x:f>
        <x:v>0.2693493957626612</x:v>
      </x:c>
      <x:c r="J104" s="8" t="n">
        <x:f>IF(D104=0,"н.д.",(D104-E104-F104)/D104)</x:f>
        <x:v>-0.010750027064769779</x:v>
      </x:c>
      <x:c r="K104" s="6" t="n">
        <x:f>IF(G104=0,"н.д.",D104/H104)</x:f>
        <x:v>89800.5</x:v>
      </x:c>
      <x:c r="L104" s="1" t="n">
        <x:f>SUMIFS('Данные'!$H$2:$H$505,'Данные'!$J$2:$J$505,A104,'Данные'!$B$2:$B$505,B104)</x:f>
        <x:v>1185</x:v>
      </x:c>
      <x:c r="M104" s="1" t="n">
        <x:f>SUMIFS('Данные'!$I$2:$I$505,'Данные'!$J$2:$J$505,A104,'Данные'!$B$2:$B$505,B104)</x:f>
        <x:v>1042</x:v>
      </x:c>
      <x:c r="N104" s="1"/>
      <x:c r="O104" s="1"/>
      <x:c r="P104" s="1"/>
      <x:c r="Q104" s="1"/>
    </x:row>
    <x:row r="105" ht="21" customHeight="1">
      <x:c r="A105" s="5" t="n">
        <x:v>43983</x:v>
      </x:c>
      <x:c r="B105" s="1" t="str">
        <x:v>Ростов-на-Дону</x:v>
      </x:c>
      <x:c r="C105" s="1" t="n">
        <x:f>COUNTIFS('Данные'!$J$2:$J$505,A105,'Данные'!$B$2:$B$505,B105)</x:f>
        <x:v>1</x:v>
      </x:c>
      <x:c r="D105" s="6" t="n">
        <x:f>SUMIFS('Данные'!$D$2:$D$505,'Данные'!$J$2:$J$505,A105,'Данные'!$B$2:$B$505,B105)</x:f>
        <x:v>1565632.5</x:v>
      </x:c>
      <x:c r="E105" s="6" t="n">
        <x:f>SUMIFS('Данные'!$E$2:$E$505,'Данные'!$J$2:$J$505,A105,'Данные'!$B$2:$B$505,B105)</x:f>
        <x:v>1234060.991</x:v>
      </x:c>
      <x:c r="F105" s="6" t="n">
        <x:f>SUMIFS('Данные'!$F$2:$F$505,'Данные'!$J$2:$J$505,A105,'Данные'!$B$2:$B$505,B105)</x:f>
        <x:v>194827.87672307692</x:v>
      </x:c>
      <x:c r="G105" s="6" t="n">
        <x:f>SUMIFS('Данные'!$G$2:$G$505,'Данные'!$J$2:$J$505,A105,'Данные'!$B$2:$B$505,B105)</x:f>
        <x:v>16</x:v>
      </x:c>
      <x:c r="H105" s="6" t="n">
        <x:f>IF(C105=0,"н.д.",G105/C105)</x:f>
        <x:v>16</x:v>
      </x:c>
      <x:c r="I105" s="8" t="n">
        <x:f>IF(E105=0,"н.д.",(D105-E105)/E105)</x:f>
        <x:v>0.26868324290140383</x:v>
      </x:c>
      <x:c r="J105" s="8" t="n">
        <x:f>IF(D105=0,"н.д.",(D105-E105-F105)/D105)</x:f>
        <x:v>0.08734082377372925</x:v>
      </x:c>
      <x:c r="K105" s="6" t="n">
        <x:f>IF(G105=0,"н.д.",D105/H105)</x:f>
        <x:v>97852.03125</x:v>
      </x:c>
      <x:c r="L105" s="1" t="n">
        <x:f>SUMIFS('Данные'!$H$2:$H$505,'Данные'!$J$2:$J$505,A105,'Данные'!$B$2:$B$505,B105)</x:f>
        <x:v>1019</x:v>
      </x:c>
      <x:c r="M105" s="1" t="n">
        <x:f>SUMIFS('Данные'!$I$2:$I$505,'Данные'!$J$2:$J$505,A105,'Данные'!$B$2:$B$505,B105)</x:f>
        <x:v>895</x:v>
      </x:c>
      <x:c r="N105" s="1"/>
      <x:c r="O105" s="1"/>
      <x:c r="P105" s="1"/>
      <x:c r="Q105" s="1"/>
    </x:row>
    <x:row r="106" ht="21" customHeight="1">
      <x:c r="A106" s="5" t="n">
        <x:v>43983</x:v>
      </x:c>
      <x:c r="B106" s="1" t="str">
        <x:v>Самара</x:v>
      </x:c>
      <x:c r="C106" s="1" t="n">
        <x:f>COUNTIFS('Данные'!$J$2:$J$505,A106,'Данные'!$B$2:$B$505,B106)</x:f>
        <x:v>1</x:v>
      </x:c>
      <x:c r="D106" s="6" t="n">
        <x:f>SUMIFS('Данные'!$D$2:$D$505,'Данные'!$J$2:$J$505,A106,'Данные'!$B$2:$B$505,B106)</x:f>
        <x:v>636345</x:v>
      </x:c>
      <x:c r="E106" s="6" t="n">
        <x:f>SUMIFS('Данные'!$E$2:$E$505,'Данные'!$J$2:$J$505,A106,'Данные'!$B$2:$B$505,B106)</x:f>
        <x:v>550528.6630000001</x:v>
      </x:c>
      <x:c r="F106" s="6" t="n">
        <x:f>SUMIFS('Данные'!$F$2:$F$505,'Данные'!$J$2:$J$505,A106,'Данные'!$B$2:$B$505,B106)</x:f>
        <x:v>190344.3008</x:v>
      </x:c>
      <x:c r="G106" s="6" t="n">
        <x:f>SUMIFS('Данные'!$G$2:$G$505,'Данные'!$J$2:$J$505,A106,'Данные'!$B$2:$B$505,B106)</x:f>
        <x:v>15</x:v>
      </x:c>
      <x:c r="H106" s="6" t="n">
        <x:f>IF(C106=0,"н.д.",G106/C106)</x:f>
        <x:v>15</x:v>
      </x:c>
      <x:c r="I106" s="8" t="n">
        <x:f>IF(E106=0,"н.д.",(D106-E106)/E106)</x:f>
        <x:v>0.15587987105405252</x:v>
      </x:c>
      <x:c r="J106" s="8" t="n">
        <x:f>IF(D106=0,"н.д.",(D106-E106-F106)/D106)</x:f>
        <x:v>-0.16426303938901077</x:v>
      </x:c>
      <x:c r="K106" s="6" t="n">
        <x:f>IF(G106=0,"н.д.",D106/H106)</x:f>
        <x:v>42423</x:v>
      </x:c>
      <x:c r="L106" s="1" t="n">
        <x:f>SUMIFS('Данные'!$H$2:$H$505,'Данные'!$J$2:$J$505,A106,'Данные'!$B$2:$B$505,B106)</x:f>
        <x:v>453</x:v>
      </x:c>
      <x:c r="M106" s="1" t="n">
        <x:f>SUMIFS('Данные'!$I$2:$I$505,'Данные'!$J$2:$J$505,A106,'Данные'!$B$2:$B$505,B106)</x:f>
        <x:v>370</x:v>
      </x:c>
      <x:c r="N106" s="1"/>
      <x:c r="O106" s="1"/>
      <x:c r="P106" s="1"/>
      <x:c r="Q106" s="1"/>
    </x:row>
    <x:row r="107" ht="21" customHeight="1">
      <x:c r="A107" s="5" t="n">
        <x:v>43983</x:v>
      </x:c>
      <x:c r="B107" s="1" t="str">
        <x:v>Санкт-Петербург Север</x:v>
      </x:c>
      <x:c r="C107" s="1" t="n">
        <x:f>COUNTIFS('Данные'!$J$2:$J$505,A107,'Данные'!$B$2:$B$505,B107)</x:f>
        <x:v>1</x:v>
      </x:c>
      <x:c r="D107" s="6" t="n">
        <x:f>SUMIFS('Данные'!$D$2:$D$505,'Данные'!$J$2:$J$505,A107,'Данные'!$B$2:$B$505,B107)</x:f>
        <x:v>37257840.18135</x:v>
      </x:c>
      <x:c r="E107" s="6" t="n">
        <x:f>SUMIFS('Данные'!$E$2:$E$505,'Данные'!$J$2:$J$505,A107,'Данные'!$B$2:$B$505,B107)</x:f>
        <x:v>27640203.134</x:v>
      </x:c>
      <x:c r="F107" s="6" t="n">
        <x:f>SUMIFS('Данные'!$F$2:$F$505,'Данные'!$J$2:$J$505,A107,'Данные'!$B$2:$B$505,B107)</x:f>
        <x:v>744856.585476923</x:v>
      </x:c>
      <x:c r="G107" s="6" t="n">
        <x:f>SUMIFS('Данные'!$G$2:$G$505,'Данные'!$J$2:$J$505,A107,'Данные'!$B$2:$B$505,B107)</x:f>
        <x:v>123</x:v>
      </x:c>
      <x:c r="H107" s="6" t="n">
        <x:f>IF(C107=0,"н.д.",G107/C107)</x:f>
        <x:v>123</x:v>
      </x:c>
      <x:c r="I107" s="8" t="n">
        <x:f>IF(E107=0,"н.д.",(D107-E107)/E107)</x:f>
        <x:v>0.34795826212722075</x:v>
      </x:c>
      <x:c r="J107" s="8" t="n">
        <x:f>IF(D107=0,"н.д.",(D107-E107-F107)/D107)</x:f>
        <x:v>0.23814532508286637</x:v>
      </x:c>
      <x:c r="K107" s="6" t="n">
        <x:f>IF(G107=0,"н.д.",D107/H107)</x:f>
        <x:v>302909.26976707316</x:v>
      </x:c>
      <x:c r="L107" s="1" t="n">
        <x:f>SUMIFS('Данные'!$H$2:$H$505,'Данные'!$J$2:$J$505,A107,'Данные'!$B$2:$B$505,B107)</x:f>
        <x:v>20325</x:v>
      </x:c>
      <x:c r="M107" s="1" t="n">
        <x:f>SUMIFS('Данные'!$I$2:$I$505,'Данные'!$J$2:$J$505,A107,'Данные'!$B$2:$B$505,B107)</x:f>
        <x:v>18935</x:v>
      </x:c>
      <x:c r="N107" s="1"/>
      <x:c r="O107" s="1"/>
      <x:c r="P107" s="1"/>
      <x:c r="Q107" s="1"/>
    </x:row>
    <x:row r="108" ht="21" customHeight="1">
      <x:c r="A108" s="5" t="n">
        <x:v>43983</x:v>
      </x:c>
      <x:c r="B108" s="1" t="str">
        <x:v>Санкт-Петербург Юг</x:v>
      </x:c>
      <x:c r="C108" s="1" t="n">
        <x:f>COUNTIFS('Данные'!$J$2:$J$505,A108,'Данные'!$B$2:$B$505,B108)</x:f>
        <x:v>1</x:v>
      </x:c>
      <x:c r="D108" s="6" t="n">
        <x:f>SUMIFS('Данные'!$D$2:$D$505,'Данные'!$J$2:$J$505,A108,'Данные'!$B$2:$B$505,B108)</x:f>
        <x:v>27770092.5</x:v>
      </x:c>
      <x:c r="E108" s="6" t="n">
        <x:f>SUMIFS('Данные'!$E$2:$E$505,'Данные'!$J$2:$J$505,A108,'Данные'!$B$2:$B$505,B108)</x:f>
        <x:v>20952913.508</x:v>
      </x:c>
      <x:c r="F108" s="6" t="n">
        <x:f>SUMIFS('Данные'!$F$2:$F$505,'Данные'!$J$2:$J$505,A108,'Данные'!$B$2:$B$505,B108)</x:f>
        <x:v>872904.4042846154</x:v>
      </x:c>
      <x:c r="G108" s="6" t="n">
        <x:f>SUMIFS('Данные'!$G$2:$G$505,'Данные'!$J$2:$J$505,A108,'Данные'!$B$2:$B$505,B108)</x:f>
        <x:v>128</x:v>
      </x:c>
      <x:c r="H108" s="6" t="n">
        <x:f>IF(C108=0,"н.д.",G108/C108)</x:f>
        <x:v>128</x:v>
      </x:c>
      <x:c r="I108" s="8" t="n">
        <x:f>IF(E108=0,"н.д.",(D108-E108)/E108)</x:f>
        <x:v>0.32535709124161377</x:v>
      </x:c>
      <x:c r="J108" s="8" t="n">
        <x:f>IF(D108=0,"н.д.",(D108-E108-F108)/D108)</x:f>
        <x:v>0.2140531072309314</x:v>
      </x:c>
      <x:c r="K108" s="6" t="n">
        <x:f>IF(G108=0,"н.д.",D108/H108)</x:f>
        <x:v>216953.84765625</x:v>
      </x:c>
      <x:c r="L108" s="1" t="n">
        <x:f>SUMIFS('Данные'!$H$2:$H$505,'Данные'!$J$2:$J$505,A108,'Данные'!$B$2:$B$505,B108)</x:f>
        <x:v>16285</x:v>
      </x:c>
      <x:c r="M108" s="1" t="n">
        <x:f>SUMIFS('Данные'!$I$2:$I$505,'Данные'!$J$2:$J$505,A108,'Данные'!$B$2:$B$505,B108)</x:f>
        <x:v>15130</x:v>
      </x:c>
      <x:c r="N108" s="1"/>
      <x:c r="O108" s="1"/>
      <x:c r="P108" s="1"/>
      <x:c r="Q108" s="1"/>
    </x:row>
    <x:row r="109" ht="21" customHeight="1">
      <x:c r="A109" s="5" t="n">
        <x:v>43983</x:v>
      </x:c>
      <x:c r="B109" s="1" t="str">
        <x:v>Тольятти</x:v>
      </x:c>
      <x:c r="C109" s="1" t="n">
        <x:f>COUNTIFS('Данные'!$J$2:$J$505,A109,'Данные'!$B$2:$B$505,B109)</x:f>
        <x:v>1</x:v>
      </x:c>
      <x:c r="D109" s="6" t="n">
        <x:f>SUMIFS('Данные'!$D$2:$D$505,'Данные'!$J$2:$J$505,A109,'Данные'!$B$2:$B$505,B109)</x:f>
        <x:v>1007742</x:v>
      </x:c>
      <x:c r="E109" s="6" t="n">
        <x:f>SUMIFS('Данные'!$E$2:$E$505,'Данные'!$J$2:$J$505,A109,'Данные'!$B$2:$B$505,B109)</x:f>
        <x:v>815296.88</x:v>
      </x:c>
      <x:c r="F109" s="6" t="n">
        <x:f>SUMIFS('Данные'!$F$2:$F$505,'Данные'!$J$2:$J$505,A109,'Данные'!$B$2:$B$505,B109)</x:f>
        <x:v>145147.84546153847</x:v>
      </x:c>
      <x:c r="G109" s="6" t="n">
        <x:f>SUMIFS('Данные'!$G$2:$G$505,'Данные'!$J$2:$J$505,A109,'Данные'!$B$2:$B$505,B109)</x:f>
        <x:v>10</x:v>
      </x:c>
      <x:c r="H109" s="6" t="n">
        <x:f>IF(C109=0,"н.д.",G109/C109)</x:f>
        <x:v>10</x:v>
      </x:c>
      <x:c r="I109" s="8" t="n">
        <x:f>IF(E109=0,"н.д.",(D109-E109)/E109)</x:f>
        <x:v>0.23604299822660918</x:v>
      </x:c>
      <x:c r="J109" s="8" t="n">
        <x:f>IF(D109=0,"н.д.",(D109-E109-F109)/D109)</x:f>
        <x:v>0.046933912190284345</x:v>
      </x:c>
      <x:c r="K109" s="6" t="n">
        <x:f>IF(G109=0,"н.д.",D109/H109)</x:f>
        <x:v>100774.2</x:v>
      </x:c>
      <x:c r="L109" s="1" t="n">
        <x:f>SUMIFS('Данные'!$H$2:$H$505,'Данные'!$J$2:$J$505,A109,'Данные'!$B$2:$B$505,B109)</x:f>
        <x:v>719</x:v>
      </x:c>
      <x:c r="M109" s="1" t="n">
        <x:f>SUMIFS('Данные'!$I$2:$I$505,'Данные'!$J$2:$J$505,A109,'Данные'!$B$2:$B$505,B109)</x:f>
        <x:v>627</x:v>
      </x:c>
      <x:c r="N109" s="1"/>
      <x:c r="O109" s="1"/>
      <x:c r="P109" s="1"/>
      <x:c r="Q109" s="1"/>
    </x:row>
    <x:row r="110" ht="21" customHeight="1">
      <x:c r="A110" s="5" t="n">
        <x:v>43983</x:v>
      </x:c>
      <x:c r="B110" s="1" t="str">
        <x:v>Томск</x:v>
      </x:c>
      <x:c r="C110" s="1" t="n">
        <x:f>COUNTIFS('Данные'!$J$2:$J$505,A110,'Данные'!$B$2:$B$505,B110)</x:f>
        <x:v>1</x:v>
      </x:c>
      <x:c r="D110" s="6" t="n">
        <x:f>SUMIFS('Данные'!$D$2:$D$505,'Данные'!$J$2:$J$505,A110,'Данные'!$B$2:$B$505,B110)</x:f>
        <x:v>389013</x:v>
      </x:c>
      <x:c r="E110" s="6" t="n">
        <x:f>SUMIFS('Данные'!$E$2:$E$505,'Данные'!$J$2:$J$505,A110,'Данные'!$B$2:$B$505,B110)</x:f>
        <x:v>357353.073</x:v>
      </x:c>
      <x:c r="F110" s="6" t="n">
        <x:f>SUMIFS('Данные'!$F$2:$F$505,'Данные'!$J$2:$J$505,A110,'Данные'!$B$2:$B$505,B110)</x:f>
        <x:v>141592.70844615385</x:v>
      </x:c>
      <x:c r="G110" s="6" t="n">
        <x:f>SUMIFS('Данные'!$G$2:$G$505,'Данные'!$J$2:$J$505,A110,'Данные'!$B$2:$B$505,B110)</x:f>
        <x:v>9</x:v>
      </x:c>
      <x:c r="H110" s="6" t="n">
        <x:f>IF(C110=0,"н.д.",G110/C110)</x:f>
        <x:v>9</x:v>
      </x:c>
      <x:c r="I110" s="8" t="n">
        <x:f>IF(E110=0,"н.д.",(D110-E110)/E110)</x:f>
        <x:v>0.08859564781187716</x:v>
      </x:c>
      <x:c r="J110" s="8" t="n">
        <x:f>IF(D110=0,"н.д.",(D110-E110-F110)/D110)</x:f>
        <x:v>-0.2825941072564511</x:v>
      </x:c>
      <x:c r="K110" s="6" t="n">
        <x:f>IF(G110=0,"н.д.",D110/H110)</x:f>
        <x:v>43223.666666666664</x:v>
      </x:c>
      <x:c r="L110" s="1" t="n">
        <x:f>SUMIFS('Данные'!$H$2:$H$505,'Данные'!$J$2:$J$505,A110,'Данные'!$B$2:$B$505,B110)</x:f>
        <x:v>294</x:v>
      </x:c>
      <x:c r="M110" s="1" t="n">
        <x:f>SUMIFS('Данные'!$I$2:$I$505,'Данные'!$J$2:$J$505,A110,'Данные'!$B$2:$B$505,B110)</x:f>
        <x:v>224</x:v>
      </x:c>
      <x:c r="N110" s="1"/>
      <x:c r="O110" s="1"/>
      <x:c r="P110" s="1"/>
      <x:c r="Q110" s="1"/>
    </x:row>
    <x:row r="111" ht="21" customHeight="1">
      <x:c r="A111" s="5" t="n">
        <x:v>43983</x:v>
      </x:c>
      <x:c r="B111" s="1" t="str">
        <x:v>Тюмень</x:v>
      </x:c>
      <x:c r="C111" s="1" t="n">
        <x:f>COUNTIFS('Данные'!$J$2:$J$505,A111,'Данные'!$B$2:$B$505,B111)</x:f>
        <x:v>1</x:v>
      </x:c>
      <x:c r="D111" s="6" t="n">
        <x:f>SUMIFS('Данные'!$D$2:$D$505,'Данные'!$J$2:$J$505,A111,'Данные'!$B$2:$B$505,B111)</x:f>
        <x:v>802447.5</x:v>
      </x:c>
      <x:c r="E111" s="6" t="n">
        <x:f>SUMIFS('Данные'!$E$2:$E$505,'Данные'!$J$2:$J$505,A111,'Данные'!$B$2:$B$505,B111)</x:f>
        <x:v>682814.146</x:v>
      </x:c>
      <x:c r="F111" s="6" t="n">
        <x:f>SUMIFS('Данные'!$F$2:$F$505,'Данные'!$J$2:$J$505,A111,'Данные'!$B$2:$B$505,B111)</x:f>
        <x:v>81560.98336923077</x:v>
      </x:c>
      <x:c r="G111" s="6" t="n">
        <x:f>SUMIFS('Данные'!$G$2:$G$505,'Данные'!$J$2:$J$505,A111,'Данные'!$B$2:$B$505,B111)</x:f>
        <x:v>7</x:v>
      </x:c>
      <x:c r="H111" s="6" t="n">
        <x:f>IF(C111=0,"н.д.",G111/C111)</x:f>
        <x:v>7</x:v>
      </x:c>
      <x:c r="I111" s="8" t="n">
        <x:f>IF(E111=0,"н.д.",(D111-E111)/E111)</x:f>
        <x:v>0.17520632034474584</x:v>
      </x:c>
      <x:c r="J111" s="8" t="n">
        <x:f>IF(D111=0,"н.д.",(D111-E111-F111)/D111)</x:f>
        <x:v>0.04744531029228614</x:v>
      </x:c>
      <x:c r="K111" s="6" t="n">
        <x:f>IF(G111=0,"н.д.",D111/H111)</x:f>
        <x:v>114635.35714285714</x:v>
      </x:c>
      <x:c r="L111" s="1" t="n">
        <x:f>SUMIFS('Данные'!$H$2:$H$505,'Данные'!$J$2:$J$505,A111,'Данные'!$B$2:$B$505,B111)</x:f>
        <x:v>500</x:v>
      </x:c>
      <x:c r="M111" s="1" t="n">
        <x:f>SUMIFS('Данные'!$I$2:$I$505,'Данные'!$J$2:$J$505,A111,'Данные'!$B$2:$B$505,B111)</x:f>
        <x:v>418</x:v>
      </x:c>
      <x:c r="N111" s="1"/>
      <x:c r="O111" s="1"/>
      <x:c r="P111" s="1"/>
      <x:c r="Q111" s="1"/>
    </x:row>
    <x:row r="112" ht="21" customHeight="1">
      <x:c r="A112" s="5" t="n">
        <x:v>43983</x:v>
      </x:c>
      <x:c r="B112" s="1" t="str">
        <x:v>Уфа</x:v>
      </x:c>
      <x:c r="C112" s="1" t="n">
        <x:f>COUNTIFS('Данные'!$J$2:$J$505,A112,'Данные'!$B$2:$B$505,B112)</x:f>
        <x:v>1</x:v>
      </x:c>
      <x:c r="D112" s="6" t="n">
        <x:f>SUMIFS('Данные'!$D$2:$D$505,'Данные'!$J$2:$J$505,A112,'Данные'!$B$2:$B$505,B112)</x:f>
        <x:v>410892</x:v>
      </x:c>
      <x:c r="E112" s="6" t="n">
        <x:f>SUMIFS('Данные'!$E$2:$E$505,'Данные'!$J$2:$J$505,A112,'Данные'!$B$2:$B$505,B112)</x:f>
        <x:v>346029.05</x:v>
      </x:c>
      <x:c r="F112" s="6" t="n">
        <x:f>SUMIFS('Данные'!$F$2:$F$505,'Данные'!$J$2:$J$505,A112,'Данные'!$B$2:$B$505,B112)</x:f>
        <x:v>36168.75384615384</x:v>
      </x:c>
      <x:c r="G112" s="6" t="n">
        <x:f>SUMIFS('Данные'!$G$2:$G$505,'Данные'!$J$2:$J$505,A112,'Данные'!$B$2:$B$505,B112)</x:f>
        <x:v>6</x:v>
      </x:c>
      <x:c r="H112" s="6" t="n">
        <x:f>IF(C112=0,"н.д.",G112/C112)</x:f>
        <x:v>6</x:v>
      </x:c>
      <x:c r="I112" s="8" t="n">
        <x:f>IF(E112=0,"н.д.",(D112-E112)/E112)</x:f>
        <x:v>0.18744943524250351</x:v>
      </x:c>
      <x:c r="J112" s="8" t="n">
        <x:f>IF(D112=0,"н.д.",(D112-E112-F112)/D112)</x:f>
        <x:v>0.06983391293538489</x:v>
      </x:c>
      <x:c r="K112" s="6" t="n">
        <x:f>IF(G112=0,"н.д.",D112/H112)</x:f>
        <x:v>68482</x:v>
      </x:c>
      <x:c r="L112" s="1" t="n">
        <x:f>SUMIFS('Данные'!$H$2:$H$505,'Данные'!$J$2:$J$505,A112,'Данные'!$B$2:$B$505,B112)</x:f>
        <x:v>237</x:v>
      </x:c>
      <x:c r="M112" s="1" t="n">
        <x:f>SUMIFS('Данные'!$I$2:$I$505,'Данные'!$J$2:$J$505,A112,'Данные'!$B$2:$B$505,B112)</x:f>
        <x:v>175</x:v>
      </x:c>
      <x:c r="N112" s="1"/>
      <x:c r="O112" s="1"/>
      <x:c r="P112" s="1"/>
      <x:c r="Q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1" customHeight="1">
      <x:c r="A115" s="1" t="str">
        <x:v>Неполные недели и территории: среднее складов рассчитано по дням наблюдений; рейтинг полной недели на Итогах использует 7 дней.</x:v>
      </x:c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1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1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1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1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1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1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1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1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1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1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1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1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1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1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1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1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1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1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1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1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1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1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1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1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1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1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1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1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1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1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1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1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1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1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1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1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1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1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1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1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1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1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1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1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1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1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1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1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1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1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1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1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1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1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1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1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1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1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1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1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1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1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1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1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1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1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1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1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1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1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1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1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1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1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1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1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1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1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1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1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1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1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1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1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1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1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1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1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1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1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1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1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1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1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1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1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1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1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1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1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1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1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1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1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1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1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1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1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1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1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1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1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1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1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1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1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1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1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1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1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1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1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1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1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1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1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1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1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1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1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1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1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1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1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1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1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1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1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1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1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1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1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1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1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1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1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1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1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1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1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1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1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1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1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1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1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1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1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1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1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1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1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1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1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1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1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1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1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1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1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1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1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1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1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1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1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1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1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1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1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1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1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1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1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1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1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1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1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1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1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1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1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1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1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1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1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1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1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1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1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1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1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1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1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1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1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1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1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1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1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1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1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1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1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1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1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1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1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1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1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1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1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1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1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1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1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1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1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1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1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1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1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1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1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1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1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1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1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1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1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1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1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1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1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1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1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1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1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1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1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1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1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1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1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1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1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1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1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1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1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1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1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1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1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1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1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1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1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1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1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1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1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1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1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1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1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1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1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1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1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7" t="str">
        <x:v>Динамика по неделям ISO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42" customHeight="1">
      <x:c r="A4" s="4" t="str">
        <x:v>Неделя ISO</x:v>
      </x:c>
      <x:c r="B4" s="4" t="str">
        <x:v>Первый день</x:v>
      </x:c>
      <x:c r="C4" s="4" t="str">
        <x:v>Дней в данных</x:v>
      </x:c>
      <x:c r="D4" s="4" t="str">
        <x:v>Товарооборот руб</x:v>
      </x:c>
      <x:c r="E4" s="4" t="str">
        <x:v>Себестоимость руб</x:v>
      </x:c>
      <x:c r="F4" s="4" t="str">
        <x:v>Потери руб</x:v>
      </x:c>
      <x:c r="G4" s="4" t="str">
        <x:v>Наценка</x:v>
      </x:c>
      <x:c r="H4" s="4" t="str">
        <x:v>Доходность</x:v>
      </x:c>
      <x:c r="I4" s="4" t="str">
        <x:v>Полная неделя</x:v>
      </x:c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 t="str">
        <x:f>YEAR(B5+3)&amp;"-W"&amp;TEXT(INT((B5-DATE(YEAR(B5+3),1,4)+WEEKDAY(DATE(YEAR(B5+3),1,4),2)-1)/7)+1,"00")</x:f>
        <x:v>2020-W18</x:v>
      </x:c>
      <x:c r="B5" s="5" t="n">
        <x:v>43948</x:v>
      </x:c>
      <x:c r="C5" s="1" t="n">
        <x:f>MIN(7,MAX('Данные'!$A$2:$A$505)-B5+1)-MAX(0,MIN('Данные'!$A$2:$A$505)-B5)</x:f>
        <x:v>6</x:v>
      </x:c>
      <x:c r="D5" s="6" t="n">
        <x:f>SUMIFS('Данные'!$D$2:$D$505,'Данные'!$J$2:$J$505,B5)</x:f>
        <x:v>836803032</x:v>
      </x:c>
      <x:c r="E5" s="6" t="n">
        <x:f>SUMIFS('Данные'!$E$2:$E$505,'Данные'!$J$2:$J$505,B5)</x:f>
        <x:v>618949694.826</x:v>
      </x:c>
      <x:c r="F5" s="6" t="n">
        <x:f>SUMIFS('Данные'!$F$2:$F$505,'Данные'!$J$2:$J$505,B5)</x:f>
        <x:v>19226835.599769227</x:v>
      </x:c>
      <x:c r="G5" s="8" t="n">
        <x:f>(D5-E5)/E5</x:f>
        <x:v>0.35197260616671483</x:v>
      </x:c>
      <x:c r="H5" s="8" t="n">
        <x:f>(D5-E5-F5)/D5</x:f>
        <x:v>0.23736350608040196</x:v>
      </x:c>
      <x:c r="I5" s="1" t="str">
        <x:f>IF(C5=7,"Да","Нет")</x:f>
        <x:v>Нет</x:v>
      </x:c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 t="str">
        <x:f>YEAR(B6+3)&amp;"-W"&amp;TEXT(INT((B6-DATE(YEAR(B6+3),1,4)+WEEKDAY(DATE(YEAR(B6+3),1,4),2)-1)/7)+1,"00")</x:f>
        <x:v>2020-W19</x:v>
      </x:c>
      <x:c r="B6" s="5" t="n">
        <x:v>43955</x:v>
      </x:c>
      <x:c r="C6" s="1" t="n">
        <x:f>MIN(7,MAX('Данные'!$A$2:$A$505)-B6+1)-MAX(0,MIN('Данные'!$A$2:$A$505)-B6)</x:f>
        <x:v>7</x:v>
      </x:c>
      <x:c r="D6" s="6" t="n">
        <x:f>SUMIFS('Данные'!$D$2:$D$505,'Данные'!$J$2:$J$505,B6)</x:f>
        <x:v>983915409.85665</x:v>
      </x:c>
      <x:c r="E6" s="6" t="n">
        <x:f>SUMIFS('Данные'!$E$2:$E$505,'Данные'!$J$2:$J$505,B6)</x:f>
        <x:v>725620444.1969998</x:v>
      </x:c>
      <x:c r="F6" s="6" t="n">
        <x:f>SUMIFS('Данные'!$F$2:$F$505,'Данные'!$J$2:$J$505,B6)</x:f>
        <x:v>30736217.41246153</x:v>
      </x:c>
      <x:c r="G6" s="8" t="n">
        <x:f>(D6-E6)/E6</x:f>
        <x:v>0.3559642892166436</x:v>
      </x:c>
      <x:c r="H6" s="8" t="n">
        <x:f>(D6-E6-F6)/D6</x:f>
        <x:v>0.23127877251189968</x:v>
      </x:c>
      <x:c r="I6" s="1" t="str">
        <x:f>IF(C6=7,"Да","Нет")</x:f>
        <x:v>Да</x:v>
      </x:c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 t="str">
        <x:f>YEAR(B7+3)&amp;"-W"&amp;TEXT(INT((B7-DATE(YEAR(B7+3),1,4)+WEEKDAY(DATE(YEAR(B7+3),1,4),2)-1)/7)+1,"00")</x:f>
        <x:v>2020-W20</x:v>
      </x:c>
      <x:c r="B7" s="5" t="n">
        <x:v>43962</x:v>
      </x:c>
      <x:c r="C7" s="1" t="n">
        <x:f>MIN(7,MAX('Данные'!$A$2:$A$505)-B7+1)-MAX(0,MIN('Данные'!$A$2:$A$505)-B7)</x:f>
        <x:v>7</x:v>
      </x:c>
      <x:c r="D7" s="6" t="n">
        <x:f>SUMIFS('Данные'!$D$2:$D$505,'Данные'!$J$2:$J$505,B7)</x:f>
        <x:v>947263006.72395</x:v>
      </x:c>
      <x:c r="E7" s="6" t="n">
        <x:f>SUMIFS('Данные'!$E$2:$E$505,'Данные'!$J$2:$J$505,B7)</x:f>
        <x:v>701776524.476</x:v>
      </x:c>
      <x:c r="F7" s="6" t="n">
        <x:f>SUMIFS('Данные'!$F$2:$F$505,'Данные'!$J$2:$J$505,B7)</x:f>
        <x:v>25837596.637730774</x:v>
      </x:c>
      <x:c r="G7" s="8" t="n">
        <x:f>(D7-E7)/E7</x:f>
        <x:v>0.3498072017032047</x:v>
      </x:c>
      <x:c r="H7" s="8" t="n">
        <x:f>(D7-E7-F7)/D7</x:f>
        <x:v>0.23187740263378517</x:v>
      </x:c>
      <x:c r="I7" s="1" t="str">
        <x:f>IF(C7=7,"Да","Нет")</x:f>
        <x:v>Да</x:v>
      </x:c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1" t="str">
        <x:f>YEAR(B8+3)&amp;"-W"&amp;TEXT(INT((B8-DATE(YEAR(B8+3),1,4)+WEEKDAY(DATE(YEAR(B8+3),1,4),2)-1)/7)+1,"00")</x:f>
        <x:v>2020-W21</x:v>
      </x:c>
      <x:c r="B8" s="5" t="n">
        <x:v>43969</x:v>
      </x:c>
      <x:c r="C8" s="1" t="n">
        <x:f>MIN(7,MAX('Данные'!$A$2:$A$505)-B8+1)-MAX(0,MIN('Данные'!$A$2:$A$505)-B8)</x:f>
        <x:v>7</x:v>
      </x:c>
      <x:c r="D8" s="6" t="n">
        <x:f>SUMIFS('Данные'!$D$2:$D$505,'Данные'!$J$2:$J$505,B8)</x:f>
        <x:v>1002691883.0466</x:v>
      </x:c>
      <x:c r="E8" s="6" t="n">
        <x:f>SUMIFS('Данные'!$E$2:$E$505,'Данные'!$J$2:$J$505,B8)</x:f>
        <x:v>759252726.7509998</x:v>
      </x:c>
      <x:c r="F8" s="6" t="n">
        <x:f>SUMIFS('Данные'!$F$2:$F$505,'Данные'!$J$2:$J$505,B8)</x:f>
        <x:v>27390912.372553855</x:v>
      </x:c>
      <x:c r="G8" s="8" t="n">
        <x:f>(D8-E8)/E8</x:f>
        <x:v>0.3206299400956081</x:v>
      </x:c>
      <x:c r="H8" s="8" t="n">
        <x:f>(D8-E8-F8)/D8</x:f>
        <x:v>0.21546822865125906</x:v>
      </x:c>
      <x:c r="I8" s="1" t="str">
        <x:f>IF(C8=7,"Да","Нет")</x:f>
        <x:v>Да</x:v>
      </x:c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 t="str">
        <x:f>YEAR(B9+3)&amp;"-W"&amp;TEXT(INT((B9-DATE(YEAR(B9+3),1,4)+WEEKDAY(DATE(YEAR(B9+3),1,4),2)-1)/7)+1,"00")</x:f>
        <x:v>2020-W22</x:v>
      </x:c>
      <x:c r="B9" s="5" t="n">
        <x:v>43976</x:v>
      </x:c>
      <x:c r="C9" s="1" t="n">
        <x:f>MIN(7,MAX('Данные'!$A$2:$A$505)-B9+1)-MAX(0,MIN('Данные'!$A$2:$A$505)-B9)</x:f>
        <x:v>7</x:v>
      </x:c>
      <x:c r="D9" s="6" t="n">
        <x:f>SUMIFS('Данные'!$D$2:$D$505,'Данные'!$J$2:$J$505,B9)</x:f>
        <x:v>1055653508.75385</x:v>
      </x:c>
      <x:c r="E9" s="6" t="n">
        <x:f>SUMIFS('Данные'!$E$2:$E$505,'Данные'!$J$2:$J$505,B9)</x:f>
        <x:v>796860851.937</x:v>
      </x:c>
      <x:c r="F9" s="6" t="n">
        <x:f>SUMIFS('Данные'!$F$2:$F$505,'Данные'!$J$2:$J$505,B9)</x:f>
        <x:v>23475787.478353847</x:v>
      </x:c>
      <x:c r="G9" s="8" t="n">
        <x:f>(D9-E9)/E9</x:f>
        <x:v>0.32476517849732456</x:v>
      </x:c>
      <x:c r="H9" s="8" t="n">
        <x:f>(D9-E9-F9)/D9</x:f>
        <x:v>0.22291108530134734</x:v>
      </x:c>
      <x:c r="I9" s="1" t="str">
        <x:f>IF(C9=7,"Да","Нет")</x:f>
        <x:v>Да</x:v>
      </x:c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1" t="str">
        <x:f>YEAR(B10+3)&amp;"-W"&amp;TEXT(INT((B10-DATE(YEAR(B10+3),1,4)+WEEKDAY(DATE(YEAR(B10+3),1,4),2)-1)/7)+1,"00")</x:f>
        <x:v>2020-W23</x:v>
      </x:c>
      <x:c r="B10" s="5" t="n">
        <x:v>43983</x:v>
      </x:c>
      <x:c r="C10" s="1" t="n">
        <x:f>MIN(7,MAX('Данные'!$A$2:$A$505)-B10+1)-MAX(0,MIN('Данные'!$A$2:$A$505)-B10)</x:f>
        <x:v>1</x:v>
      </x:c>
      <x:c r="D10" s="6" t="n">
        <x:f>SUMIFS('Данные'!$D$2:$D$505,'Данные'!$J$2:$J$505,B10)</x:f>
        <x:v>136032376.68135</x:v>
      </x:c>
      <x:c r="E10" s="6" t="n">
        <x:f>SUMIFS('Данные'!$E$2:$E$505,'Данные'!$J$2:$J$505,B10)</x:f>
        <x:v>102219132.51599999</x:v>
      </x:c>
      <x:c r="F10" s="6" t="n">
        <x:f>SUMIFS('Данные'!$F$2:$F$505,'Данные'!$J$2:$J$505,B10)</x:f>
        <x:v>5306806.466323076</x:v>
      </x:c>
      <x:c r="G10" s="8" t="n">
        <x:f>(D10-E10)/E10</x:f>
        <x:v>0.3307917347083467</x:v>
      </x:c>
      <x:c r="H10" s="8" t="n">
        <x:f>(D10-E10-F10)/D10</x:f>
        <x:v>0.2095562717822834</x:v>
      </x:c>
      <x:c r="I10" s="1" t="str">
        <x:f>IF(C10=7,"Да","Нет")</x:f>
        <x:v>Нет</x:v>
      </x:c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1" t="str">
        <x:v>W18 и W23 неполные. Изменение их сумм нельзя трактовать как изменение недельного спроса.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1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1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1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1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1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1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1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1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1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1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1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1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1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1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1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1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1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1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1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1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1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1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1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1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1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1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1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1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1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1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1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1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1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1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1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1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1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1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1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1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1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1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1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1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1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1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1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1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1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1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1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1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1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1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1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1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1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1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1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1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1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1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1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1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1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1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1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1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1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1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1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1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1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1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1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1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1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1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1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1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1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1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1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1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1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1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1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1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1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1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1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1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1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1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1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1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1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1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1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1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1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1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1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1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1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1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1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1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1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1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1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1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1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1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1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1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1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1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1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1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1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1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1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1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1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1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1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1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1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1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1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1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1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1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1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1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1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1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1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1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1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1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1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1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1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1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1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1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1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1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1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1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1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1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1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1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1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1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1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1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1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1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1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1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1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1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1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1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1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1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1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1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1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1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1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1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1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1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1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1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1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1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1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1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1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1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1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1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1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1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1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1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1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1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1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1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1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1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1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1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1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1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1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1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1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1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1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1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1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1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1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1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1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1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1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1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1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1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1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1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1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1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1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1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1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1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1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1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1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1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1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1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1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1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1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1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1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1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1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1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1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1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1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1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1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1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1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1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1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1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1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1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1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1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1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1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1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1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1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1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1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1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1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1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1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1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1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1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1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1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1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1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1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1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1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1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1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1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1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1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2:I2"/>
  </x:mergeCells>
  <x:pageMargins left="0.7" right="0.7" top="0.75" bottom="0.75" header="0.3" footer="0.3"/>
  <x:drawing xmlns:r="http://schemas.openxmlformats.org/officeDocument/2006/relationships" r:id="R4b47bcc03e7b407b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7" t="str">
        <x:v>Месячные показатели исходных графиков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65" customHeight="1">
      <x:c r="A4" s="4" t="str">
        <x:v>Месяц</x:v>
      </x:c>
      <x:c r="B4" s="4" t="str">
        <x:v>товарооборот с 1 склада, тыс.руб.</x:v>
      </x:c>
      <x:c r="C4" s="4" t="str">
        <x:v>количество заказов на 1 склад</x:v>
      </x:c>
      <x:c r="D4" s="4" t="str">
        <x:v>средний заказ, руб</x:v>
      </x:c>
      <x:c r="E4" s="4" t="str">
        <x:v>количество клиентов на 1 склад</x:v>
      </x:c>
      <x:c r="F4" s="4" t="str">
        <x:v>среднее количество штук в заказе</x:v>
      </x:c>
      <x:c r="G4" s="4" t="str">
        <x:v>средняя стоимость товара, руб</x:v>
      </x:c>
      <x:c r="H4" s="4" t="str">
        <x:v>товарный запас на 1 склад, тыс.руб.</x:v>
      </x:c>
      <x:c r="I4" s="4" t="str">
        <x:v>Потери, %</x:v>
      </x:c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 t="str">
        <x:v>201905</x:v>
      </x:c>
      <x:c r="B5" s="6" t="n">
        <x:v>31654.73950738916</x:v>
      </x:c>
      <x:c r="C5" s="6" t="n">
        <x:v>32409.679802955667</x:v>
      </x:c>
      <x:c r="D5" s="6" t="n">
        <x:v>976.7063327945111</x:v>
      </x:c>
      <x:c r="E5" s="6" t="n">
        <x:v>3877.733990147783</x:v>
      </x:c>
      <x:c r="F5" s="6" t="n">
        <x:v>9.565889440377312</x:v>
      </x:c>
      <x:c r="G5" s="6" t="n">
        <x:v>102.10303379337263</x:v>
      </x:c>
      <x:c r="H5" s="6" t="n">
        <x:v>12.047558248433557</x:v>
      </x:c>
      <x:c r="I5" s="11" t="n">
        <x:v>0.004208982968564158</x:v>
      </x:c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 t="str">
        <x:v>201906</x:v>
      </x:c>
      <x:c r="B6" s="6" t="n">
        <x:v>26338.604051981565</x:v>
      </x:c>
      <x:c r="C6" s="6" t="n">
        <x:v>30957.235023041474</x:v>
      </x:c>
      <x:c r="D6" s="6" t="n">
        <x:v>850.8060888634834</x:v>
      </x:c>
      <x:c r="E6" s="6" t="n">
        <x:v>3919.9723502304146</x:v>
      </x:c>
      <x:c r="F6" s="6" t="n">
        <x:v>8.554472201878019</x:v>
      </x:c>
      <x:c r="G6" s="6" t="n">
        <x:v>99.45746140559092</x:v>
      </x:c>
      <x:c r="H6" s="6" t="n">
        <x:v>13.359861115422488</x:v>
      </x:c>
      <x:c r="I6" s="11" t="n">
        <x:v>0.00736716150685611</x:v>
      </x:c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 t="str">
        <x:v>201907</x:v>
      </x:c>
      <x:c r="B7" s="6" t="n">
        <x:v>22541.92063209877</x:v>
      </x:c>
      <x:c r="C7" s="6" t="n">
        <x:v>27638.662551440328</x:v>
      </x:c>
      <x:c r="D7" s="6" t="n">
        <x:v>815.5937571199169</x:v>
      </x:c>
      <x:c r="E7" s="6" t="n">
        <x:v>3429.4074074074074</x:v>
      </x:c>
      <x:c r="F7" s="6" t="n">
        <x:v>8.223115469398968</x:v>
      </x:c>
      <x:c r="G7" s="6" t="n">
        <x:v>99.18306025921939</x:v>
      </x:c>
      <x:c r="H7" s="6" t="n">
        <x:v>10.89103144139418</x:v>
      </x:c>
      <x:c r="I7" s="11" t="n">
        <x:v>0.0066372609292665915</x:v>
      </x:c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1" t="str">
        <x:v>201908</x:v>
      </x:c>
      <x:c r="B8" s="6" t="n">
        <x:v>21800.350019046153</x:v>
      </x:c>
      <x:c r="C8" s="6" t="n">
        <x:v>27491.48076923077</x:v>
      </x:c>
      <x:c r="D8" s="6" t="n">
        <x:v>792.9856598865242</x:v>
      </x:c>
      <x:c r="E8" s="6" t="n">
        <x:v>3297.8230769230768</x:v>
      </x:c>
      <x:c r="F8" s="6" t="n">
        <x:v>7.631541799312655</x:v>
      </x:c>
      <x:c r="G8" s="6" t="n">
        <x:v>103.90897157346969</x:v>
      </x:c>
      <x:c r="H8" s="6" t="n">
        <x:v>13.20508747568785</x:v>
      </x:c>
      <x:c r="I8" s="11" t="n">
        <x:v>0.006114589724445243</x:v>
      </x:c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 t="str">
        <x:v>201909</x:v>
      </x:c>
      <x:c r="B9" s="6" t="n">
        <x:v>22926.055477761645</x:v>
      </x:c>
      <x:c r="C9" s="6" t="n">
        <x:v>28918.904109589042</x:v>
      </x:c>
      <x:c r="D9" s="6" t="n">
        <x:v>792.7705486654224</x:v>
      </x:c>
      <x:c r="E9" s="6" t="n">
        <x:v>3422.5753424657532</x:v>
      </x:c>
      <x:c r="F9" s="6" t="n">
        <x:v>7.4162338708149385</x:v>
      </x:c>
      <x:c r="G9" s="6" t="n">
        <x:v>106.89664895617811</x:v>
      </x:c>
      <x:c r="H9" s="6" t="n">
        <x:v>14.390508939178634</x:v>
      </x:c>
      <x:c r="I9" s="11" t="n">
        <x:v>0.004436683494461833</x:v>
      </x:c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1" t="str">
        <x:v>201910</x:v>
      </x:c>
      <x:c r="B10" s="6" t="n">
        <x:v>29750.57164989847</x:v>
      </x:c>
      <x:c r="C10" s="6" t="n">
        <x:v>37054.388379204895</x:v>
      </x:c>
      <x:c r="D10" s="6" t="n">
        <x:v>802.8892919629093</x:v>
      </x:c>
      <x:c r="E10" s="6" t="n">
        <x:v>4179.767584097859</x:v>
      </x:c>
      <x:c r="F10" s="6" t="n">
        <x:v>7.694063730601806</x:v>
      </x:c>
      <x:c r="G10" s="6" t="n">
        <x:v>104.35178600998016</x:v>
      </x:c>
      <x:c r="H10" s="6" t="n">
        <x:v>15.738183045729443</x:v>
      </x:c>
      <x:c r="I10" s="11" t="n">
        <x:v>0.0037747620061822167</x:v>
      </x:c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1" t="str">
        <x:v>201911</x:v>
      </x:c>
      <x:c r="B11" s="6" t="n">
        <x:v>34719.119279975355</x:v>
      </x:c>
      <x:c r="C11" s="6" t="n">
        <x:v>39970.574229691876</x:v>
      </x:c>
      <x:c r="D11" s="6" t="n">
        <x:v>868.6169750892516</x:v>
      </x:c>
      <x:c r="E11" s="6" t="n">
        <x:v>4542.862745098039</x:v>
      </x:c>
      <x:c r="F11" s="6" t="n">
        <x:v>8.228038203173973</x:v>
      </x:c>
      <x:c r="G11" s="6" t="n">
        <x:v>105.56793170383942</x:v>
      </x:c>
      <x:c r="H11" s="6" t="n">
        <x:v>17.321524956778898</x:v>
      </x:c>
      <x:c r="I11" s="11" t="n">
        <x:v>0.0030505606672525613</x:v>
      </x:c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 t="str">
        <x:v>201912</x:v>
      </x:c>
      <x:c r="B12" s="6" t="n">
        <x:v>36580.13612259304</x:v>
      </x:c>
      <x:c r="C12" s="6" t="n">
        <x:v>39482.52487562189</x:v>
      </x:c>
      <x:c r="D12" s="6" t="n">
        <x:v>926.4892819754567</x:v>
      </x:c>
      <x:c r="E12" s="6" t="n">
        <x:v>4430.9303482587065</x:v>
      </x:c>
      <x:c r="F12" s="6" t="n">
        <x:v>8.273562741876798</x:v>
      </x:c>
      <x:c r="G12" s="6" t="n">
        <x:v>111.981900770029</x:v>
      </x:c>
      <x:c r="H12" s="6" t="n">
        <x:v>19.86303826139843</x:v>
      </x:c>
      <x:c r="I12" s="11" t="n">
        <x:v>0.0036120544962676957</x:v>
      </x:c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 t="str">
        <x:v>202001</x:v>
      </x:c>
      <x:c r="B13" s="6" t="n">
        <x:v>37696.33018970267</x:v>
      </x:c>
      <x:c r="C13" s="6" t="n">
        <x:v>41187.65133171913</x:v>
      </x:c>
      <x:c r="D13" s="6" t="n">
        <x:v>915.2337890330796</x:v>
      </x:c>
      <x:c r="E13" s="6" t="n">
        <x:v>4673.8450363196125</x:v>
      </x:c>
      <x:c r="F13" s="6" t="n">
        <x:v>8.185365156814909</x:v>
      </x:c>
      <x:c r="G13" s="6" t="n">
        <x:v>111.8134342816803</x:v>
      </x:c>
      <x:c r="H13" s="6" t="n">
        <x:v>18.574099342962608</x:v>
      </x:c>
      <x:c r="I13" s="11" t="n">
        <x:v>0.003892887036913309</x:v>
      </x:c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1" t="str">
        <x:v>202002</x:v>
      </x:c>
      <x:c r="B14" s="6" t="n">
        <x:v>42015.11777381398</x:v>
      </x:c>
      <x:c r="C14" s="6" t="n">
        <x:v>42327.74698795181</x:v>
      </x:c>
      <x:c r="D14" s="6" t="n">
        <x:v>992.6140832814273</x:v>
      </x:c>
      <x:c r="E14" s="6" t="n">
        <x:v>5071.127710843373</x:v>
      </x:c>
      <x:c r="F14" s="6" t="n">
        <x:v>8.63859116595312</x:v>
      </x:c>
      <x:c r="G14" s="6" t="n">
        <x:v>114.90462555903459</x:v>
      </x:c>
      <x:c r="H14" s="6" t="n">
        <x:v>20.835782054753064</x:v>
      </x:c>
      <x:c r="I14" s="11" t="n">
        <x:v>0.0035574544739915147</x:v>
      </x:c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 t="str">
        <x:v>202003</x:v>
      </x:c>
      <x:c r="B15" s="6" t="n">
        <x:v>41127.12067870041</x:v>
      </x:c>
      <x:c r="C15" s="6" t="n">
        <x:v>42852.65306122449</x:v>
      </x:c>
      <x:c r="D15" s="6" t="n">
        <x:v>959.73335933113</x:v>
      </x:c>
      <x:c r="E15" s="6" t="n">
        <x:v>5072.306122448979</x:v>
      </x:c>
      <x:c r="F15" s="6" t="n">
        <x:v>8.265606587356771</x:v>
      </x:c>
      <x:c r="G15" s="6" t="n">
        <x:v>116.11166696454637</x:v>
      </x:c>
      <x:c r="H15" s="6" t="n">
        <x:v>21.559992980795617</x:v>
      </x:c>
      <x:c r="I15" s="11" t="n">
        <x:v>0.003628205058528762</x:v>
      </x:c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 t="str">
        <x:v>202004</x:v>
      </x:c>
      <x:c r="B16" s="6" t="n">
        <x:v>37319.17117964912</x:v>
      </x:c>
      <x:c r="C16" s="6" t="n">
        <x:v>40562.92105263158</x:v>
      </x:c>
      <x:c r="D16" s="6" t="n">
        <x:v>920.0316498712311</x:v>
      </x:c>
      <x:c r="E16" s="6" t="n">
        <x:v>4951.126315789474</x:v>
      </x:c>
      <x:c r="F16" s="6" t="n">
        <x:v>8.033283962343104</x:v>
      </x:c>
      <x:c r="G16" s="6" t="n">
        <x:v>114.52746525380901</x:v>
      </x:c>
      <x:c r="H16" s="6" t="n">
        <x:v>21.355228947906394</x:v>
      </x:c>
      <x:c r="I16" s="11" t="n">
        <x:v>0.004208993496951269</x:v>
      </x:c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 t="str">
        <x:v>202005</x:v>
      </x:c>
      <x:c r="B17" s="6" t="n">
        <x:v>37411.37924978667</x:v>
      </x:c>
      <x:c r="C17" s="6" t="n">
        <x:v>42285.04761904762</x:v>
      </x:c>
      <x:c r="D17" s="6" t="n">
        <x:v>884.7425119827565</x:v>
      </x:c>
      <x:c r="E17" s="6" t="n">
        <x:v>5147.895238095238</x:v>
      </x:c>
      <x:c r="F17" s="6" t="n">
        <x:v>7.848136156801271</x:v>
      </x:c>
      <x:c r="G17" s="6" t="n">
        <x:v>112.7328188892378</x:v>
      </x:c>
      <x:c r="H17" s="6" t="n">
        <x:v>21.95554108554539</x:v>
      </x:c>
      <x:c r="I17" s="11" t="n">
        <x:v>0.005779505942636372</x:v>
      </x:c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 t="str">
        <x:v>Источник: кэш 8 диаграмм листа Задание. Это отдельный месячный ряд май 2019 — май 2020.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 t="str">
        <x:v>У запаса конфликт единиц: заголовок говорит тыс.руб., ряд — млн руб. Использовать относительные изменения.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42" customHeight="1">
      <x:c r="A25" s="4" t="str">
        <x:v>Показатель</x:v>
      </x:c>
      <x:c r="B25" s="4" t="str">
        <x:v>Апрель 2020</x:v>
      </x:c>
      <x:c r="C25" s="4" t="str">
        <x:v>Май 2020</x:v>
      </x:c>
      <x:c r="D25" s="4" t="str">
        <x:v>Изменение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 t="str">
        <x:v>Средняя выручка на 1 склад, тыс.руб </x:v>
      </x:c>
      <x:c r="B26" s="6" t="n">
        <x:f>B16</x:f>
        <x:v>37319.17117964912</x:v>
      </x:c>
      <x:c r="C26" s="6" t="n">
        <x:f>B17</x:f>
        <x:v>37411.37924978667</x:v>
      </x:c>
      <x:c r="D26" s="8" t="n">
        <x:f>C26/B26-1</x:f>
        <x:v>0.002470796301816902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 t="str">
        <x:v>Среднее количество заказов на 1 склад </x:v>
      </x:c>
      <x:c r="B27" s="6" t="n">
        <x:f>C16</x:f>
        <x:v>40562.92105263158</x:v>
      </x:c>
      <x:c r="C27" s="6" t="n">
        <x:f>C17</x:f>
        <x:v>42285.04761904762</x:v>
      </x:c>
      <x:c r="D27" s="8" t="n">
        <x:f>C27/B27-1</x:f>
        <x:v>0.04245568419940793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 t="str">
        <x:v>Средний заказ, руб </x:v>
      </x:c>
      <x:c r="B28" s="6" t="n">
        <x:f>D16</x:f>
        <x:v>920.0316498712311</x:v>
      </x:c>
      <x:c r="C28" s="6" t="n">
        <x:f>D17</x:f>
        <x:v>884.7425119827565</x:v>
      </x:c>
      <x:c r="D28" s="8" t="n">
        <x:f>C28/B28-1</x:f>
        <x:v>-0.03835643903491126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1" t="str">
        <x:v>Среднее количество клиентов на 1 склад</x:v>
      </x:c>
      <x:c r="B29" s="6" t="n">
        <x:f>E16</x:f>
        <x:v>4951.126315789474</x:v>
      </x:c>
      <x:c r="C29" s="6" t="n">
        <x:f>E17</x:f>
        <x:v>5147.895238095238</x:v>
      </x:c>
      <x:c r="D29" s="8" t="n">
        <x:f>C29/B29-1</x:f>
        <x:v>0.03974225454080105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1" t="str">
        <x:v>Среднее количество штук в заказе </x:v>
      </x:c>
      <x:c r="B30" s="6" t="n">
        <x:f>F16</x:f>
        <x:v>8.033283962343104</x:v>
      </x:c>
      <x:c r="C30" s="6" t="n">
        <x:f>F17</x:f>
        <x:v>7.848136156801271</x:v>
      </x:c>
      <x:c r="D30" s="8" t="n">
        <x:f>C30/B30-1</x:f>
        <x:v>-0.023047586318339253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 t="str">
        <x:v>Средняя стоимость SKU</x:v>
      </x:c>
      <x:c r="B31" s="6" t="n">
        <x:f>G16</x:f>
        <x:v>114.52746525380901</x:v>
      </x:c>
      <x:c r="C31" s="6" t="n">
        <x:f>G17</x:f>
        <x:v>112.7328188892378</x:v>
      </x:c>
      <x:c r="D31" s="8" t="n">
        <x:f>C31/B31-1</x:f>
        <x:v>-0.015670008592209905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 t="str">
        <x:v>Средний ТЗ на складе, млн руб </x:v>
      </x:c>
      <x:c r="B32" s="6" t="n">
        <x:f>H16</x:f>
        <x:v>21.355228947906394</x:v>
      </x:c>
      <x:c r="C32" s="6" t="n">
        <x:f>H17</x:f>
        <x:v>21.95554108554539</x:v>
      </x:c>
      <x:c r="D32" s="8" t="n">
        <x:f>C32/B32-1</x:f>
        <x:v>0.028110779758128146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1" t="str">
        <x:v>Потери, % </x:v>
      </x:c>
      <x:c r="B33" s="11" t="n">
        <x:f>I16</x:f>
        <x:v>0.004208993496951269</x:v>
      </x:c>
      <x:c r="C33" s="11" t="n">
        <x:f>I17</x:f>
        <x:v>0.005779505942636372</x:v>
      </x:c>
      <x:c r="D33" s="12" t="n">
        <x:f>(C33-B33)*100</x:f>
        <x:v>0.1570512445685103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1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1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1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1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1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1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1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1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1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1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1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1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1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1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1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1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1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1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1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1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1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1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1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1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1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1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1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1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1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1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1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1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1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1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1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1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1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1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1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1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1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1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1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1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1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1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1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1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1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1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1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1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1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1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1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1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1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1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1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1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1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1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1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1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1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1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1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1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1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1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1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1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1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1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1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1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1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1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1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1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1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1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1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1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1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1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1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1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1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1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1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1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1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1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1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1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1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1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1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1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1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1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1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1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1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1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1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1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1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1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1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1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1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1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1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1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1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1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1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1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1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1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1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1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1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1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1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1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1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1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1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1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1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1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1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1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1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1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1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1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1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1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1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1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1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1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1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1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1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1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1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1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1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1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1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1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1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1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1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1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1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1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1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1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1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1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1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1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1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1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1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1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1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1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1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1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1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1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1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1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1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1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1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1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1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1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1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1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1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1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1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1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1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1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1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1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1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1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1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1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1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1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1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1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1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1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1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1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1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1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1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1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1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1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1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1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1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1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1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1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1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1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1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1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1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1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1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1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1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1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1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1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1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1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1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1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1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1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1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1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1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1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1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1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1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1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1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1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1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1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1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1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1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1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1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1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1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1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1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1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1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1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1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1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1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1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1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1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1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1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1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1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1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1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1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1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1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1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1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1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9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42" customHeight="1">
      <x:c r="A1" s="4" t="str">
        <x:v>Дата</x:v>
      </x:c>
      <x:c r="B1" s="4" t="str">
        <x:v>Территория</x:v>
      </x:c>
      <x:c r="C1" s="4" t="str">
        <x:v>Товарооборот шт</x:v>
      </x:c>
      <x:c r="D1" s="4" t="str">
        <x:v>Товарооборот руб</x:v>
      </x:c>
      <x:c r="E1" s="4" t="str">
        <x:v>Себестоимость руб</x:v>
      </x:c>
      <x:c r="F1" s="4" t="str">
        <x:v>Потери руб</x:v>
      </x:c>
      <x:c r="G1" s="4" t="str">
        <x:v>Склады за день</x:v>
      </x:c>
      <x:c r="H1" s="4" t="str">
        <x:v>Заказы за день</x:v>
      </x:c>
      <x:c r="I1" s="4" t="str">
        <x:v>Клиенты за день</x:v>
      </x:c>
      <x:c r="J1" s="4" t="str">
        <x:v>Понедельник ISO</x:v>
      </x:c>
      <x:c r="K1" s="4" t="str">
        <x:v>Год ISO</x:v>
      </x:c>
      <x:c r="L1" s="4" t="str">
        <x:v>Неделя ISO</x:v>
      </x:c>
      <x:c r="M1" s="4" t="str">
        <x:v>Ключ</x:v>
      </x:c>
      <x:c r="N1" s="4" t="str">
        <x:v>Совпадений ключа</x:v>
      </x:c>
      <x:c r="O1" s="1"/>
      <x:c r="P1" s="1"/>
      <x:c r="Q1" s="1"/>
    </x:row>
    <x:row r="2" ht="21" customHeight="1">
      <x:c r="A2" s="5" t="n">
        <x:f>'Лист1'!A2</x:f>
        <x:v>43949</x:v>
      </x:c>
      <x:c r="B2" s="1" t="str">
        <x:f>'Лист1'!B2</x:f>
        <x:v>Волгоград</x:v>
      </x:c>
      <x:c r="C2" s="1" t="n">
        <x:f>'Лист1'!C2</x:f>
        <x:v>73147.5</x:v>
      </x:c>
      <x:c r="D2" s="6" t="n">
        <x:f>'Лист1'!D2</x:f>
        <x:v>6288246</x:v>
      </x:c>
      <x:c r="E2" s="6" t="n">
        <x:f>'Лист1'!E2</x:f>
        <x:v>4798265.113</x:v>
      </x:c>
      <x:c r="F2" s="6" t="n">
        <x:f>'Лист1'!F2</x:f>
        <x:v>123081.63515384615</x:v>
      </x:c>
      <x:c r="G2" s="1" t="n">
        <x:f>IF(N2=1,SUMIFS('Лист2'!$C$2:$C$505,'Лист2'!$A$2:$A$505,A2,'Лист2'!$B$2:$B$505,B2),NA())</x:f>
        <x:v>36</x:v>
      </x:c>
      <x:c r="H2" s="1" t="n">
        <x:f>IF(N2=1,SUMIFS('Лист2'!$D$2:$D$505,'Лист2'!$A$2:$A$505,A2,'Лист2'!$B$2:$B$505,B2),NA())</x:f>
        <x:v>4923</x:v>
      </x:c>
      <x:c r="I2" s="1" t="n">
        <x:f>IF(N2=1,SUMIFS('Лист2'!$E$2:$E$505,'Лист2'!$A$2:$A$505,A2,'Лист2'!$B$2:$B$505,B2),NA())</x:f>
        <x:v>4560</x:v>
      </x:c>
      <x:c r="J2" s="5" t="n">
        <x:f>A2-WEEKDAY(A2,2)+1</x:f>
        <x:v>43948</x:v>
      </x:c>
      <x:c r="K2" s="1" t="n">
        <x:f>YEAR(J2+3)</x:f>
        <x:v>2020</x:v>
      </x:c>
      <x:c r="L2" s="1" t="n">
        <x:f>INT((J2-DATE(K2,1,4)+WEEKDAY(DATE(K2,1,4),2)-1)/7)+1</x:f>
        <x:v>18</x:v>
      </x:c>
      <x:c r="M2" s="1" t="str">
        <x:f>A2&amp;"|"&amp;B2</x:f>
        <x:v>43949|Волгоград</x:v>
      </x:c>
      <x:c r="N2" s="1" t="n">
        <x:f>COUNTIFS('Лист2'!$F$2:$F$505,M2)</x:f>
        <x:v>1</x:v>
      </x:c>
      <x:c r="O2" s="1"/>
      <x:c r="P2" s="1"/>
      <x:c r="Q2" s="1"/>
    </x:row>
    <x:row r="3" ht="21" customHeight="1">
      <x:c r="A3" s="5" t="n">
        <x:f>'Лист1'!A3</x:f>
        <x:v>43949</x:v>
      </x:c>
      <x:c r="B3" s="1" t="str">
        <x:f>'Лист1'!B3</x:f>
        <x:v>Екатеринбург</x:v>
      </x:c>
      <x:c r="C3" s="1" t="n">
        <x:f>'Лист1'!C3</x:f>
        <x:v>81826.5</x:v>
      </x:c>
      <x:c r="D3" s="6" t="n">
        <x:f>'Лист1'!D3</x:f>
        <x:v>7163644.5</x:v>
      </x:c>
      <x:c r="E3" s="6" t="n">
        <x:f>'Лист1'!E3</x:f>
        <x:v>5366333.713</x:v>
      </x:c>
      <x:c r="F3" s="6" t="n">
        <x:f>'Лист1'!F3</x:f>
        <x:v>145122.77781538462</x:v>
      </x:c>
      <x:c r="G3" s="1" t="n">
        <x:f>IF(N3=1,SUMIFS('Лист2'!$C$2:$C$505,'Лист2'!$A$2:$A$505,A3,'Лист2'!$B$2:$B$505,B3),NA())</x:f>
        <x:v>31</x:v>
      </x:c>
      <x:c r="H3" s="1" t="n">
        <x:f>IF(N3=1,SUMIFS('Лист2'!$D$2:$D$505,'Лист2'!$A$2:$A$505,A3,'Лист2'!$B$2:$B$505,B3),NA())</x:f>
        <x:v>5465</x:v>
      </x:c>
      <x:c r="I3" s="1" t="n">
        <x:f>IF(N3=1,SUMIFS('Лист2'!$E$2:$E$505,'Лист2'!$A$2:$A$505,A3,'Лист2'!$B$2:$B$505,B3),NA())</x:f>
        <x:v>5096</x:v>
      </x:c>
      <x:c r="J3" s="5" t="n">
        <x:f>A3-WEEKDAY(A3,2)+1</x:f>
        <x:v>43948</x:v>
      </x:c>
      <x:c r="K3" s="1" t="n">
        <x:f>YEAR(J3+3)</x:f>
        <x:v>2020</x:v>
      </x:c>
      <x:c r="L3" s="1" t="n">
        <x:f>INT((J3-DATE(K3,1,4)+WEEKDAY(DATE(K3,1,4),2)-1)/7)+1</x:f>
        <x:v>18</x:v>
      </x:c>
      <x:c r="M3" s="1" t="str">
        <x:f>A3&amp;"|"&amp;B3</x:f>
        <x:v>43949|Екатеринбург</x:v>
      </x:c>
      <x:c r="N3" s="1" t="n">
        <x:f>COUNTIFS('Лист2'!$F$2:$F$505,M3)</x:f>
        <x:v>1</x:v>
      </x:c>
      <x:c r="O3" s="1"/>
      <x:c r="P3" s="1"/>
      <x:c r="Q3" s="1"/>
    </x:row>
    <x:row r="4" ht="21" customHeight="1">
      <x:c r="A4" s="5" t="n">
        <x:f>'Лист1'!A4</x:f>
        <x:v>43949</x:v>
      </x:c>
      <x:c r="B4" s="1" t="str">
        <x:f>'Лист1'!B4</x:f>
        <x:v>Казань</x:v>
      </x:c>
      <x:c r="C4" s="1" t="n">
        <x:f>'Лист1'!C4</x:f>
        <x:v>32181</x:v>
      </x:c>
      <x:c r="D4" s="6" t="n">
        <x:f>'Лист1'!D4</x:f>
        <x:v>2863600.5</x:v>
      </x:c>
      <x:c r="E4" s="6" t="n">
        <x:f>'Лист1'!E4</x:f>
        <x:v>2246478.617</x:v>
      </x:c>
      <x:c r="F4" s="6" t="n">
        <x:f>'Лист1'!F4</x:f>
        <x:v>140503.93076923076</x:v>
      </x:c>
      <x:c r="G4" s="1" t="n">
        <x:f>IF(N4=1,SUMIFS('Лист2'!$C$2:$C$505,'Лист2'!$A$2:$A$505,A4,'Лист2'!$B$2:$B$505,B4),NA())</x:f>
        <x:v>19</x:v>
      </x:c>
      <x:c r="H4" s="1" t="n">
        <x:f>IF(N4=1,SUMIFS('Лист2'!$D$2:$D$505,'Лист2'!$A$2:$A$505,A4,'Лист2'!$B$2:$B$505,B4),NA())</x:f>
        <x:v>1846</x:v>
      </x:c>
      <x:c r="I4" s="1" t="n">
        <x:f>IF(N4=1,SUMIFS('Лист2'!$E$2:$E$505,'Лист2'!$A$2:$A$505,A4,'Лист2'!$B$2:$B$505,B4),NA())</x:f>
        <x:v>1681</x:v>
      </x:c>
      <x:c r="J4" s="5" t="n">
        <x:f>A4-WEEKDAY(A4,2)+1</x:f>
        <x:v>43948</x:v>
      </x:c>
      <x:c r="K4" s="1" t="n">
        <x:f>YEAR(J4+3)</x:f>
        <x:v>2020</x:v>
      </x:c>
      <x:c r="L4" s="1" t="n">
        <x:f>INT((J4-DATE(K4,1,4)+WEEKDAY(DATE(K4,1,4),2)-1)/7)+1</x:f>
        <x:v>18</x:v>
      </x:c>
      <x:c r="M4" s="1" t="str">
        <x:f>A4&amp;"|"&amp;B4</x:f>
        <x:v>43949|Казань</x:v>
      </x:c>
      <x:c r="N4" s="1" t="n">
        <x:f>COUNTIFS('Лист2'!$F$2:$F$505,M4)</x:f>
        <x:v>1</x:v>
      </x:c>
      <x:c r="O4" s="1"/>
      <x:c r="P4" s="1"/>
      <x:c r="Q4" s="1"/>
    </x:row>
    <x:row r="5" ht="21" customHeight="1">
      <x:c r="A5" s="5" t="n">
        <x:f>'Лист1'!A5</x:f>
        <x:v>43949</x:v>
      </x:c>
      <x:c r="B5" s="1" t="str">
        <x:f>'Лист1'!B5</x:f>
        <x:v>Кемерово</x:v>
      </x:c>
      <x:c r="C5" s="1" t="n">
        <x:f>'Лист1'!C5</x:f>
        <x:v>26940</x:v>
      </x:c>
      <x:c r="D5" s="6" t="n">
        <x:f>'Лист1'!D5</x:f>
        <x:v>2411587.5</x:v>
      </x:c>
      <x:c r="E5" s="6" t="n">
        <x:f>'Лист1'!E5</x:f>
        <x:v>1931011.4870000002</x:v>
      </x:c>
      <x:c r="F5" s="6" t="n">
        <x:f>'Лист1'!F5</x:f>
        <x:v>149032.79178461537</x:v>
      </x:c>
      <x:c r="G5" s="1" t="n">
        <x:f>IF(N5=1,SUMIFS('Лист2'!$C$2:$C$505,'Лист2'!$A$2:$A$505,A5,'Лист2'!$B$2:$B$505,B5),NA())</x:f>
        <x:v>18</x:v>
      </x:c>
      <x:c r="H5" s="1" t="n">
        <x:f>IF(N5=1,SUMIFS('Лист2'!$D$2:$D$505,'Лист2'!$A$2:$A$505,A5,'Лист2'!$B$2:$B$505,B5),NA())</x:f>
        <x:v>1539</x:v>
      </x:c>
      <x:c r="I5" s="1" t="n">
        <x:f>IF(N5=1,SUMIFS('Лист2'!$E$2:$E$505,'Лист2'!$A$2:$A$505,A5,'Лист2'!$B$2:$B$505,B5),NA())</x:f>
        <x:v>1404</x:v>
      </x:c>
      <x:c r="J5" s="5" t="n">
        <x:f>A5-WEEKDAY(A5,2)+1</x:f>
        <x:v>43948</x:v>
      </x:c>
      <x:c r="K5" s="1" t="n">
        <x:f>YEAR(J5+3)</x:f>
        <x:v>2020</x:v>
      </x:c>
      <x:c r="L5" s="1" t="n">
        <x:f>INT((J5-DATE(K5,1,4)+WEEKDAY(DATE(K5,1,4),2)-1)/7)+1</x:f>
        <x:v>18</x:v>
      </x:c>
      <x:c r="M5" s="1" t="str">
        <x:f>A5&amp;"|"&amp;B5</x:f>
        <x:v>43949|Кемерово</x:v>
      </x:c>
      <x:c r="N5" s="1" t="n">
        <x:f>COUNTIFS('Лист2'!$F$2:$F$505,M5)</x:f>
        <x:v>1</x:v>
      </x:c>
      <x:c r="O5" s="1"/>
      <x:c r="P5" s="1"/>
      <x:c r="Q5" s="1"/>
    </x:row>
    <x:row r="6" ht="21" customHeight="1">
      <x:c r="A6" s="5" t="n">
        <x:f>'Лист1'!A6</x:f>
        <x:v>43949</x:v>
      </x:c>
      <x:c r="B6" s="1" t="str">
        <x:f>'Лист1'!B6</x:f>
        <x:v>Краснодар</x:v>
      </x:c>
      <x:c r="C6" s="1" t="n">
        <x:f>'Лист1'!C6</x:f>
        <x:v>25149</x:v>
      </x:c>
      <x:c r="D6" s="6" t="n">
        <x:f>'Лист1'!D6</x:f>
        <x:v>2277072</x:v>
      </x:c>
      <x:c r="E6" s="6" t="n">
        <x:f>'Лист1'!E6</x:f>
        <x:v>1804070.1239999998</x:v>
      </x:c>
      <x:c r="F6" s="6" t="n">
        <x:f>'Лист1'!F6</x:f>
        <x:v>125553.02143076922</x:v>
      </x:c>
      <x:c r="G6" s="1" t="n">
        <x:f>IF(N6=1,SUMIFS('Лист2'!$C$2:$C$505,'Лист2'!$A$2:$A$505,A6,'Лист2'!$B$2:$B$505,B6),NA())</x:f>
        <x:v>18</x:v>
      </x:c>
      <x:c r="H6" s="1" t="n">
        <x:f>IF(N6=1,SUMIFS('Лист2'!$D$2:$D$505,'Лист2'!$A$2:$A$505,A6,'Лист2'!$B$2:$B$505,B6),NA())</x:f>
        <x:v>1505</x:v>
      </x:c>
      <x:c r="I6" s="1" t="n">
        <x:f>IF(N6=1,SUMIFS('Лист2'!$E$2:$E$505,'Лист2'!$A$2:$A$505,A6,'Лист2'!$B$2:$B$505,B6),NA())</x:f>
        <x:v>1368</x:v>
      </x:c>
      <x:c r="J6" s="5" t="n">
        <x:f>A6-WEEKDAY(A6,2)+1</x:f>
        <x:v>43948</x:v>
      </x:c>
      <x:c r="K6" s="1" t="n">
        <x:f>YEAR(J6+3)</x:f>
        <x:v>2020</x:v>
      </x:c>
      <x:c r="L6" s="1" t="n">
        <x:f>INT((J6-DATE(K6,1,4)+WEEKDAY(DATE(K6,1,4),2)-1)/7)+1</x:f>
        <x:v>18</x:v>
      </x:c>
      <x:c r="M6" s="1" t="str">
        <x:f>A6&amp;"|"&amp;B6</x:f>
        <x:v>43949|Краснодар</x:v>
      </x:c>
      <x:c r="N6" s="1" t="n">
        <x:f>COUNTIFS('Лист2'!$F$2:$F$505,M6)</x:f>
        <x:v>1</x:v>
      </x:c>
      <x:c r="O6" s="1"/>
      <x:c r="P6" s="1"/>
      <x:c r="Q6" s="1"/>
    </x:row>
    <x:row r="7" ht="21" customHeight="1">
      <x:c r="A7" s="5" t="n">
        <x:f>'Лист1'!A7</x:f>
        <x:v>43949</x:v>
      </x:c>
      <x:c r="B7" s="1" t="str">
        <x:f>'Лист1'!B7</x:f>
        <x:v>Москва Восток</x:v>
      </x:c>
      <x:c r="C7" s="1" t="n">
        <x:f>'Лист1'!C7</x:f>
        <x:v>195705</x:v>
      </x:c>
      <x:c r="D7" s="6" t="n">
        <x:f>'Лист1'!D7</x:f>
        <x:v>20003263.5</x:v>
      </x:c>
      <x:c r="E7" s="6" t="n">
        <x:f>'Лист1'!E7</x:f>
        <x:v>14633542.982</x:v>
      </x:c>
      <x:c r="F7" s="6" t="n">
        <x:f>'Лист1'!F7</x:f>
        <x:v>268185.43076923076</x:v>
      </x:c>
      <x:c r="G7" s="1" t="n">
        <x:f>IF(N7=1,SUMIFS('Лист2'!$C$2:$C$505,'Лист2'!$A$2:$A$505,A7,'Лист2'!$B$2:$B$505,B7),NA())</x:f>
        <x:v>54</x:v>
      </x:c>
      <x:c r="H7" s="1" t="n">
        <x:f>IF(N7=1,SUMIFS('Лист2'!$D$2:$D$505,'Лист2'!$A$2:$A$505,A7,'Лист2'!$B$2:$B$505,B7),NA())</x:f>
        <x:v>12306</x:v>
      </x:c>
      <x:c r="I7" s="1" t="n">
        <x:f>IF(N7=1,SUMIFS('Лист2'!$E$2:$E$505,'Лист2'!$A$2:$A$505,A7,'Лист2'!$B$2:$B$505,B7),NA())</x:f>
        <x:v>11532</x:v>
      </x:c>
      <x:c r="J7" s="5" t="n">
        <x:f>A7-WEEKDAY(A7,2)+1</x:f>
        <x:v>43948</x:v>
      </x:c>
      <x:c r="K7" s="1" t="n">
        <x:f>YEAR(J7+3)</x:f>
        <x:v>2020</x:v>
      </x:c>
      <x:c r="L7" s="1" t="n">
        <x:f>INT((J7-DATE(K7,1,4)+WEEKDAY(DATE(K7,1,4),2)-1)/7)+1</x:f>
        <x:v>18</x:v>
      </x:c>
      <x:c r="M7" s="1" t="str">
        <x:f>A7&amp;"|"&amp;B7</x:f>
        <x:v>43949|Москва Восток</x:v>
      </x:c>
      <x:c r="N7" s="1" t="n">
        <x:f>COUNTIFS('Лист2'!$F$2:$F$505,M7)</x:f>
        <x:v>1</x:v>
      </x:c>
      <x:c r="O7" s="1"/>
      <x:c r="P7" s="1"/>
      <x:c r="Q7" s="1"/>
    </x:row>
    <x:row r="8" ht="21" customHeight="1">
      <x:c r="A8" s="5" t="n">
        <x:f>'Лист1'!A8</x:f>
        <x:v>43949</x:v>
      </x:c>
      <x:c r="B8" s="1" t="str">
        <x:f>'Лист1'!B8</x:f>
        <x:v>Москва Запад</x:v>
      </x:c>
      <x:c r="C8" s="1" t="n">
        <x:f>'Лист1'!C8</x:f>
        <x:v>204637.5</x:v>
      </x:c>
      <x:c r="D8" s="6" t="n">
        <x:f>'Лист1'!D8</x:f>
        <x:v>21114898.5</x:v>
      </x:c>
      <x:c r="E8" s="6" t="n">
        <x:f>'Лист1'!E8</x:f>
        <x:v>15426373.359</x:v>
      </x:c>
      <x:c r="F8" s="6" t="n">
        <x:f>'Лист1'!F8</x:f>
        <x:v>255889.23846153845</x:v>
      </x:c>
      <x:c r="G8" s="1" t="n">
        <x:f>IF(N8=1,SUMIFS('Лист2'!$C$2:$C$505,'Лист2'!$A$2:$A$505,A8,'Лист2'!$B$2:$B$505,B8),NA())</x:f>
        <x:v>59</x:v>
      </x:c>
      <x:c r="H8" s="1" t="n">
        <x:f>IF(N8=1,SUMIFS('Лист2'!$D$2:$D$505,'Лист2'!$A$2:$A$505,A8,'Лист2'!$B$2:$B$505,B8),NA())</x:f>
        <x:v>12943</x:v>
      </x:c>
      <x:c r="I8" s="1" t="n">
        <x:f>IF(N8=1,SUMIFS('Лист2'!$E$2:$E$505,'Лист2'!$A$2:$A$505,A8,'Лист2'!$B$2:$B$505,B8),NA())</x:f>
        <x:v>12072</x:v>
      </x:c>
      <x:c r="J8" s="5" t="n">
        <x:f>A8-WEEKDAY(A8,2)+1</x:f>
        <x:v>43948</x:v>
      </x:c>
      <x:c r="K8" s="1" t="n">
        <x:f>YEAR(J8+3)</x:f>
        <x:v>2020</x:v>
      </x:c>
      <x:c r="L8" s="1" t="n">
        <x:f>INT((J8-DATE(K8,1,4)+WEEKDAY(DATE(K8,1,4),2)-1)/7)+1</x:f>
        <x:v>18</x:v>
      </x:c>
      <x:c r="M8" s="1" t="str">
        <x:f>A8&amp;"|"&amp;B8</x:f>
        <x:v>43949|Москва Запад</x:v>
      </x:c>
      <x:c r="N8" s="1" t="n">
        <x:f>COUNTIFS('Лист2'!$F$2:$F$505,M8)</x:f>
        <x:v>1</x:v>
      </x:c>
      <x:c r="O8" s="1"/>
      <x:c r="P8" s="1"/>
      <x:c r="Q8" s="1"/>
    </x:row>
    <x:row r="9" ht="21" customHeight="1">
      <x:c r="A9" s="5" t="n">
        <x:f>'Лист1'!A9</x:f>
        <x:v>43949</x:v>
      </x:c>
      <x:c r="B9" s="1" t="str">
        <x:f>'Лист1'!B9</x:f>
        <x:v>Нижний Новгород</x:v>
      </x:c>
      <x:c r="C9" s="1" t="n">
        <x:f>'Лист1'!C9</x:f>
        <x:v>23314.5</x:v>
      </x:c>
      <x:c r="D9" s="6" t="n">
        <x:f>'Лист1'!D9</x:f>
        <x:v>2136817.5</x:v>
      </x:c>
      <x:c r="E9" s="6" t="n">
        <x:f>'Лист1'!E9</x:f>
        <x:v>1701780.478</x:v>
      </x:c>
      <x:c r="F9" s="6" t="n">
        <x:f>'Лист1'!F9</x:f>
        <x:v>141999.40078461537</x:v>
      </x:c>
      <x:c r="G9" s="1" t="n">
        <x:f>IF(N9=1,SUMIFS('Лист2'!$C$2:$C$505,'Лист2'!$A$2:$A$505,A9,'Лист2'!$B$2:$B$505,B9),NA())</x:f>
        <x:v>17</x:v>
      </x:c>
      <x:c r="H9" s="1" t="n">
        <x:f>IF(N9=1,SUMIFS('Лист2'!$D$2:$D$505,'Лист2'!$A$2:$A$505,A9,'Лист2'!$B$2:$B$505,B9),NA())</x:f>
        <x:v>1439</x:v>
      </x:c>
      <x:c r="I9" s="1" t="n">
        <x:f>IF(N9=1,SUMIFS('Лист2'!$E$2:$E$505,'Лист2'!$A$2:$A$505,A9,'Лист2'!$B$2:$B$505,B9),NA())</x:f>
        <x:v>1265</x:v>
      </x:c>
      <x:c r="J9" s="5" t="n">
        <x:f>A9-WEEKDAY(A9,2)+1</x:f>
        <x:v>43948</x:v>
      </x:c>
      <x:c r="K9" s="1" t="n">
        <x:f>YEAR(J9+3)</x:f>
        <x:v>2020</x:v>
      </x:c>
      <x:c r="L9" s="1" t="n">
        <x:f>INT((J9-DATE(K9,1,4)+WEEKDAY(DATE(K9,1,4),2)-1)/7)+1</x:f>
        <x:v>18</x:v>
      </x:c>
      <x:c r="M9" s="1" t="str">
        <x:f>A9&amp;"|"&amp;B9</x:f>
        <x:v>43949|Нижний Новгород</x:v>
      </x:c>
      <x:c r="N9" s="1" t="n">
        <x:f>COUNTIFS('Лист2'!$F$2:$F$505,M9)</x:f>
        <x:v>1</x:v>
      </x:c>
      <x:c r="O9" s="1"/>
      <x:c r="P9" s="1"/>
      <x:c r="Q9" s="1"/>
    </x:row>
    <x:row r="10" ht="21" customHeight="1">
      <x:c r="A10" s="5" t="n">
        <x:f>'Лист1'!A10</x:f>
        <x:v>43949</x:v>
      </x:c>
      <x:c r="B10" s="1" t="str">
        <x:f>'Лист1'!B10</x:f>
        <x:v>Новосибирск</x:v>
      </x:c>
      <x:c r="C10" s="1" t="n">
        <x:f>'Лист1'!C10</x:f>
        <x:v>12541.5</x:v>
      </x:c>
      <x:c r="D10" s="6" t="n">
        <x:f>'Лист1'!D10</x:f>
        <x:v>992541</x:v>
      </x:c>
      <x:c r="E10" s="6" t="n">
        <x:f>'Лист1'!E10</x:f>
        <x:v>874678.696</x:v>
      </x:c>
      <x:c r="F10" s="6" t="n">
        <x:f>'Лист1'!F10</x:f>
        <x:v>83886.67692307691</x:v>
      </x:c>
      <x:c r="G10" s="1" t="n">
        <x:f>IF(N10=1,SUMIFS('Лист2'!$C$2:$C$505,'Лист2'!$A$2:$A$505,A10,'Лист2'!$B$2:$B$505,B10),NA())</x:f>
        <x:v>15</x:v>
      </x:c>
      <x:c r="H10" s="1" t="n">
        <x:f>IF(N10=1,SUMIFS('Лист2'!$D$2:$D$505,'Лист2'!$A$2:$A$505,A10,'Лист2'!$B$2:$B$505,B10),NA())</x:f>
        <x:v>636</x:v>
      </x:c>
      <x:c r="I10" s="1" t="n">
        <x:f>IF(N10=1,SUMIFS('Лист2'!$E$2:$E$505,'Лист2'!$A$2:$A$505,A10,'Лист2'!$B$2:$B$505,B10),NA())</x:f>
        <x:v>547</x:v>
      </x:c>
      <x:c r="J10" s="5" t="n">
        <x:f>A10-WEEKDAY(A10,2)+1</x:f>
        <x:v>43948</x:v>
      </x:c>
      <x:c r="K10" s="1" t="n">
        <x:f>YEAR(J10+3)</x:f>
        <x:v>2020</x:v>
      </x:c>
      <x:c r="L10" s="1" t="n">
        <x:f>INT((J10-DATE(K10,1,4)+WEEKDAY(DATE(K10,1,4),2)-1)/7)+1</x:f>
        <x:v>18</x:v>
      </x:c>
      <x:c r="M10" s="1" t="str">
        <x:f>A10&amp;"|"&amp;B10</x:f>
        <x:v>43949|Новосибирск</x:v>
      </x:c>
      <x:c r="N10" s="1" t="n">
        <x:f>COUNTIFS('Лист2'!$F$2:$F$505,M10)</x:f>
        <x:v>1</x:v>
      </x:c>
      <x:c r="O10" s="1"/>
      <x:c r="P10" s="1"/>
      <x:c r="Q10" s="1"/>
    </x:row>
    <x:row r="11" ht="21" customHeight="1">
      <x:c r="A11" s="5" t="n">
        <x:f>'Лист1'!A11</x:f>
        <x:v>43949</x:v>
      </x:c>
      <x:c r="B11" s="1" t="str">
        <x:f>'Лист1'!B11</x:f>
        <x:v>Пермь</x:v>
      </x:c>
      <x:c r="C11" s="1" t="n">
        <x:f>'Лист1'!C11</x:f>
        <x:v>13303.5</x:v>
      </x:c>
      <x:c r="D11" s="6" t="n">
        <x:f>'Лист1'!D11</x:f>
        <x:v>1102887</x:v>
      </x:c>
      <x:c r="E11" s="6" t="n">
        <x:f>'Лист1'!E11</x:f>
        <x:v>914116.792</x:v>
      </x:c>
      <x:c r="F11" s="6" t="n">
        <x:f>'Лист1'!F11</x:f>
        <x:v>173095.92049999998</x:v>
      </x:c>
      <x:c r="G11" s="1" t="n">
        <x:f>IF(N11=1,SUMIFS('Лист2'!$C$2:$C$505,'Лист2'!$A$2:$A$505,A11,'Лист2'!$B$2:$B$505,B11),NA())</x:f>
        <x:v>15</x:v>
      </x:c>
      <x:c r="H11" s="1" t="n">
        <x:f>IF(N11=1,SUMIFS('Лист2'!$D$2:$D$505,'Лист2'!$A$2:$A$505,A11,'Лист2'!$B$2:$B$505,B11),NA())</x:f>
        <x:v>780</x:v>
      </x:c>
      <x:c r="I11" s="1" t="n">
        <x:f>IF(N11=1,SUMIFS('Лист2'!$E$2:$E$505,'Лист2'!$A$2:$A$505,A11,'Лист2'!$B$2:$B$505,B11),NA())</x:f>
        <x:v>690</x:v>
      </x:c>
      <x:c r="J11" s="5" t="n">
        <x:f>A11-WEEKDAY(A11,2)+1</x:f>
        <x:v>43948</x:v>
      </x:c>
      <x:c r="K11" s="1" t="n">
        <x:f>YEAR(J11+3)</x:f>
        <x:v>2020</x:v>
      </x:c>
      <x:c r="L11" s="1" t="n">
        <x:f>INT((J11-DATE(K11,1,4)+WEEKDAY(DATE(K11,1,4),2)-1)/7)+1</x:f>
        <x:v>18</x:v>
      </x:c>
      <x:c r="M11" s="1" t="str">
        <x:f>A11&amp;"|"&amp;B11</x:f>
        <x:v>43949|Пермь</x:v>
      </x:c>
      <x:c r="N11" s="1" t="n">
        <x:f>COUNTIFS('Лист2'!$F$2:$F$505,M11)</x:f>
        <x:v>1</x:v>
      </x:c>
      <x:c r="O11" s="1"/>
      <x:c r="P11" s="1"/>
      <x:c r="Q11" s="1"/>
    </x:row>
    <x:row r="12" ht="21" customHeight="1">
      <x:c r="A12" s="5" t="n">
        <x:f>'Лист1'!A12</x:f>
        <x:v>43949</x:v>
      </x:c>
      <x:c r="B12" s="1" t="str">
        <x:f>'Лист1'!B12</x:f>
        <x:v>Санкт-Петербург Север</x:v>
      </x:c>
      <x:c r="C12" s="1" t="n">
        <x:f>'Лист1'!C12</x:f>
        <x:v>376060.5</x:v>
      </x:c>
      <x:c r="D12" s="6" t="n">
        <x:f>'Лист1'!D12</x:f>
        <x:v>39918028.5</x:v>
      </x:c>
      <x:c r="E12" s="6" t="n">
        <x:f>'Лист1'!E12</x:f>
        <x:v>29154014.884</x:v>
      </x:c>
      <x:c r="F12" s="6" t="n">
        <x:f>'Лист1'!F12</x:f>
        <x:v>611904.2335230769</x:v>
      </x:c>
      <x:c r="G12" s="1" t="n">
        <x:f>IF(N12=1,SUMIFS('Лист2'!$C$2:$C$505,'Лист2'!$A$2:$A$505,A12,'Лист2'!$B$2:$B$505,B12),NA())</x:f>
        <x:v>125</x:v>
      </x:c>
      <x:c r="H12" s="1" t="n">
        <x:f>IF(N12=1,SUMIFS('Лист2'!$D$2:$D$505,'Лист2'!$A$2:$A$505,A12,'Лист2'!$B$2:$B$505,B12),NA())</x:f>
        <x:v>20914</x:v>
      </x:c>
      <x:c r="I12" s="1" t="n">
        <x:f>IF(N12=1,SUMIFS('Лист2'!$E$2:$E$505,'Лист2'!$A$2:$A$505,A12,'Лист2'!$B$2:$B$505,B12),NA())</x:f>
        <x:v>19479</x:v>
      </x:c>
      <x:c r="J12" s="5" t="n">
        <x:f>A12-WEEKDAY(A12,2)+1</x:f>
        <x:v>43948</x:v>
      </x:c>
      <x:c r="K12" s="1" t="n">
        <x:f>YEAR(J12+3)</x:f>
        <x:v>2020</x:v>
      </x:c>
      <x:c r="L12" s="1" t="n">
        <x:f>INT((J12-DATE(K12,1,4)+WEEKDAY(DATE(K12,1,4),2)-1)/7)+1</x:f>
        <x:v>18</x:v>
      </x:c>
      <x:c r="M12" s="1" t="str">
        <x:f>A12&amp;"|"&amp;B12</x:f>
        <x:v>43949|Санкт-Петербург Север</x:v>
      </x:c>
      <x:c r="N12" s="1" t="n">
        <x:f>COUNTIFS('Лист2'!$F$2:$F$505,M12)</x:f>
        <x:v>1</x:v>
      </x:c>
      <x:c r="O12" s="1"/>
      <x:c r="P12" s="1"/>
      <x:c r="Q12" s="1"/>
    </x:row>
    <x:row r="13" ht="21" customHeight="1">
      <x:c r="A13" s="5" t="n">
        <x:f>'Лист1'!A13</x:f>
        <x:v>43949</x:v>
      </x:c>
      <x:c r="B13" s="1" t="str">
        <x:f>'Лист1'!B13</x:f>
        <x:v>Санкт-Петербург Юг</x:v>
      </x:c>
      <x:c r="C13" s="1" t="n">
        <x:f>'Лист1'!C13</x:f>
        <x:v>286002</x:v>
      </x:c>
      <x:c r="D13" s="6" t="n">
        <x:f>'Лист1'!D13</x:f>
        <x:v>29159032.5</x:v>
      </x:c>
      <x:c r="E13" s="6" t="n">
        <x:f>'Лист1'!E13</x:f>
        <x:v>21437602.310000002</x:v>
      </x:c>
      <x:c r="F13" s="6" t="n">
        <x:f>'Лист1'!F13</x:f>
        <x:v>637711.5937230769</x:v>
      </x:c>
      <x:c r="G13" s="1" t="n">
        <x:f>IF(N13=1,SUMIFS('Лист2'!$C$2:$C$505,'Лист2'!$A$2:$A$505,A13,'Лист2'!$B$2:$B$505,B13),NA())</x:f>
        <x:v>128</x:v>
      </x:c>
      <x:c r="H13" s="1" t="n">
        <x:f>IF(N13=1,SUMIFS('Лист2'!$D$2:$D$505,'Лист2'!$A$2:$A$505,A13,'Лист2'!$B$2:$B$505,B13),NA())</x:f>
        <x:v>16450</x:v>
      </x:c>
      <x:c r="I13" s="1" t="n">
        <x:f>IF(N13=1,SUMIFS('Лист2'!$E$2:$E$505,'Лист2'!$A$2:$A$505,A13,'Лист2'!$B$2:$B$505,B13),NA())</x:f>
        <x:v>15320</x:v>
      </x:c>
      <x:c r="J13" s="5" t="n">
        <x:f>A13-WEEKDAY(A13,2)+1</x:f>
        <x:v>43948</x:v>
      </x:c>
      <x:c r="K13" s="1" t="n">
        <x:f>YEAR(J13+3)</x:f>
        <x:v>2020</x:v>
      </x:c>
      <x:c r="L13" s="1" t="n">
        <x:f>INT((J13-DATE(K13,1,4)+WEEKDAY(DATE(K13,1,4),2)-1)/7)+1</x:f>
        <x:v>18</x:v>
      </x:c>
      <x:c r="M13" s="1" t="str">
        <x:f>A13&amp;"|"&amp;B13</x:f>
        <x:v>43949|Санкт-Петербург Юг</x:v>
      </x:c>
      <x:c r="N13" s="1" t="n">
        <x:f>COUNTIFS('Лист2'!$F$2:$F$505,M13)</x:f>
        <x:v>1</x:v>
      </x:c>
      <x:c r="O13" s="1"/>
      <x:c r="P13" s="1"/>
      <x:c r="Q13" s="1"/>
    </x:row>
    <x:row r="14" ht="21" customHeight="1">
      <x:c r="A14" s="5" t="n">
        <x:f>'Лист1'!A14</x:f>
        <x:v>43949</x:v>
      </x:c>
      <x:c r="B14" s="1" t="str">
        <x:f>'Лист1'!B14</x:f>
        <x:v>Тольятти</x:v>
      </x:c>
      <x:c r="C14" s="1" t="n">
        <x:f>'Лист1'!C14</x:f>
        <x:v>12331.5</x:v>
      </x:c>
      <x:c r="D14" s="6" t="n">
        <x:f>'Лист1'!D14</x:f>
        <x:v>869983.5</x:v>
      </x:c>
      <x:c r="E14" s="6" t="n">
        <x:f>'Лист1'!E14</x:f>
        <x:v>896773.3239999999</x:v>
      </x:c>
      <x:c r="F14" s="6" t="n">
        <x:f>'Лист1'!F14</x:f>
        <x:v>51681.03846153846</x:v>
      </x:c>
      <x:c r="G14" s="1" t="n">
        <x:f>IF(N14=1,SUMIFS('Лист2'!$C$2:$C$505,'Лист2'!$A$2:$A$505,A14,'Лист2'!$B$2:$B$505,B14),NA())</x:f>
        <x:v>10</x:v>
      </x:c>
      <x:c r="H14" s="1" t="n">
        <x:f>IF(N14=1,SUMIFS('Лист2'!$D$2:$D$505,'Лист2'!$A$2:$A$505,A14,'Лист2'!$B$2:$B$505,B14),NA())</x:f>
        <x:v>580</x:v>
      </x:c>
      <x:c r="I14" s="1" t="n">
        <x:f>IF(N14=1,SUMIFS('Лист2'!$E$2:$E$505,'Лист2'!$A$2:$A$505,A14,'Лист2'!$B$2:$B$505,B14),NA())</x:f>
        <x:v>506</x:v>
      </x:c>
      <x:c r="J14" s="5" t="n">
        <x:f>A14-WEEKDAY(A14,2)+1</x:f>
        <x:v>43948</x:v>
      </x:c>
      <x:c r="K14" s="1" t="n">
        <x:f>YEAR(J14+3)</x:f>
        <x:v>2020</x:v>
      </x:c>
      <x:c r="L14" s="1" t="n">
        <x:f>INT((J14-DATE(K14,1,4)+WEEKDAY(DATE(K14,1,4),2)-1)/7)+1</x:f>
        <x:v>18</x:v>
      </x:c>
      <x:c r="M14" s="1" t="str">
        <x:f>A14&amp;"|"&amp;B14</x:f>
        <x:v>43949|Тольятти</x:v>
      </x:c>
      <x:c r="N14" s="1" t="n">
        <x:f>COUNTIFS('Лист2'!$F$2:$F$505,M14)</x:f>
        <x:v>1</x:v>
      </x:c>
      <x:c r="O14" s="1"/>
      <x:c r="P14" s="1"/>
      <x:c r="Q14" s="1"/>
    </x:row>
    <x:row r="15" ht="21" customHeight="1">
      <x:c r="A15" s="5" t="n">
        <x:f>'Лист1'!A15</x:f>
        <x:v>43950</x:v>
      </x:c>
      <x:c r="B15" s="1" t="str">
        <x:f>'Лист1'!B15</x:f>
        <x:v>Волгоград</x:v>
      </x:c>
      <x:c r="C15" s="1" t="n">
        <x:f>'Лист1'!C15</x:f>
        <x:v>74707.5</x:v>
      </x:c>
      <x:c r="D15" s="6" t="n">
        <x:f>'Лист1'!D15</x:f>
        <x:v>6454458</x:v>
      </x:c>
      <x:c r="E15" s="6" t="n">
        <x:f>'Лист1'!E15</x:f>
        <x:v>4968152.947</x:v>
      </x:c>
      <x:c r="F15" s="6" t="n">
        <x:f>'Лист1'!F15</x:f>
        <x:v>118941.29398461539</x:v>
      </x:c>
      <x:c r="G15" s="1" t="n">
        <x:f>IF(N15=1,SUMIFS('Лист2'!$C$2:$C$505,'Лист2'!$A$2:$A$505,A15,'Лист2'!$B$2:$B$505,B15),NA())</x:f>
        <x:v>36</x:v>
      </x:c>
      <x:c r="H15" s="1" t="n">
        <x:f>IF(N15=1,SUMIFS('Лист2'!$D$2:$D$505,'Лист2'!$A$2:$A$505,A15,'Лист2'!$B$2:$B$505,B15),NA())</x:f>
        <x:v>4937</x:v>
      </x:c>
      <x:c r="I15" s="1" t="n">
        <x:f>IF(N15=1,SUMIFS('Лист2'!$E$2:$E$505,'Лист2'!$A$2:$A$505,A15,'Лист2'!$B$2:$B$505,B15),NA())</x:f>
        <x:v>4561</x:v>
      </x:c>
      <x:c r="J15" s="5" t="n">
        <x:f>A15-WEEKDAY(A15,2)+1</x:f>
        <x:v>43948</x:v>
      </x:c>
      <x:c r="K15" s="1" t="n">
        <x:f>YEAR(J15+3)</x:f>
        <x:v>2020</x:v>
      </x:c>
      <x:c r="L15" s="1" t="n">
        <x:f>INT((J15-DATE(K15,1,4)+WEEKDAY(DATE(K15,1,4),2)-1)/7)+1</x:f>
        <x:v>18</x:v>
      </x:c>
      <x:c r="M15" s="1" t="str">
        <x:f>A15&amp;"|"&amp;B15</x:f>
        <x:v>43950|Волгоград</x:v>
      </x:c>
      <x:c r="N15" s="1" t="n">
        <x:f>COUNTIFS('Лист2'!$F$2:$F$505,M15)</x:f>
        <x:v>1</x:v>
      </x:c>
      <x:c r="O15" s="1"/>
      <x:c r="P15" s="1"/>
      <x:c r="Q15" s="1"/>
    </x:row>
    <x:row r="16" ht="21" customHeight="1">
      <x:c r="A16" s="5" t="n">
        <x:f>'Лист1'!A16</x:f>
        <x:v>43950</x:v>
      </x:c>
      <x:c r="B16" s="1" t="str">
        <x:f>'Лист1'!B16</x:f>
        <x:v>Екатеринбург</x:v>
      </x:c>
      <x:c r="C16" s="1" t="n">
        <x:f>'Лист1'!C16</x:f>
        <x:v>79527</x:v>
      </x:c>
      <x:c r="D16" s="6" t="n">
        <x:f>'Лист1'!D16</x:f>
        <x:v>7180498.5</x:v>
      </x:c>
      <x:c r="E16" s="6" t="n">
        <x:f>'Лист1'!E16</x:f>
        <x:v>5432087.979</x:v>
      </x:c>
      <x:c r="F16" s="6" t="n">
        <x:f>'Лист1'!F16</x:f>
        <x:v>172769.1923076923</x:v>
      </x:c>
      <x:c r="G16" s="1" t="n">
        <x:f>IF(N16=1,SUMIFS('Лист2'!$C$2:$C$505,'Лист2'!$A$2:$A$505,A16,'Лист2'!$B$2:$B$505,B16),NA())</x:f>
        <x:v>31</x:v>
      </x:c>
      <x:c r="H16" s="1" t="n">
        <x:f>IF(N16=1,SUMIFS('Лист2'!$D$2:$D$505,'Лист2'!$A$2:$A$505,A16,'Лист2'!$B$2:$B$505,B16),NA())</x:f>
        <x:v>5378</x:v>
      </x:c>
      <x:c r="I16" s="1" t="n">
        <x:f>IF(N16=1,SUMIFS('Лист2'!$E$2:$E$505,'Лист2'!$A$2:$A$505,A16,'Лист2'!$B$2:$B$505,B16),NA())</x:f>
        <x:v>4985</x:v>
      </x:c>
      <x:c r="J16" s="5" t="n">
        <x:f>A16-WEEKDAY(A16,2)+1</x:f>
        <x:v>43948</x:v>
      </x:c>
      <x:c r="K16" s="1" t="n">
        <x:f>YEAR(J16+3)</x:f>
        <x:v>2020</x:v>
      </x:c>
      <x:c r="L16" s="1" t="n">
        <x:f>INT((J16-DATE(K16,1,4)+WEEKDAY(DATE(K16,1,4),2)-1)/7)+1</x:f>
        <x:v>18</x:v>
      </x:c>
      <x:c r="M16" s="1" t="str">
        <x:f>A16&amp;"|"&amp;B16</x:f>
        <x:v>43950|Екатеринбург</x:v>
      </x:c>
      <x:c r="N16" s="1" t="n">
        <x:f>COUNTIFS('Лист2'!$F$2:$F$505,M16)</x:f>
        <x:v>1</x:v>
      </x:c>
      <x:c r="O16" s="1"/>
      <x:c r="P16" s="1"/>
      <x:c r="Q16" s="1"/>
    </x:row>
    <x:row r="17" ht="21" customHeight="1">
      <x:c r="A17" s="5" t="n">
        <x:f>'Лист1'!A17</x:f>
        <x:v>43950</x:v>
      </x:c>
      <x:c r="B17" s="1" t="str">
        <x:f>'Лист1'!B17</x:f>
        <x:v>Казань</x:v>
      </x:c>
      <x:c r="C17" s="1" t="n">
        <x:f>'Лист1'!C17</x:f>
        <x:v>29142</x:v>
      </x:c>
      <x:c r="D17" s="6" t="n">
        <x:f>'Лист1'!D17</x:f>
        <x:v>2627595</x:v>
      </x:c>
      <x:c r="E17" s="6" t="n">
        <x:f>'Лист1'!E17</x:f>
        <x:v>2033299.2799999998</x:v>
      </x:c>
      <x:c r="F17" s="6" t="n">
        <x:f>'Лист1'!F17</x:f>
        <x:v>202681.39594615382</x:v>
      </x:c>
      <x:c r="G17" s="1" t="n">
        <x:f>IF(N17=1,SUMIFS('Лист2'!$C$2:$C$505,'Лист2'!$A$2:$A$505,A17,'Лист2'!$B$2:$B$505,B17),NA())</x:f>
        <x:v>19</x:v>
      </x:c>
      <x:c r="H17" s="1" t="n">
        <x:f>IF(N17=1,SUMIFS('Лист2'!$D$2:$D$505,'Лист2'!$A$2:$A$505,A17,'Лист2'!$B$2:$B$505,B17),NA())</x:f>
        <x:v>1676</x:v>
      </x:c>
      <x:c r="I17" s="1" t="n">
        <x:f>IF(N17=1,SUMIFS('Лист2'!$E$2:$E$505,'Лист2'!$A$2:$A$505,A17,'Лист2'!$B$2:$B$505,B17),NA())</x:f>
        <x:v>1516</x:v>
      </x:c>
      <x:c r="J17" s="5" t="n">
        <x:f>A17-WEEKDAY(A17,2)+1</x:f>
        <x:v>43948</x:v>
      </x:c>
      <x:c r="K17" s="1" t="n">
        <x:f>YEAR(J17+3)</x:f>
        <x:v>2020</x:v>
      </x:c>
      <x:c r="L17" s="1" t="n">
        <x:f>INT((J17-DATE(K17,1,4)+WEEKDAY(DATE(K17,1,4),2)-1)/7)+1</x:f>
        <x:v>18</x:v>
      </x:c>
      <x:c r="M17" s="1" t="str">
        <x:f>A17&amp;"|"&amp;B17</x:f>
        <x:v>43950|Казань</x:v>
      </x:c>
      <x:c r="N17" s="1" t="n">
        <x:f>COUNTIFS('Лист2'!$F$2:$F$505,M17)</x:f>
        <x:v>1</x:v>
      </x:c>
      <x:c r="O17" s="1"/>
      <x:c r="P17" s="1"/>
      <x:c r="Q17" s="1"/>
    </x:row>
    <x:row r="18" ht="21" customHeight="1">
      <x:c r="A18" s="5" t="n">
        <x:f>'Лист1'!A18</x:f>
        <x:v>43950</x:v>
      </x:c>
      <x:c r="B18" s="1" t="str">
        <x:f>'Лист1'!B18</x:f>
        <x:v>Кемерово</x:v>
      </x:c>
      <x:c r="C18" s="1" t="n">
        <x:f>'Лист1'!C18</x:f>
        <x:v>29319</x:v>
      </x:c>
      <x:c r="D18" s="6" t="n">
        <x:f>'Лист1'!D18</x:f>
        <x:v>2623480.5</x:v>
      </x:c>
      <x:c r="E18" s="6" t="n">
        <x:f>'Лист1'!E18</x:f>
        <x:v>2115481.9889999996</x:v>
      </x:c>
      <x:c r="F18" s="6" t="n">
        <x:f>'Лист1'!F18</x:f>
        <x:v>139204.6</x:v>
      </x:c>
      <x:c r="G18" s="1" t="n">
        <x:f>IF(N18=1,SUMIFS('Лист2'!$C$2:$C$505,'Лист2'!$A$2:$A$505,A18,'Лист2'!$B$2:$B$505,B18),NA())</x:f>
        <x:v>18</x:v>
      </x:c>
      <x:c r="H18" s="1" t="n">
        <x:f>IF(N18=1,SUMIFS('Лист2'!$D$2:$D$505,'Лист2'!$A$2:$A$505,A18,'Лист2'!$B$2:$B$505,B18),NA())</x:f>
        <x:v>1684</x:v>
      </x:c>
      <x:c r="I18" s="1" t="n">
        <x:f>IF(N18=1,SUMIFS('Лист2'!$E$2:$E$505,'Лист2'!$A$2:$A$505,A18,'Лист2'!$B$2:$B$505,B18),NA())</x:f>
        <x:v>1528</x:v>
      </x:c>
      <x:c r="J18" s="5" t="n">
        <x:f>A18-WEEKDAY(A18,2)+1</x:f>
        <x:v>43948</x:v>
      </x:c>
      <x:c r="K18" s="1" t="n">
        <x:f>YEAR(J18+3)</x:f>
        <x:v>2020</x:v>
      </x:c>
      <x:c r="L18" s="1" t="n">
        <x:f>INT((J18-DATE(K18,1,4)+WEEKDAY(DATE(K18,1,4),2)-1)/7)+1</x:f>
        <x:v>18</x:v>
      </x:c>
      <x:c r="M18" s="1" t="str">
        <x:f>A18&amp;"|"&amp;B18</x:f>
        <x:v>43950|Кемерово</x:v>
      </x:c>
      <x:c r="N18" s="1" t="n">
        <x:f>COUNTIFS('Лист2'!$F$2:$F$505,M18)</x:f>
        <x:v>1</x:v>
      </x:c>
      <x:c r="O18" s="1"/>
      <x:c r="P18" s="1"/>
      <x:c r="Q18" s="1"/>
    </x:row>
    <x:row r="19" ht="21" customHeight="1">
      <x:c r="A19" s="5" t="n">
        <x:f>'Лист1'!A19</x:f>
        <x:v>43950</x:v>
      </x:c>
      <x:c r="B19" s="1" t="str">
        <x:f>'Лист1'!B19</x:f>
        <x:v>Краснодар</x:v>
      </x:c>
      <x:c r="C19" s="1" t="n">
        <x:f>'Лист1'!C19</x:f>
        <x:v>25816.5</x:v>
      </x:c>
      <x:c r="D19" s="6" t="n">
        <x:f>'Лист1'!D19</x:f>
        <x:v>2360914.5</x:v>
      </x:c>
      <x:c r="E19" s="6" t="n">
        <x:f>'Лист1'!E19</x:f>
        <x:v>1868643.6719999998</x:v>
      </x:c>
      <x:c r="F19" s="6" t="n">
        <x:f>'Лист1'!F19</x:f>
        <x:v>137636.84266153845</x:v>
      </x:c>
      <x:c r="G19" s="1" t="n">
        <x:f>IF(N19=1,SUMIFS('Лист2'!$C$2:$C$505,'Лист2'!$A$2:$A$505,A19,'Лист2'!$B$2:$B$505,B19),NA())</x:f>
        <x:v>18</x:v>
      </x:c>
      <x:c r="H19" s="1" t="n">
        <x:f>IF(N19=1,SUMIFS('Лист2'!$D$2:$D$505,'Лист2'!$A$2:$A$505,A19,'Лист2'!$B$2:$B$505,B19),NA())</x:f>
        <x:v>1599</x:v>
      </x:c>
      <x:c r="I19" s="1" t="n">
        <x:f>IF(N19=1,SUMIFS('Лист2'!$E$2:$E$505,'Лист2'!$A$2:$A$505,A19,'Лист2'!$B$2:$B$505,B19),NA())</x:f>
        <x:v>1450</x:v>
      </x:c>
      <x:c r="J19" s="5" t="n">
        <x:f>A19-WEEKDAY(A19,2)+1</x:f>
        <x:v>43948</x:v>
      </x:c>
      <x:c r="K19" s="1" t="n">
        <x:f>YEAR(J19+3)</x:f>
        <x:v>2020</x:v>
      </x:c>
      <x:c r="L19" s="1" t="n">
        <x:f>INT((J19-DATE(K19,1,4)+WEEKDAY(DATE(K19,1,4),2)-1)/7)+1</x:f>
        <x:v>18</x:v>
      </x:c>
      <x:c r="M19" s="1" t="str">
        <x:f>A19&amp;"|"&amp;B19</x:f>
        <x:v>43950|Краснодар</x:v>
      </x:c>
      <x:c r="N19" s="1" t="n">
        <x:f>COUNTIFS('Лист2'!$F$2:$F$505,M19)</x:f>
        <x:v>1</x:v>
      </x:c>
      <x:c r="O19" s="1"/>
      <x:c r="P19" s="1"/>
      <x:c r="Q19" s="1"/>
    </x:row>
    <x:row r="20" ht="21" customHeight="1">
      <x:c r="A20" s="5" t="n">
        <x:f>'Лист1'!A20</x:f>
        <x:v>43950</x:v>
      </x:c>
      <x:c r="B20" s="1" t="str">
        <x:f>'Лист1'!B20</x:f>
        <x:v>Москва Восток</x:v>
      </x:c>
      <x:c r="C20" s="1" t="n">
        <x:f>'Лист1'!C20</x:f>
        <x:v>203209.5</x:v>
      </x:c>
      <x:c r="D20" s="6" t="n">
        <x:f>'Лист1'!D20</x:f>
        <x:v>20871391.5</x:v>
      </x:c>
      <x:c r="E20" s="6" t="n">
        <x:f>'Лист1'!E20</x:f>
        <x:v>15206983.089</x:v>
      </x:c>
      <x:c r="F20" s="6" t="n">
        <x:f>'Лист1'!F20</x:f>
        <x:v>284467.6615384616</x:v>
      </x:c>
      <x:c r="G20" s="1" t="n">
        <x:f>IF(N20=1,SUMIFS('Лист2'!$C$2:$C$505,'Лист2'!$A$2:$A$505,A20,'Лист2'!$B$2:$B$505,B20),NA())</x:f>
        <x:v>54</x:v>
      </x:c>
      <x:c r="H20" s="1" t="n">
        <x:f>IF(N20=1,SUMIFS('Лист2'!$D$2:$D$505,'Лист2'!$A$2:$A$505,A20,'Лист2'!$B$2:$B$505,B20),NA())</x:f>
        <x:v>12747</x:v>
      </x:c>
      <x:c r="I20" s="1" t="n">
        <x:f>IF(N20=1,SUMIFS('Лист2'!$E$2:$E$505,'Лист2'!$A$2:$A$505,A20,'Лист2'!$B$2:$B$505,B20),NA())</x:f>
        <x:v>11884</x:v>
      </x:c>
      <x:c r="J20" s="5" t="n">
        <x:f>A20-WEEKDAY(A20,2)+1</x:f>
        <x:v>43948</x:v>
      </x:c>
      <x:c r="K20" s="1" t="n">
        <x:f>YEAR(J20+3)</x:f>
        <x:v>2020</x:v>
      </x:c>
      <x:c r="L20" s="1" t="n">
        <x:f>INT((J20-DATE(K20,1,4)+WEEKDAY(DATE(K20,1,4),2)-1)/7)+1</x:f>
        <x:v>18</x:v>
      </x:c>
      <x:c r="M20" s="1" t="str">
        <x:f>A20&amp;"|"&amp;B20</x:f>
        <x:v>43950|Москва Восток</x:v>
      </x:c>
      <x:c r="N20" s="1" t="n">
        <x:f>COUNTIFS('Лист2'!$F$2:$F$505,M20)</x:f>
        <x:v>1</x:v>
      </x:c>
      <x:c r="O20" s="1"/>
      <x:c r="P20" s="1"/>
      <x:c r="Q20" s="1"/>
    </x:row>
    <x:row r="21" ht="21" customHeight="1">
      <x:c r="A21" s="5" t="n">
        <x:f>'Лист1'!A21</x:f>
        <x:v>43950</x:v>
      </x:c>
      <x:c r="B21" s="1" t="str">
        <x:f>'Лист1'!B21</x:f>
        <x:v>Москва Запад</x:v>
      </x:c>
      <x:c r="C21" s="1" t="n">
        <x:f>'Лист1'!C21</x:f>
        <x:v>208351.5</x:v>
      </x:c>
      <x:c r="D21" s="6" t="n">
        <x:f>'Лист1'!D21</x:f>
        <x:v>21615333</x:v>
      </x:c>
      <x:c r="E21" s="6" t="n">
        <x:f>'Лист1'!E21</x:f>
        <x:v>15729720.814999998</x:v>
      </x:c>
      <x:c r="F21" s="6" t="n">
        <x:f>'Лист1'!F21</x:f>
        <x:v>273156.72</x:v>
      </x:c>
      <x:c r="G21" s="1" t="n">
        <x:f>IF(N21=1,SUMIFS('Лист2'!$C$2:$C$505,'Лист2'!$A$2:$A$505,A21,'Лист2'!$B$2:$B$505,B21),NA())</x:f>
        <x:v>59</x:v>
      </x:c>
      <x:c r="H21" s="1" t="n">
        <x:f>IF(N21=1,SUMIFS('Лист2'!$D$2:$D$505,'Лист2'!$A$2:$A$505,A21,'Лист2'!$B$2:$B$505,B21),NA())</x:f>
        <x:v>13186</x:v>
      </x:c>
      <x:c r="I21" s="1" t="n">
        <x:f>IF(N21=1,SUMIFS('Лист2'!$E$2:$E$505,'Лист2'!$A$2:$A$505,A21,'Лист2'!$B$2:$B$505,B21),NA())</x:f>
        <x:v>12251</x:v>
      </x:c>
      <x:c r="J21" s="5" t="n">
        <x:f>A21-WEEKDAY(A21,2)+1</x:f>
        <x:v>43948</x:v>
      </x:c>
      <x:c r="K21" s="1" t="n">
        <x:f>YEAR(J21+3)</x:f>
        <x:v>2020</x:v>
      </x:c>
      <x:c r="L21" s="1" t="n">
        <x:f>INT((J21-DATE(K21,1,4)+WEEKDAY(DATE(K21,1,4),2)-1)/7)+1</x:f>
        <x:v>18</x:v>
      </x:c>
      <x:c r="M21" s="1" t="str">
        <x:f>A21&amp;"|"&amp;B21</x:f>
        <x:v>43950|Москва Запад</x:v>
      </x:c>
      <x:c r="N21" s="1" t="n">
        <x:f>COUNTIFS('Лист2'!$F$2:$F$505,M21)</x:f>
        <x:v>1</x:v>
      </x:c>
      <x:c r="O21" s="1"/>
      <x:c r="P21" s="1"/>
      <x:c r="Q21" s="1"/>
    </x:row>
    <x:row r="22" ht="21" customHeight="1">
      <x:c r="A22" s="5" t="n">
        <x:f>'Лист1'!A22</x:f>
        <x:v>43950</x:v>
      </x:c>
      <x:c r="B22" s="1" t="str">
        <x:f>'Лист1'!B22</x:f>
        <x:v>Нижний Новгород</x:v>
      </x:c>
      <x:c r="C22" s="1" t="n">
        <x:f>'Лист1'!C22</x:f>
        <x:v>25917</x:v>
      </x:c>
      <x:c r="D22" s="6" t="n">
        <x:f>'Лист1'!D22</x:f>
        <x:v>2397588</x:v>
      </x:c>
      <x:c r="E22" s="6" t="n">
        <x:f>'Лист1'!E22</x:f>
        <x:v>1937222.0459999999</x:v>
      </x:c>
      <x:c r="F22" s="6" t="n">
        <x:f>'Лист1'!F22</x:f>
        <x:v>159472.57584615384</x:v>
      </x:c>
      <x:c r="G22" s="1" t="n">
        <x:f>IF(N22=1,SUMIFS('Лист2'!$C$2:$C$505,'Лист2'!$A$2:$A$505,A22,'Лист2'!$B$2:$B$505,B22),NA())</x:f>
        <x:v>18</x:v>
      </x:c>
      <x:c r="H22" s="1" t="n">
        <x:f>IF(N22=1,SUMIFS('Лист2'!$D$2:$D$505,'Лист2'!$A$2:$A$505,A22,'Лист2'!$B$2:$B$505,B22),NA())</x:f>
        <x:v>1534</x:v>
      </x:c>
      <x:c r="I22" s="1" t="n">
        <x:f>IF(N22=1,SUMIFS('Лист2'!$E$2:$E$505,'Лист2'!$A$2:$A$505,A22,'Лист2'!$B$2:$B$505,B22),NA())</x:f>
        <x:v>1369</x:v>
      </x:c>
      <x:c r="J22" s="5" t="n">
        <x:f>A22-WEEKDAY(A22,2)+1</x:f>
        <x:v>43948</x:v>
      </x:c>
      <x:c r="K22" s="1" t="n">
        <x:f>YEAR(J22+3)</x:f>
        <x:v>2020</x:v>
      </x:c>
      <x:c r="L22" s="1" t="n">
        <x:f>INT((J22-DATE(K22,1,4)+WEEKDAY(DATE(K22,1,4),2)-1)/7)+1</x:f>
        <x:v>18</x:v>
      </x:c>
      <x:c r="M22" s="1" t="str">
        <x:f>A22&amp;"|"&amp;B22</x:f>
        <x:v>43950|Нижний Новгород</x:v>
      </x:c>
      <x:c r="N22" s="1" t="n">
        <x:f>COUNTIFS('Лист2'!$F$2:$F$505,M22)</x:f>
        <x:v>1</x:v>
      </x:c>
      <x:c r="O22" s="1"/>
      <x:c r="P22" s="1"/>
      <x:c r="Q22" s="1"/>
    </x:row>
    <x:row r="23" ht="21" customHeight="1">
      <x:c r="A23" s="5" t="n">
        <x:f>'Лист1'!A23</x:f>
        <x:v>43950</x:v>
      </x:c>
      <x:c r="B23" s="1" t="str">
        <x:f>'Лист1'!B23</x:f>
        <x:v>Новосибирск</x:v>
      </x:c>
      <x:c r="C23" s="1" t="n">
        <x:f>'Лист1'!C23</x:f>
        <x:v>12250.5</x:v>
      </x:c>
      <x:c r="D23" s="6" t="n">
        <x:f>'Лист1'!D23</x:f>
        <x:v>981519</x:v>
      </x:c>
      <x:c r="E23" s="6" t="n">
        <x:f>'Лист1'!E23</x:f>
        <x:v>867080.682</x:v>
      </x:c>
      <x:c r="F23" s="6" t="n">
        <x:f>'Лист1'!F23</x:f>
        <x:v>102160.21538461538</x:v>
      </x:c>
      <x:c r="G23" s="1" t="n">
        <x:f>IF(N23=1,SUMIFS('Лист2'!$C$2:$C$505,'Лист2'!$A$2:$A$505,A23,'Лист2'!$B$2:$B$505,B23),NA())</x:f>
        <x:v>15</x:v>
      </x:c>
      <x:c r="H23" s="1" t="n">
        <x:f>IF(N23=1,SUMIFS('Лист2'!$D$2:$D$505,'Лист2'!$A$2:$A$505,A23,'Лист2'!$B$2:$B$505,B23),NA())</x:f>
        <x:v>659</x:v>
      </x:c>
      <x:c r="I23" s="1" t="n">
        <x:f>IF(N23=1,SUMIFS('Лист2'!$E$2:$E$505,'Лист2'!$A$2:$A$505,A23,'Лист2'!$B$2:$B$505,B23),NA())</x:f>
        <x:v>575</x:v>
      </x:c>
      <x:c r="J23" s="5" t="n">
        <x:f>A23-WEEKDAY(A23,2)+1</x:f>
        <x:v>43948</x:v>
      </x:c>
      <x:c r="K23" s="1" t="n">
        <x:f>YEAR(J23+3)</x:f>
        <x:v>2020</x:v>
      </x:c>
      <x:c r="L23" s="1" t="n">
        <x:f>INT((J23-DATE(K23,1,4)+WEEKDAY(DATE(K23,1,4),2)-1)/7)+1</x:f>
        <x:v>18</x:v>
      </x:c>
      <x:c r="M23" s="1" t="str">
        <x:f>A23&amp;"|"&amp;B23</x:f>
        <x:v>43950|Новосибирск</x:v>
      </x:c>
      <x:c r="N23" s="1" t="n">
        <x:f>COUNTIFS('Лист2'!$F$2:$F$505,M23)</x:f>
        <x:v>1</x:v>
      </x:c>
      <x:c r="O23" s="1"/>
      <x:c r="P23" s="1"/>
      <x:c r="Q23" s="1"/>
    </x:row>
    <x:row r="24" ht="21" customHeight="1">
      <x:c r="A24" s="5" t="n">
        <x:f>'Лист1'!A24</x:f>
        <x:v>43950</x:v>
      </x:c>
      <x:c r="B24" s="1" t="str">
        <x:f>'Лист1'!B24</x:f>
        <x:v>Пермь</x:v>
      </x:c>
      <x:c r="C24" s="1" t="n">
        <x:f>'Лист1'!C24</x:f>
        <x:v>13014</x:v>
      </x:c>
      <x:c r="D24" s="6" t="n">
        <x:f>'Лист1'!D24</x:f>
        <x:v>1115992.5</x:v>
      </x:c>
      <x:c r="E24" s="6" t="n">
        <x:f>'Лист1'!E24</x:f>
        <x:v>928035.2359999999</x:v>
      </x:c>
      <x:c r="F24" s="6" t="n">
        <x:f>'Лист1'!F24</x:f>
        <x:v>185811.06153846154</x:v>
      </x:c>
      <x:c r="G24" s="1" t="n">
        <x:f>IF(N24=1,SUMIFS('Лист2'!$C$2:$C$505,'Лист2'!$A$2:$A$505,A24,'Лист2'!$B$2:$B$505,B24),NA())</x:f>
        <x:v>15</x:v>
      </x:c>
      <x:c r="H24" s="1" t="n">
        <x:f>IF(N24=1,SUMIFS('Лист2'!$D$2:$D$505,'Лист2'!$A$2:$A$505,A24,'Лист2'!$B$2:$B$505,B24),NA())</x:f>
        <x:v>786</x:v>
      </x:c>
      <x:c r="I24" s="1" t="n">
        <x:f>IF(N24=1,SUMIFS('Лист2'!$E$2:$E$505,'Лист2'!$A$2:$A$505,A24,'Лист2'!$B$2:$B$505,B24),NA())</x:f>
        <x:v>695</x:v>
      </x:c>
      <x:c r="J24" s="5" t="n">
        <x:f>A24-WEEKDAY(A24,2)+1</x:f>
        <x:v>43948</x:v>
      </x:c>
      <x:c r="K24" s="1" t="n">
        <x:f>YEAR(J24+3)</x:f>
        <x:v>2020</x:v>
      </x:c>
      <x:c r="L24" s="1" t="n">
        <x:f>INT((J24-DATE(K24,1,4)+WEEKDAY(DATE(K24,1,4),2)-1)/7)+1</x:f>
        <x:v>18</x:v>
      </x:c>
      <x:c r="M24" s="1" t="str">
        <x:f>A24&amp;"|"&amp;B24</x:f>
        <x:v>43950|Пермь</x:v>
      </x:c>
      <x:c r="N24" s="1" t="n">
        <x:f>COUNTIFS('Лист2'!$F$2:$F$505,M24)</x:f>
        <x:v>1</x:v>
      </x:c>
      <x:c r="O24" s="1"/>
      <x:c r="P24" s="1"/>
      <x:c r="Q24" s="1"/>
    </x:row>
    <x:row r="25" ht="21" customHeight="1">
      <x:c r="A25" s="5" t="n">
        <x:f>'Лист1'!A25</x:f>
        <x:v>43950</x:v>
      </x:c>
      <x:c r="B25" s="1" t="str">
        <x:f>'Лист1'!B25</x:f>
        <x:v>Санкт-Петербург Север</x:v>
      </x:c>
      <x:c r="C25" s="1" t="n">
        <x:f>'Лист1'!C25</x:f>
        <x:v>387220.5</x:v>
      </x:c>
      <x:c r="D25" s="6" t="n">
        <x:f>'Лист1'!D25</x:f>
        <x:v>41559384</x:v>
      </x:c>
      <x:c r="E25" s="6" t="n">
        <x:f>'Лист1'!E25</x:f>
        <x:v>30476170.214999996</x:v>
      </x:c>
      <x:c r="F25" s="6" t="n">
        <x:f>'Лист1'!F25</x:f>
        <x:v>642893.5665692308</x:v>
      </x:c>
      <x:c r="G25" s="1" t="n">
        <x:f>IF(N25=1,SUMIFS('Лист2'!$C$2:$C$505,'Лист2'!$A$2:$A$505,A25,'Лист2'!$B$2:$B$505,B25),NA())</x:f>
        <x:v>125</x:v>
      </x:c>
      <x:c r="H25" s="1" t="n">
        <x:f>IF(N25=1,SUMIFS('Лист2'!$D$2:$D$505,'Лист2'!$A$2:$A$505,A25,'Лист2'!$B$2:$B$505,B25),NA())</x:f>
        <x:v>21863</x:v>
      </x:c>
      <x:c r="I25" s="1" t="n">
        <x:f>IF(N25=1,SUMIFS('Лист2'!$E$2:$E$505,'Лист2'!$A$2:$A$505,A25,'Лист2'!$B$2:$B$505,B25),NA())</x:f>
        <x:v>20160</x:v>
      </x:c>
      <x:c r="J25" s="5" t="n">
        <x:f>A25-WEEKDAY(A25,2)+1</x:f>
        <x:v>43948</x:v>
      </x:c>
      <x:c r="K25" s="1" t="n">
        <x:f>YEAR(J25+3)</x:f>
        <x:v>2020</x:v>
      </x:c>
      <x:c r="L25" s="1" t="n">
        <x:f>INT((J25-DATE(K25,1,4)+WEEKDAY(DATE(K25,1,4),2)-1)/7)+1</x:f>
        <x:v>18</x:v>
      </x:c>
      <x:c r="M25" s="1" t="str">
        <x:f>A25&amp;"|"&amp;B25</x:f>
        <x:v>43950|Санкт-Петербург Север</x:v>
      </x:c>
      <x:c r="N25" s="1" t="n">
        <x:f>COUNTIFS('Лист2'!$F$2:$F$505,M25)</x:f>
        <x:v>1</x:v>
      </x:c>
      <x:c r="O25" s="1"/>
      <x:c r="P25" s="1"/>
      <x:c r="Q25" s="1"/>
    </x:row>
    <x:row r="26" ht="21" customHeight="1">
      <x:c r="A26" s="5" t="n">
        <x:f>'Лист1'!A26</x:f>
        <x:v>43950</x:v>
      </x:c>
      <x:c r="B26" s="1" t="str">
        <x:f>'Лист1'!B26</x:f>
        <x:v>Санкт-Петербург Юг</x:v>
      </x:c>
      <x:c r="C26" s="1" t="n">
        <x:f>'Лист1'!C26</x:f>
        <x:v>298059</x:v>
      </x:c>
      <x:c r="D26" s="6" t="n">
        <x:f>'Лист1'!D26</x:f>
        <x:v>30869287.5</x:v>
      </x:c>
      <x:c r="E26" s="6" t="n">
        <x:f>'Лист1'!E26</x:f>
        <x:v>22717731.617999997</x:v>
      </x:c>
      <x:c r="F26" s="6" t="n">
        <x:f>'Лист1'!F26</x:f>
        <x:v>661329.1783384614</x:v>
      </x:c>
      <x:c r="G26" s="1" t="n">
        <x:f>IF(N26=1,SUMIFS('Лист2'!$C$2:$C$505,'Лист2'!$A$2:$A$505,A26,'Лист2'!$B$2:$B$505,B26),NA())</x:f>
        <x:v>128</x:v>
      </x:c>
      <x:c r="H26" s="1" t="n">
        <x:f>IF(N26=1,SUMIFS('Лист2'!$D$2:$D$505,'Лист2'!$A$2:$A$505,A26,'Лист2'!$B$2:$B$505,B26),NA())</x:f>
        <x:v>17368</x:v>
      </x:c>
      <x:c r="I26" s="1" t="n">
        <x:f>IF(N26=1,SUMIFS('Лист2'!$E$2:$E$505,'Лист2'!$A$2:$A$505,A26,'Лист2'!$B$2:$B$505,B26),NA())</x:f>
        <x:v>16077</x:v>
      </x:c>
      <x:c r="J26" s="5" t="n">
        <x:f>A26-WEEKDAY(A26,2)+1</x:f>
        <x:v>43948</x:v>
      </x:c>
      <x:c r="K26" s="1" t="n">
        <x:f>YEAR(J26+3)</x:f>
        <x:v>2020</x:v>
      </x:c>
      <x:c r="L26" s="1" t="n">
        <x:f>INT((J26-DATE(K26,1,4)+WEEKDAY(DATE(K26,1,4),2)-1)/7)+1</x:f>
        <x:v>18</x:v>
      </x:c>
      <x:c r="M26" s="1" t="str">
        <x:f>A26&amp;"|"&amp;B26</x:f>
        <x:v>43950|Санкт-Петербург Юг</x:v>
      </x:c>
      <x:c r="N26" s="1" t="n">
        <x:f>COUNTIFS('Лист2'!$F$2:$F$505,M26)</x:f>
        <x:v>1</x:v>
      </x:c>
      <x:c r="O26" s="1"/>
      <x:c r="P26" s="1"/>
      <x:c r="Q26" s="1"/>
    </x:row>
    <x:row r="27" ht="21" customHeight="1">
      <x:c r="A27" s="5" t="n">
        <x:f>'Лист1'!A27</x:f>
        <x:v>43950</x:v>
      </x:c>
      <x:c r="B27" s="1" t="str">
        <x:f>'Лист1'!B27</x:f>
        <x:v>Тольятти</x:v>
      </x:c>
      <x:c r="C27" s="1" t="n">
        <x:f>'Лист1'!C27</x:f>
        <x:v>10840.5</x:v>
      </x:c>
      <x:c r="D27" s="6" t="n">
        <x:f>'Лист1'!D27</x:f>
        <x:v>797919</x:v>
      </x:c>
      <x:c r="E27" s="6" t="n">
        <x:f>'Лист1'!E27</x:f>
        <x:v>783753.2949999999</x:v>
      </x:c>
      <x:c r="F27" s="6" t="n">
        <x:f>'Лист1'!F27</x:f>
        <x:v>58214.93076923077</x:v>
      </x:c>
      <x:c r="G27" s="1" t="n">
        <x:f>IF(N27=1,SUMIFS('Лист2'!$C$2:$C$505,'Лист2'!$A$2:$A$505,A27,'Лист2'!$B$2:$B$505,B27),NA())</x:f>
        <x:v>10</x:v>
      </x:c>
      <x:c r="H27" s="1" t="n">
        <x:f>IF(N27=1,SUMIFS('Лист2'!$D$2:$D$505,'Лист2'!$A$2:$A$505,A27,'Лист2'!$B$2:$B$505,B27),NA())</x:f>
        <x:v>502</x:v>
      </x:c>
      <x:c r="I27" s="1" t="n">
        <x:f>IF(N27=1,SUMIFS('Лист2'!$E$2:$E$505,'Лист2'!$A$2:$A$505,A27,'Лист2'!$B$2:$B$505,B27),NA())</x:f>
        <x:v>433</x:v>
      </x:c>
      <x:c r="J27" s="5" t="n">
        <x:f>A27-WEEKDAY(A27,2)+1</x:f>
        <x:v>43948</x:v>
      </x:c>
      <x:c r="K27" s="1" t="n">
        <x:f>YEAR(J27+3)</x:f>
        <x:v>2020</x:v>
      </x:c>
      <x:c r="L27" s="1" t="n">
        <x:f>INT((J27-DATE(K27,1,4)+WEEKDAY(DATE(K27,1,4),2)-1)/7)+1</x:f>
        <x:v>18</x:v>
      </x:c>
      <x:c r="M27" s="1" t="str">
        <x:f>A27&amp;"|"&amp;B27</x:f>
        <x:v>43950|Тольятти</x:v>
      </x:c>
      <x:c r="N27" s="1" t="n">
        <x:f>COUNTIFS('Лист2'!$F$2:$F$505,M27)</x:f>
        <x:v>1</x:v>
      </x:c>
      <x:c r="O27" s="1"/>
      <x:c r="P27" s="1"/>
      <x:c r="Q27" s="1"/>
    </x:row>
    <x:row r="28" ht="21" customHeight="1">
      <x:c r="A28" s="5" t="n">
        <x:f>'Лист1'!A28</x:f>
        <x:v>43951</x:v>
      </x:c>
      <x:c r="B28" s="1" t="str">
        <x:f>'Лист1'!B28</x:f>
        <x:v>Волгоград</x:v>
      </x:c>
      <x:c r="C28" s="1" t="n">
        <x:f>'Лист1'!C28</x:f>
        <x:v>78235.5</x:v>
      </x:c>
      <x:c r="D28" s="6" t="n">
        <x:f>'Лист1'!D28</x:f>
        <x:v>6819594</x:v>
      </x:c>
      <x:c r="E28" s="6" t="n">
        <x:f>'Лист1'!E28</x:f>
        <x:v>5260171.534999999</x:v>
      </x:c>
      <x:c r="F28" s="6" t="n">
        <x:f>'Лист1'!F28</x:f>
        <x:v>70931.81667692307</x:v>
      </x:c>
      <x:c r="G28" s="1" t="n">
        <x:f>IF(N28=1,SUMIFS('Лист2'!$C$2:$C$505,'Лист2'!$A$2:$A$505,A28,'Лист2'!$B$2:$B$505,B28),NA())</x:f>
        <x:v>36</x:v>
      </x:c>
      <x:c r="H28" s="1" t="n">
        <x:f>IF(N28=1,SUMIFS('Лист2'!$D$2:$D$505,'Лист2'!$A$2:$A$505,A28,'Лист2'!$B$2:$B$505,B28),NA())</x:f>
        <x:v>5143</x:v>
      </x:c>
      <x:c r="I28" s="1" t="n">
        <x:f>IF(N28=1,SUMIFS('Лист2'!$E$2:$E$505,'Лист2'!$A$2:$A$505,A28,'Лист2'!$B$2:$B$505,B28),NA())</x:f>
        <x:v>4715</x:v>
      </x:c>
      <x:c r="J28" s="5" t="n">
        <x:f>A28-WEEKDAY(A28,2)+1</x:f>
        <x:v>43948</x:v>
      </x:c>
      <x:c r="K28" s="1" t="n">
        <x:f>YEAR(J28+3)</x:f>
        <x:v>2020</x:v>
      </x:c>
      <x:c r="L28" s="1" t="n">
        <x:f>INT((J28-DATE(K28,1,4)+WEEKDAY(DATE(K28,1,4),2)-1)/7)+1</x:f>
        <x:v>18</x:v>
      </x:c>
      <x:c r="M28" s="1" t="str">
        <x:f>A28&amp;"|"&amp;B28</x:f>
        <x:v>43951|Волгоград</x:v>
      </x:c>
      <x:c r="N28" s="1" t="n">
        <x:f>COUNTIFS('Лист2'!$F$2:$F$505,M28)</x:f>
        <x:v>1</x:v>
      </x:c>
      <x:c r="O28" s="1"/>
      <x:c r="P28" s="1"/>
      <x:c r="Q28" s="1"/>
    </x:row>
    <x:row r="29" ht="21" customHeight="1">
      <x:c r="A29" s="5" t="n">
        <x:f>'Лист1'!A29</x:f>
        <x:v>43951</x:v>
      </x:c>
      <x:c r="B29" s="1" t="str">
        <x:f>'Лист1'!B29</x:f>
        <x:v>Екатеринбург</x:v>
      </x:c>
      <x:c r="C29" s="1" t="n">
        <x:f>'Лист1'!C29</x:f>
        <x:v>77565</x:v>
      </x:c>
      <x:c r="D29" s="6" t="n">
        <x:f>'Лист1'!D29</x:f>
        <x:v>7023727.5</x:v>
      </x:c>
      <x:c r="E29" s="6" t="n">
        <x:f>'Лист1'!E29</x:f>
        <x:v>5349682.484999999</x:v>
      </x:c>
      <x:c r="F29" s="6" t="n">
        <x:f>'Лист1'!F29</x:f>
        <x:v>31578.20769230769</x:v>
      </x:c>
      <x:c r="G29" s="1" t="n">
        <x:f>IF(N29=1,SUMIFS('Лист2'!$C$2:$C$505,'Лист2'!$A$2:$A$505,A29,'Лист2'!$B$2:$B$505,B29),NA())</x:f>
        <x:v>31</x:v>
      </x:c>
      <x:c r="H29" s="1" t="n">
        <x:f>IF(N29=1,SUMIFS('Лист2'!$D$2:$D$505,'Лист2'!$A$2:$A$505,A29,'Лист2'!$B$2:$B$505,B29),NA())</x:f>
        <x:v>5120</x:v>
      </x:c>
      <x:c r="I29" s="1" t="n">
        <x:f>IF(N29=1,SUMIFS('Лист2'!$E$2:$E$505,'Лист2'!$A$2:$A$505,A29,'Лист2'!$B$2:$B$505,B29),NA())</x:f>
        <x:v>4737</x:v>
      </x:c>
      <x:c r="J29" s="5" t="n">
        <x:f>A29-WEEKDAY(A29,2)+1</x:f>
        <x:v>43948</x:v>
      </x:c>
      <x:c r="K29" s="1" t="n">
        <x:f>YEAR(J29+3)</x:f>
        <x:v>2020</x:v>
      </x:c>
      <x:c r="L29" s="1" t="n">
        <x:f>INT((J29-DATE(K29,1,4)+WEEKDAY(DATE(K29,1,4),2)-1)/7)+1</x:f>
        <x:v>18</x:v>
      </x:c>
      <x:c r="M29" s="1" t="str">
        <x:f>A29&amp;"|"&amp;B29</x:f>
        <x:v>43951|Екатеринбург</x:v>
      </x:c>
      <x:c r="N29" s="1" t="n">
        <x:f>COUNTIFS('Лист2'!$F$2:$F$505,M29)</x:f>
        <x:v>1</x:v>
      </x:c>
      <x:c r="O29" s="1"/>
      <x:c r="P29" s="1"/>
      <x:c r="Q29" s="1"/>
    </x:row>
    <x:row r="30" ht="21" customHeight="1">
      <x:c r="A30" s="5" t="n">
        <x:f>'Лист1'!A30</x:f>
        <x:v>43951</x:v>
      </x:c>
      <x:c r="B30" s="1" t="str">
        <x:f>'Лист1'!B30</x:f>
        <x:v>Казань</x:v>
      </x:c>
      <x:c r="C30" s="1" t="n">
        <x:f>'Лист1'!C30</x:f>
        <x:v>31231.5</x:v>
      </x:c>
      <x:c r="D30" s="6" t="n">
        <x:f>'Лист1'!D30</x:f>
        <x:v>2853310.5</x:v>
      </x:c>
      <x:c r="E30" s="6" t="n">
        <x:f>'Лист1'!E30</x:f>
        <x:v>2211817.6569999997</x:v>
      </x:c>
      <x:c r="F30" s="6" t="n">
        <x:f>'Лист1'!F30</x:f>
        <x:v>63441.68461538461</x:v>
      </x:c>
      <x:c r="G30" s="1" t="n">
        <x:f>IF(N30=1,SUMIFS('Лист2'!$C$2:$C$505,'Лист2'!$A$2:$A$505,A30,'Лист2'!$B$2:$B$505,B30),NA())</x:f>
        <x:v>20</x:v>
      </x:c>
      <x:c r="H30" s="1" t="n">
        <x:f>IF(N30=1,SUMIFS('Лист2'!$D$2:$D$505,'Лист2'!$A$2:$A$505,A30,'Лист2'!$B$2:$B$505,B30),NA())</x:f>
        <x:v>1756</x:v>
      </x:c>
      <x:c r="I30" s="1" t="n">
        <x:f>IF(N30=1,SUMIFS('Лист2'!$E$2:$E$505,'Лист2'!$A$2:$A$505,A30,'Лист2'!$B$2:$B$505,B30),NA())</x:f>
        <x:v>1586</x:v>
      </x:c>
      <x:c r="J30" s="5" t="n">
        <x:f>A30-WEEKDAY(A30,2)+1</x:f>
        <x:v>43948</x:v>
      </x:c>
      <x:c r="K30" s="1" t="n">
        <x:f>YEAR(J30+3)</x:f>
        <x:v>2020</x:v>
      </x:c>
      <x:c r="L30" s="1" t="n">
        <x:f>INT((J30-DATE(K30,1,4)+WEEKDAY(DATE(K30,1,4),2)-1)/7)+1</x:f>
        <x:v>18</x:v>
      </x:c>
      <x:c r="M30" s="1" t="str">
        <x:f>A30&amp;"|"&amp;B30</x:f>
        <x:v>43951|Казань</x:v>
      </x:c>
      <x:c r="N30" s="1" t="n">
        <x:f>COUNTIFS('Лист2'!$F$2:$F$505,M30)</x:f>
        <x:v>1</x:v>
      </x:c>
      <x:c r="O30" s="1"/>
      <x:c r="P30" s="1"/>
      <x:c r="Q30" s="1"/>
    </x:row>
    <x:row r="31" ht="21" customHeight="1">
      <x:c r="A31" s="5" t="n">
        <x:f>'Лист1'!A31</x:f>
        <x:v>43951</x:v>
      </x:c>
      <x:c r="B31" s="1" t="str">
        <x:f>'Лист1'!B31</x:f>
        <x:v>Кемерово</x:v>
      </x:c>
      <x:c r="C31" s="1" t="n">
        <x:f>'Лист1'!C31</x:f>
        <x:v>30445.5</x:v>
      </x:c>
      <x:c r="D31" s="6" t="n">
        <x:f>'Лист1'!D31</x:f>
        <x:v>2817196.5</x:v>
      </x:c>
      <x:c r="E31" s="6" t="n">
        <x:f>'Лист1'!E31</x:f>
        <x:v>2244503.1999999997</x:v>
      </x:c>
      <x:c r="F31" s="6" t="n">
        <x:f>'Лист1'!F31</x:f>
        <x:v>203231.46096923074</x:v>
      </x:c>
      <x:c r="G31" s="1" t="n">
        <x:f>IF(N31=1,SUMIFS('Лист2'!$C$2:$C$505,'Лист2'!$A$2:$A$505,A31,'Лист2'!$B$2:$B$505,B31),NA())</x:f>
        <x:v>19</x:v>
      </x:c>
      <x:c r="H31" s="1" t="n">
        <x:f>IF(N31=1,SUMIFS('Лист2'!$D$2:$D$505,'Лист2'!$A$2:$A$505,A31,'Лист2'!$B$2:$B$505,B31),NA())</x:f>
        <x:v>1712</x:v>
      </x:c>
      <x:c r="I31" s="1" t="n">
        <x:f>IF(N31=1,SUMIFS('Лист2'!$E$2:$E$505,'Лист2'!$A$2:$A$505,A31,'Лист2'!$B$2:$B$505,B31),NA())</x:f>
        <x:v>1552</x:v>
      </x:c>
      <x:c r="J31" s="5" t="n">
        <x:f>A31-WEEKDAY(A31,2)+1</x:f>
        <x:v>43948</x:v>
      </x:c>
      <x:c r="K31" s="1" t="n">
        <x:f>YEAR(J31+3)</x:f>
        <x:v>2020</x:v>
      </x:c>
      <x:c r="L31" s="1" t="n">
        <x:f>INT((J31-DATE(K31,1,4)+WEEKDAY(DATE(K31,1,4),2)-1)/7)+1</x:f>
        <x:v>18</x:v>
      </x:c>
      <x:c r="M31" s="1" t="str">
        <x:f>A31&amp;"|"&amp;B31</x:f>
        <x:v>43951|Кемерово</x:v>
      </x:c>
      <x:c r="N31" s="1" t="n">
        <x:f>COUNTIFS('Лист2'!$F$2:$F$505,M31)</x:f>
        <x:v>1</x:v>
      </x:c>
      <x:c r="O31" s="1"/>
      <x:c r="P31" s="1"/>
      <x:c r="Q31" s="1"/>
    </x:row>
    <x:row r="32" ht="21" customHeight="1">
      <x:c r="A32" s="5" t="n">
        <x:f>'Лист1'!A32</x:f>
        <x:v>43951</x:v>
      </x:c>
      <x:c r="B32" s="1" t="str">
        <x:f>'Лист1'!B32</x:f>
        <x:v>Краснодар</x:v>
      </x:c>
      <x:c r="C32" s="1" t="n">
        <x:f>'Лист1'!C32</x:f>
        <x:v>27883.5</x:v>
      </x:c>
      <x:c r="D32" s="6" t="n">
        <x:f>'Лист1'!D32</x:f>
        <x:v>2560080</x:v>
      </x:c>
      <x:c r="E32" s="6" t="n">
        <x:f>'Лист1'!E32</x:f>
        <x:v>2016381.645</x:v>
      </x:c>
      <x:c r="F32" s="6" t="n">
        <x:f>'Лист1'!F32</x:f>
        <x:v>41912.70769230769</x:v>
      </x:c>
      <x:c r="G32" s="1" t="n">
        <x:f>IF(N32=1,SUMIFS('Лист2'!$C$2:$C$505,'Лист2'!$A$2:$A$505,A32,'Лист2'!$B$2:$B$505,B32),NA())</x:f>
        <x:v>19</x:v>
      </x:c>
      <x:c r="H32" s="1" t="n">
        <x:f>IF(N32=1,SUMIFS('Лист2'!$D$2:$D$505,'Лист2'!$A$2:$A$505,A32,'Лист2'!$B$2:$B$505,B32),NA())</x:f>
        <x:v>1662</x:v>
      </x:c>
      <x:c r="I32" s="1" t="n">
        <x:f>IF(N32=1,SUMIFS('Лист2'!$E$2:$E$505,'Лист2'!$A$2:$A$505,A32,'Лист2'!$B$2:$B$505,B32),NA())</x:f>
        <x:v>1506</x:v>
      </x:c>
      <x:c r="J32" s="5" t="n">
        <x:f>A32-WEEKDAY(A32,2)+1</x:f>
        <x:v>43948</x:v>
      </x:c>
      <x:c r="K32" s="1" t="n">
        <x:f>YEAR(J32+3)</x:f>
        <x:v>2020</x:v>
      </x:c>
      <x:c r="L32" s="1" t="n">
        <x:f>INT((J32-DATE(K32,1,4)+WEEKDAY(DATE(K32,1,4),2)-1)/7)+1</x:f>
        <x:v>18</x:v>
      </x:c>
      <x:c r="M32" s="1" t="str">
        <x:f>A32&amp;"|"&amp;B32</x:f>
        <x:v>43951|Краснодар</x:v>
      </x:c>
      <x:c r="N32" s="1" t="n">
        <x:f>COUNTIFS('Лист2'!$F$2:$F$505,M32)</x:f>
        <x:v>1</x:v>
      </x:c>
      <x:c r="O32" s="1"/>
      <x:c r="P32" s="1"/>
      <x:c r="Q32" s="1"/>
    </x:row>
    <x:row r="33" ht="21" customHeight="1">
      <x:c r="A33" s="5" t="n">
        <x:f>'Лист1'!A33</x:f>
        <x:v>43951</x:v>
      </x:c>
      <x:c r="B33" s="1" t="str">
        <x:f>'Лист1'!B33</x:f>
        <x:v>Москва Восток</x:v>
      </x:c>
      <x:c r="C33" s="1" t="n">
        <x:f>'Лист1'!C33</x:f>
        <x:v>206038.5</x:v>
      </x:c>
      <x:c r="D33" s="6" t="n">
        <x:f>'Лист1'!D33</x:f>
        <x:v>21740460</x:v>
      </x:c>
      <x:c r="E33" s="6" t="n">
        <x:f>'Лист1'!E33</x:f>
        <x:v>15789926.042999998</x:v>
      </x:c>
      <x:c r="F33" s="6" t="n">
        <x:f>'Лист1'!F33</x:f>
        <x:v>115102.03846153845</x:v>
      </x:c>
      <x:c r="G33" s="1" t="n">
        <x:f>IF(N33=1,SUMIFS('Лист2'!$C$2:$C$505,'Лист2'!$A$2:$A$505,A33,'Лист2'!$B$2:$B$505,B33),NA())</x:f>
        <x:v>54</x:v>
      </x:c>
      <x:c r="H33" s="1" t="n">
        <x:f>IF(N33=1,SUMIFS('Лист2'!$D$2:$D$505,'Лист2'!$A$2:$A$505,A33,'Лист2'!$B$2:$B$505,B33),NA())</x:f>
        <x:v>12817</x:v>
      </x:c>
      <x:c r="I33" s="1" t="n">
        <x:f>IF(N33=1,SUMIFS('Лист2'!$E$2:$E$505,'Лист2'!$A$2:$A$505,A33,'Лист2'!$B$2:$B$505,B33),NA())</x:f>
        <x:v>11865</x:v>
      </x:c>
      <x:c r="J33" s="5" t="n">
        <x:f>A33-WEEKDAY(A33,2)+1</x:f>
        <x:v>43948</x:v>
      </x:c>
      <x:c r="K33" s="1" t="n">
        <x:f>YEAR(J33+3)</x:f>
        <x:v>2020</x:v>
      </x:c>
      <x:c r="L33" s="1" t="n">
        <x:f>INT((J33-DATE(K33,1,4)+WEEKDAY(DATE(K33,1,4),2)-1)/7)+1</x:f>
        <x:v>18</x:v>
      </x:c>
      <x:c r="M33" s="1" t="str">
        <x:f>A33&amp;"|"&amp;B33</x:f>
        <x:v>43951|Москва Восток</x:v>
      </x:c>
      <x:c r="N33" s="1" t="n">
        <x:f>COUNTIFS('Лист2'!$F$2:$F$505,M33)</x:f>
        <x:v>1</x:v>
      </x:c>
      <x:c r="O33" s="1"/>
      <x:c r="P33" s="1"/>
      <x:c r="Q33" s="1"/>
    </x:row>
    <x:row r="34" ht="21" customHeight="1">
      <x:c r="A34" s="5" t="n">
        <x:f>'Лист1'!A34</x:f>
        <x:v>43951</x:v>
      </x:c>
      <x:c r="B34" s="1" t="str">
        <x:f>'Лист1'!B34</x:f>
        <x:v>Москва Запад</x:v>
      </x:c>
      <x:c r="C34" s="1" t="n">
        <x:f>'Лист1'!C34</x:f>
        <x:v>214386</x:v>
      </x:c>
      <x:c r="D34" s="6" t="n">
        <x:f>'Лист1'!D34</x:f>
        <x:v>22530000</x:v>
      </x:c>
      <x:c r="E34" s="6" t="n">
        <x:f>'Лист1'!E34</x:f>
        <x:v>16370527.077</x:v>
      </x:c>
      <x:c r="F34" s="6" t="n">
        <x:f>'Лист1'!F34</x:f>
        <x:v>115618.05384615384</x:v>
      </x:c>
      <x:c r="G34" s="1" t="n">
        <x:f>IF(N34=1,SUMIFS('Лист2'!$C$2:$C$505,'Лист2'!$A$2:$A$505,A34,'Лист2'!$B$2:$B$505,B34),NA())</x:f>
        <x:v>59</x:v>
      </x:c>
      <x:c r="H34" s="1" t="n">
        <x:f>IF(N34=1,SUMIFS('Лист2'!$D$2:$D$505,'Лист2'!$A$2:$A$505,A34,'Лист2'!$B$2:$B$505,B34),NA())</x:f>
        <x:v>13251</x:v>
      </x:c>
      <x:c r="I34" s="1" t="n">
        <x:f>IF(N34=1,SUMIFS('Лист2'!$E$2:$E$505,'Лист2'!$A$2:$A$505,A34,'Лист2'!$B$2:$B$505,B34),NA())</x:f>
        <x:v>12255</x:v>
      </x:c>
      <x:c r="J34" s="5" t="n">
        <x:f>A34-WEEKDAY(A34,2)+1</x:f>
        <x:v>43948</x:v>
      </x:c>
      <x:c r="K34" s="1" t="n">
        <x:f>YEAR(J34+3)</x:f>
        <x:v>2020</x:v>
      </x:c>
      <x:c r="L34" s="1" t="n">
        <x:f>INT((J34-DATE(K34,1,4)+WEEKDAY(DATE(K34,1,4),2)-1)/7)+1</x:f>
        <x:v>18</x:v>
      </x:c>
      <x:c r="M34" s="1" t="str">
        <x:f>A34&amp;"|"&amp;B34</x:f>
        <x:v>43951|Москва Запад</x:v>
      </x:c>
      <x:c r="N34" s="1" t="n">
        <x:f>COUNTIFS('Лист2'!$F$2:$F$505,M34)</x:f>
        <x:v>1</x:v>
      </x:c>
      <x:c r="O34" s="1"/>
      <x:c r="P34" s="1"/>
      <x:c r="Q34" s="1"/>
    </x:row>
    <x:row r="35" ht="21" customHeight="1">
      <x:c r="A35" s="5" t="n">
        <x:f>'Лист1'!A35</x:f>
        <x:v>43951</x:v>
      </x:c>
      <x:c r="B35" s="1" t="str">
        <x:f>'Лист1'!B35</x:f>
        <x:v>Нижний Новгород</x:v>
      </x:c>
      <x:c r="C35" s="1" t="n">
        <x:f>'Лист1'!C35</x:f>
        <x:v>24211.5</x:v>
      </x:c>
      <x:c r="D35" s="6" t="n">
        <x:f>'Лист1'!D35</x:f>
        <x:v>2267664</x:v>
      </x:c>
      <x:c r="E35" s="6" t="n">
        <x:f>'Лист1'!E35</x:f>
        <x:v>1801564.392</x:v>
      </x:c>
      <x:c r="F35" s="6" t="n">
        <x:f>'Лист1'!F35</x:f>
        <x:v>97090.63692307692</x:v>
      </x:c>
      <x:c r="G35" s="1" t="n">
        <x:f>IF(N35=1,SUMIFS('Лист2'!$C$2:$C$505,'Лист2'!$A$2:$A$505,A35,'Лист2'!$B$2:$B$505,B35),NA())</x:f>
        <x:v>19</x:v>
      </x:c>
      <x:c r="H35" s="1" t="n">
        <x:f>IF(N35=1,SUMIFS('Лист2'!$D$2:$D$505,'Лист2'!$A$2:$A$505,A35,'Лист2'!$B$2:$B$505,B35),NA())</x:f>
        <x:v>1499</x:v>
      </x:c>
      <x:c r="I35" s="1" t="n">
        <x:f>IF(N35=1,SUMIFS('Лист2'!$E$2:$E$505,'Лист2'!$A$2:$A$505,A35,'Лист2'!$B$2:$B$505,B35),NA())</x:f>
        <x:v>1322</x:v>
      </x:c>
      <x:c r="J35" s="5" t="n">
        <x:f>A35-WEEKDAY(A35,2)+1</x:f>
        <x:v>43948</x:v>
      </x:c>
      <x:c r="K35" s="1" t="n">
        <x:f>YEAR(J35+3)</x:f>
        <x:v>2020</x:v>
      </x:c>
      <x:c r="L35" s="1" t="n">
        <x:f>INT((J35-DATE(K35,1,4)+WEEKDAY(DATE(K35,1,4),2)-1)/7)+1</x:f>
        <x:v>18</x:v>
      </x:c>
      <x:c r="M35" s="1" t="str">
        <x:f>A35&amp;"|"&amp;B35</x:f>
        <x:v>43951|Нижний Новгород</x:v>
      </x:c>
      <x:c r="N35" s="1" t="n">
        <x:f>COUNTIFS('Лист2'!$F$2:$F$505,M35)</x:f>
        <x:v>1</x:v>
      </x:c>
      <x:c r="O35" s="1"/>
      <x:c r="P35" s="1"/>
      <x:c r="Q35" s="1"/>
    </x:row>
    <x:row r="36" ht="21" customHeight="1">
      <x:c r="A36" s="5" t="n">
        <x:f>'Лист1'!A36</x:f>
        <x:v>43951</x:v>
      </x:c>
      <x:c r="B36" s="1" t="str">
        <x:f>'Лист1'!B36</x:f>
        <x:v>Новосибирск</x:v>
      </x:c>
      <x:c r="C36" s="1" t="n">
        <x:f>'Лист1'!C36</x:f>
        <x:v>11976</x:v>
      </x:c>
      <x:c r="D36" s="6" t="n">
        <x:f>'Лист1'!D36</x:f>
        <x:v>1004511</x:v>
      </x:c>
      <x:c r="E36" s="6" t="n">
        <x:f>'Лист1'!E36</x:f>
        <x:v>861334.614</x:v>
      </x:c>
      <x:c r="F36" s="6" t="n">
        <x:f>'Лист1'!F36</x:f>
        <x:v>20847.353846153845</x:v>
      </x:c>
      <x:c r="G36" s="1" t="n">
        <x:f>IF(N36=1,SUMIFS('Лист2'!$C$2:$C$505,'Лист2'!$A$2:$A$505,A36,'Лист2'!$B$2:$B$505,B36),NA())</x:f>
        <x:v>15</x:v>
      </x:c>
      <x:c r="H36" s="1" t="n">
        <x:f>IF(N36=1,SUMIFS('Лист2'!$D$2:$D$505,'Лист2'!$A$2:$A$505,A36,'Лист2'!$B$2:$B$505,B36),NA())</x:f>
        <x:v>644</x:v>
      </x:c>
      <x:c r="I36" s="1" t="n">
        <x:f>IF(N36=1,SUMIFS('Лист2'!$E$2:$E$505,'Лист2'!$A$2:$A$505,A36,'Лист2'!$B$2:$B$505,B36),NA())</x:f>
        <x:v>550</x:v>
      </x:c>
      <x:c r="J36" s="5" t="n">
        <x:f>A36-WEEKDAY(A36,2)+1</x:f>
        <x:v>43948</x:v>
      </x:c>
      <x:c r="K36" s="1" t="n">
        <x:f>YEAR(J36+3)</x:f>
        <x:v>2020</x:v>
      </x:c>
      <x:c r="L36" s="1" t="n">
        <x:f>INT((J36-DATE(K36,1,4)+WEEKDAY(DATE(K36,1,4),2)-1)/7)+1</x:f>
        <x:v>18</x:v>
      </x:c>
      <x:c r="M36" s="1" t="str">
        <x:f>A36&amp;"|"&amp;B36</x:f>
        <x:v>43951|Новосибирск</x:v>
      </x:c>
      <x:c r="N36" s="1" t="n">
        <x:f>COUNTIFS('Лист2'!$F$2:$F$505,M36)</x:f>
        <x:v>1</x:v>
      </x:c>
      <x:c r="O36" s="1"/>
      <x:c r="P36" s="1"/>
      <x:c r="Q36" s="1"/>
    </x:row>
    <x:row r="37" ht="21" customHeight="1">
      <x:c r="A37" s="5" t="n">
        <x:f>'Лист1'!A37</x:f>
        <x:v>43951</x:v>
      </x:c>
      <x:c r="B37" s="1" t="str">
        <x:f>'Лист1'!B37</x:f>
        <x:v>Пермь</x:v>
      </x:c>
      <x:c r="C37" s="1" t="n">
        <x:f>'Лист1'!C37</x:f>
        <x:v>12753</x:v>
      </x:c>
      <x:c r="D37" s="6" t="n">
        <x:f>'Лист1'!D37</x:f>
        <x:v>1103068.5</x:v>
      </x:c>
      <x:c r="E37" s="6" t="n">
        <x:f>'Лист1'!E37</x:f>
        <x:v>904501.456</x:v>
      </x:c>
      <x:c r="F37" s="6" t="n">
        <x:f>'Лист1'!F37</x:f>
        <x:v>58978.55866923076</x:v>
      </x:c>
      <x:c r="G37" s="1" t="n">
        <x:f>IF(N37=1,SUMIFS('Лист2'!$C$2:$C$505,'Лист2'!$A$2:$A$505,A37,'Лист2'!$B$2:$B$505,B37),NA())</x:f>
        <x:v>15</x:v>
      </x:c>
      <x:c r="H37" s="1" t="n">
        <x:f>IF(N37=1,SUMIFS('Лист2'!$D$2:$D$505,'Лист2'!$A$2:$A$505,A37,'Лист2'!$B$2:$B$505,B37),NA())</x:f>
        <x:v>791</x:v>
      </x:c>
      <x:c r="I37" s="1" t="n">
        <x:f>IF(N37=1,SUMIFS('Лист2'!$E$2:$E$505,'Лист2'!$A$2:$A$505,A37,'Лист2'!$B$2:$B$505,B37),NA())</x:f>
        <x:v>691</x:v>
      </x:c>
      <x:c r="J37" s="5" t="n">
        <x:f>A37-WEEKDAY(A37,2)+1</x:f>
        <x:v>43948</x:v>
      </x:c>
      <x:c r="K37" s="1" t="n">
        <x:f>YEAR(J37+3)</x:f>
        <x:v>2020</x:v>
      </x:c>
      <x:c r="L37" s="1" t="n">
        <x:f>INT((J37-DATE(K37,1,4)+WEEKDAY(DATE(K37,1,4),2)-1)/7)+1</x:f>
        <x:v>18</x:v>
      </x:c>
      <x:c r="M37" s="1" t="str">
        <x:f>A37&amp;"|"&amp;B37</x:f>
        <x:v>43951|Пермь</x:v>
      </x:c>
      <x:c r="N37" s="1" t="n">
        <x:f>COUNTIFS('Лист2'!$F$2:$F$505,M37)</x:f>
        <x:v>1</x:v>
      </x:c>
      <x:c r="O37" s="1"/>
      <x:c r="P37" s="1"/>
      <x:c r="Q37" s="1"/>
    </x:row>
    <x:row r="38" ht="21" customHeight="1">
      <x:c r="A38" s="5" t="n">
        <x:f>'Лист1'!A38</x:f>
        <x:v>43951</x:v>
      </x:c>
      <x:c r="B38" s="1" t="str">
        <x:f>'Лист1'!B38</x:f>
        <x:v>Ростов-на-Дону</x:v>
      </x:c>
      <x:c r="C38" s="1" t="n">
        <x:f>'Лист1'!C38</x:f>
        <x:v>4285.5</x:v>
      </x:c>
      <x:c r="D38" s="6" t="n">
        <x:f>'Лист1'!D38</x:f>
        <x:v>404691</x:v>
      </x:c>
      <x:c r="E38" s="6" t="n">
        <x:f>'Лист1'!E38</x:f>
        <x:v>333054.548</x:v>
      </x:c>
      <x:c r="F38" s="6" t="n">
        <x:f>'Лист1'!F38</x:f>
        <x:v>11494.63076923077</x:v>
      </x:c>
      <x:c r="G38" s="1" t="n">
        <x:f>IF(N38=1,SUMIFS('Лист2'!$C$2:$C$505,'Лист2'!$A$2:$A$505,A38,'Лист2'!$B$2:$B$505,B38),NA())</x:f>
        <x:v>15</x:v>
      </x:c>
      <x:c r="H38" s="1" t="n">
        <x:f>IF(N38=1,SUMIFS('Лист2'!$D$2:$D$505,'Лист2'!$A$2:$A$505,A38,'Лист2'!$B$2:$B$505,B38),NA())</x:f>
        <x:v>262</x:v>
      </x:c>
      <x:c r="I38" s="1" t="n">
        <x:f>IF(N38=1,SUMIFS('Лист2'!$E$2:$E$505,'Лист2'!$A$2:$A$505,A38,'Лист2'!$B$2:$B$505,B38),NA())</x:f>
        <x:v>195</x:v>
      </x:c>
      <x:c r="J38" s="5" t="n">
        <x:f>A38-WEEKDAY(A38,2)+1</x:f>
        <x:v>43948</x:v>
      </x:c>
      <x:c r="K38" s="1" t="n">
        <x:f>YEAR(J38+3)</x:f>
        <x:v>2020</x:v>
      </x:c>
      <x:c r="L38" s="1" t="n">
        <x:f>INT((J38-DATE(K38,1,4)+WEEKDAY(DATE(K38,1,4),2)-1)/7)+1</x:f>
        <x:v>18</x:v>
      </x:c>
      <x:c r="M38" s="1" t="str">
        <x:f>A38&amp;"|"&amp;B38</x:f>
        <x:v>43951|Ростов-на-Дону</x:v>
      </x:c>
      <x:c r="N38" s="1" t="n">
        <x:f>COUNTIFS('Лист2'!$F$2:$F$505,M38)</x:f>
        <x:v>1</x:v>
      </x:c>
      <x:c r="O38" s="1"/>
      <x:c r="P38" s="1"/>
      <x:c r="Q38" s="1"/>
    </x:row>
    <x:row r="39" ht="21" customHeight="1">
      <x:c r="A39" s="5" t="n">
        <x:f>'Лист1'!A39</x:f>
        <x:v>43951</x:v>
      </x:c>
      <x:c r="B39" s="1" t="str">
        <x:f>'Лист1'!B39</x:f>
        <x:v>Санкт-Петербург Север</x:v>
      </x:c>
      <x:c r="C39" s="1" t="n">
        <x:f>'Лист1'!C39</x:f>
        <x:v>401580</x:v>
      </x:c>
      <x:c r="D39" s="6" t="n">
        <x:f>'Лист1'!D39</x:f>
        <x:v>43028734.5</x:v>
      </x:c>
      <x:c r="E39" s="6" t="n">
        <x:f>'Лист1'!E39</x:f>
        <x:v>31156525.939999998</x:v>
      </x:c>
      <x:c r="F39" s="6" t="n">
        <x:f>'Лист1'!F39</x:f>
        <x:v>343786.0846153846</x:v>
      </x:c>
      <x:c r="G39" s="1" t="n">
        <x:f>IF(N39=1,SUMIFS('Лист2'!$C$2:$C$505,'Лист2'!$A$2:$A$505,A39,'Лист2'!$B$2:$B$505,B39),NA())</x:f>
        <x:v>125</x:v>
      </x:c>
      <x:c r="H39" s="1" t="n">
        <x:f>IF(N39=1,SUMIFS('Лист2'!$D$2:$D$505,'Лист2'!$A$2:$A$505,A39,'Лист2'!$B$2:$B$505,B39),NA())</x:f>
        <x:v>22368</x:v>
      </x:c>
      <x:c r="I39" s="1" t="n">
        <x:f>IF(N39=1,SUMIFS('Лист2'!$E$2:$E$505,'Лист2'!$A$2:$A$505,A39,'Лист2'!$B$2:$B$505,B39),NA())</x:f>
        <x:v>20625</x:v>
      </x:c>
      <x:c r="J39" s="5" t="n">
        <x:f>A39-WEEKDAY(A39,2)+1</x:f>
        <x:v>43948</x:v>
      </x:c>
      <x:c r="K39" s="1" t="n">
        <x:f>YEAR(J39+3)</x:f>
        <x:v>2020</x:v>
      </x:c>
      <x:c r="L39" s="1" t="n">
        <x:f>INT((J39-DATE(K39,1,4)+WEEKDAY(DATE(K39,1,4),2)-1)/7)+1</x:f>
        <x:v>18</x:v>
      </x:c>
      <x:c r="M39" s="1" t="str">
        <x:f>A39&amp;"|"&amp;B39</x:f>
        <x:v>43951|Санкт-Петербург Север</x:v>
      </x:c>
      <x:c r="N39" s="1" t="n">
        <x:f>COUNTIFS('Лист2'!$F$2:$F$505,M39)</x:f>
        <x:v>1</x:v>
      </x:c>
      <x:c r="O39" s="1"/>
      <x:c r="P39" s="1"/>
      <x:c r="Q39" s="1"/>
    </x:row>
    <x:row r="40" ht="21" customHeight="1">
      <x:c r="A40" s="5" t="n">
        <x:f>'Лист1'!A40</x:f>
        <x:v>43951</x:v>
      </x:c>
      <x:c r="B40" s="1" t="str">
        <x:f>'Лист1'!B40</x:f>
        <x:v>Санкт-Петербург Юг</x:v>
      </x:c>
      <x:c r="C40" s="1" t="n">
        <x:f>'Лист1'!C40</x:f>
        <x:v>311131.5</x:v>
      </x:c>
      <x:c r="D40" s="6" t="n">
        <x:f>'Лист1'!D40</x:f>
        <x:v>32418879</x:v>
      </x:c>
      <x:c r="E40" s="6" t="n">
        <x:f>'Лист1'!E40</x:f>
        <x:v>23595019.661</x:v>
      </x:c>
      <x:c r="F40" s="6" t="n">
        <x:f>'Лист1'!F40</x:f>
        <x:v>265444.33165384614</x:v>
      </x:c>
      <x:c r="G40" s="1" t="n">
        <x:f>IF(N40=1,SUMIFS('Лист2'!$C$2:$C$505,'Лист2'!$A$2:$A$505,A40,'Лист2'!$B$2:$B$505,B40),NA())</x:f>
        <x:v>129</x:v>
      </x:c>
      <x:c r="H40" s="1" t="n">
        <x:f>IF(N40=1,SUMIFS('Лист2'!$D$2:$D$505,'Лист2'!$A$2:$A$505,A40,'Лист2'!$B$2:$B$505,B40),NA())</x:f>
        <x:v>18042</x:v>
      </x:c>
      <x:c r="I40" s="1" t="n">
        <x:f>IF(N40=1,SUMIFS('Лист2'!$E$2:$E$505,'Лист2'!$A$2:$A$505,A40,'Лист2'!$B$2:$B$505,B40),NA())</x:f>
        <x:v>16631</x:v>
      </x:c>
      <x:c r="J40" s="5" t="n">
        <x:f>A40-WEEKDAY(A40,2)+1</x:f>
        <x:v>43948</x:v>
      </x:c>
      <x:c r="K40" s="1" t="n">
        <x:f>YEAR(J40+3)</x:f>
        <x:v>2020</x:v>
      </x:c>
      <x:c r="L40" s="1" t="n">
        <x:f>INT((J40-DATE(K40,1,4)+WEEKDAY(DATE(K40,1,4),2)-1)/7)+1</x:f>
        <x:v>18</x:v>
      </x:c>
      <x:c r="M40" s="1" t="str">
        <x:f>A40&amp;"|"&amp;B40</x:f>
        <x:v>43951|Санкт-Петербург Юг</x:v>
      </x:c>
      <x:c r="N40" s="1" t="n">
        <x:f>COUNTIFS('Лист2'!$F$2:$F$505,M40)</x:f>
        <x:v>1</x:v>
      </x:c>
      <x:c r="O40" s="1"/>
      <x:c r="P40" s="1"/>
      <x:c r="Q40" s="1"/>
    </x:row>
    <x:row r="41" ht="21" customHeight="1">
      <x:c r="A41" s="5" t="n">
        <x:f>'Лист1'!A41</x:f>
        <x:v>43951</x:v>
      </x:c>
      <x:c r="B41" s="1" t="str">
        <x:f>'Лист1'!B41</x:f>
        <x:v>Тольятти</x:v>
      </x:c>
      <x:c r="C41" s="1" t="n">
        <x:f>'Лист1'!C41</x:f>
        <x:v>8934</x:v>
      </x:c>
      <x:c r="D41" s="6" t="n">
        <x:f>'Лист1'!D41</x:f>
        <x:v>716196</x:v>
      </x:c>
      <x:c r="E41" s="6" t="n">
        <x:f>'Лист1'!E41</x:f>
        <x:v>663415.497</x:v>
      </x:c>
      <x:c r="F41" s="6" t="n">
        <x:f>'Лист1'!F41</x:f>
        <x:v>24274.438461538462</x:v>
      </x:c>
      <x:c r="G41" s="1" t="n">
        <x:f>IF(N41=1,SUMIFS('Лист2'!$C$2:$C$505,'Лист2'!$A$2:$A$505,A41,'Лист2'!$B$2:$B$505,B41),NA())</x:f>
        <x:v>10</x:v>
      </x:c>
      <x:c r="H41" s="1" t="n">
        <x:f>IF(N41=1,SUMIFS('Лист2'!$D$2:$D$505,'Лист2'!$A$2:$A$505,A41,'Лист2'!$B$2:$B$505,B41),NA())</x:f>
        <x:v>448</x:v>
      </x:c>
      <x:c r="I41" s="1" t="n">
        <x:f>IF(N41=1,SUMIFS('Лист2'!$E$2:$E$505,'Лист2'!$A$2:$A$505,A41,'Лист2'!$B$2:$B$505,B41),NA())</x:f>
        <x:v>376</x:v>
      </x:c>
      <x:c r="J41" s="5" t="n">
        <x:f>A41-WEEKDAY(A41,2)+1</x:f>
        <x:v>43948</x:v>
      </x:c>
      <x:c r="K41" s="1" t="n">
        <x:f>YEAR(J41+3)</x:f>
        <x:v>2020</x:v>
      </x:c>
      <x:c r="L41" s="1" t="n">
        <x:f>INT((J41-DATE(K41,1,4)+WEEKDAY(DATE(K41,1,4),2)-1)/7)+1</x:f>
        <x:v>18</x:v>
      </x:c>
      <x:c r="M41" s="1" t="str">
        <x:f>A41&amp;"|"&amp;B41</x:f>
        <x:v>43951|Тольятти</x:v>
      </x:c>
      <x:c r="N41" s="1" t="n">
        <x:f>COUNTIFS('Лист2'!$F$2:$F$505,M41)</x:f>
        <x:v>1</x:v>
      </x:c>
      <x:c r="O41" s="1"/>
      <x:c r="P41" s="1"/>
      <x:c r="Q41" s="1"/>
    </x:row>
    <x:row r="42" ht="21" customHeight="1">
      <x:c r="A42" s="5" t="n">
        <x:f>'Лист1'!A42</x:f>
        <x:v>43952</x:v>
      </x:c>
      <x:c r="B42" s="1" t="str">
        <x:f>'Лист1'!B42</x:f>
        <x:v>Волгоград</x:v>
      </x:c>
      <x:c r="C42" s="1" t="n">
        <x:f>'Лист1'!C42</x:f>
        <x:v>82228.5</x:v>
      </x:c>
      <x:c r="D42" s="6" t="n">
        <x:f>'Лист1'!D42</x:f>
        <x:v>7032225</x:v>
      </x:c>
      <x:c r="E42" s="6" t="n">
        <x:f>'Лист1'!E42</x:f>
        <x:v>5546127.192</x:v>
      </x:c>
      <x:c r="F42" s="6" t="n">
        <x:f>'Лист1'!F42</x:f>
        <x:v>196859.98644615384</x:v>
      </x:c>
      <x:c r="G42" s="1" t="n">
        <x:f>IF(N42=1,SUMIFS('Лист2'!$C$2:$C$505,'Лист2'!$A$2:$A$505,A42,'Лист2'!$B$2:$B$505,B42),NA())</x:f>
        <x:v>36</x:v>
      </x:c>
      <x:c r="H42" s="1" t="n">
        <x:f>IF(N42=1,SUMIFS('Лист2'!$D$2:$D$505,'Лист2'!$A$2:$A$505,A42,'Лист2'!$B$2:$B$505,B42),NA())</x:f>
        <x:v>5457</x:v>
      </x:c>
      <x:c r="I42" s="1" t="n">
        <x:f>IF(N42=1,SUMIFS('Лист2'!$E$2:$E$505,'Лист2'!$A$2:$A$505,A42,'Лист2'!$B$2:$B$505,B42),NA())</x:f>
        <x:v>4916</x:v>
      </x:c>
      <x:c r="J42" s="5" t="n">
        <x:f>A42-WEEKDAY(A42,2)+1</x:f>
        <x:v>43948</x:v>
      </x:c>
      <x:c r="K42" s="1" t="n">
        <x:f>YEAR(J42+3)</x:f>
        <x:v>2020</x:v>
      </x:c>
      <x:c r="L42" s="1" t="n">
        <x:f>INT((J42-DATE(K42,1,4)+WEEKDAY(DATE(K42,1,4),2)-1)/7)+1</x:f>
        <x:v>18</x:v>
      </x:c>
      <x:c r="M42" s="1" t="str">
        <x:f>A42&amp;"|"&amp;B42</x:f>
        <x:v>43952|Волгоград</x:v>
      </x:c>
      <x:c r="N42" s="1" t="n">
        <x:f>COUNTIFS('Лист2'!$F$2:$F$505,M42)</x:f>
        <x:v>1</x:v>
      </x:c>
      <x:c r="O42" s="1"/>
      <x:c r="P42" s="1"/>
      <x:c r="Q42" s="1"/>
    </x:row>
    <x:row r="43" ht="21" customHeight="1">
      <x:c r="A43" s="5" t="n">
        <x:f>'Лист1'!A43</x:f>
        <x:v>43952</x:v>
      </x:c>
      <x:c r="B43" s="1" t="str">
        <x:f>'Лист1'!B43</x:f>
        <x:v>Екатеринбург</x:v>
      </x:c>
      <x:c r="C43" s="1" t="n">
        <x:f>'Лист1'!C43</x:f>
        <x:v>97534.5</x:v>
      </x:c>
      <x:c r="D43" s="6" t="n">
        <x:f>'Лист1'!D43</x:f>
        <x:v>8893024.5</x:v>
      </x:c>
      <x:c r="E43" s="6" t="n">
        <x:f>'Лист1'!E43</x:f>
        <x:v>6855177.24</x:v>
      </x:c>
      <x:c r="F43" s="6" t="n">
        <x:f>'Лист1'!F43</x:f>
        <x:v>185180.3800769231</x:v>
      </x:c>
      <x:c r="G43" s="1" t="n">
        <x:f>IF(N43=1,SUMIFS('Лист2'!$C$2:$C$505,'Лист2'!$A$2:$A$505,A43,'Лист2'!$B$2:$B$505,B43),NA())</x:f>
        <x:v>31</x:v>
      </x:c>
      <x:c r="H43" s="1" t="n">
        <x:f>IF(N43=1,SUMIFS('Лист2'!$D$2:$D$505,'Лист2'!$A$2:$A$505,A43,'Лист2'!$B$2:$B$505,B43),NA())</x:f>
        <x:v>6118</x:v>
      </x:c>
      <x:c r="I43" s="1" t="n">
        <x:f>IF(N43=1,SUMIFS('Лист2'!$E$2:$E$505,'Лист2'!$A$2:$A$505,A43,'Лист2'!$B$2:$B$505,B43),NA())</x:f>
        <x:v>5564</x:v>
      </x:c>
      <x:c r="J43" s="5" t="n">
        <x:f>A43-WEEKDAY(A43,2)+1</x:f>
        <x:v>43948</x:v>
      </x:c>
      <x:c r="K43" s="1" t="n">
        <x:f>YEAR(J43+3)</x:f>
        <x:v>2020</x:v>
      </x:c>
      <x:c r="L43" s="1" t="n">
        <x:f>INT((J43-DATE(K43,1,4)+WEEKDAY(DATE(K43,1,4),2)-1)/7)+1</x:f>
        <x:v>18</x:v>
      </x:c>
      <x:c r="M43" s="1" t="str">
        <x:f>A43&amp;"|"&amp;B43</x:f>
        <x:v>43952|Екатеринбург</x:v>
      </x:c>
      <x:c r="N43" s="1" t="n">
        <x:f>COUNTIFS('Лист2'!$F$2:$F$505,M43)</x:f>
        <x:v>1</x:v>
      </x:c>
      <x:c r="O43" s="1"/>
      <x:c r="P43" s="1"/>
      <x:c r="Q43" s="1"/>
    </x:row>
    <x:row r="44" ht="21" customHeight="1">
      <x:c r="A44" s="5" t="n">
        <x:f>'Лист1'!A44</x:f>
        <x:v>43952</x:v>
      </x:c>
      <x:c r="B44" s="1" t="str">
        <x:f>'Лист1'!B44</x:f>
        <x:v>Казань</x:v>
      </x:c>
      <x:c r="C44" s="1" t="n">
        <x:f>'Лист1'!C44</x:f>
        <x:v>46620</x:v>
      </x:c>
      <x:c r="D44" s="6" t="n">
        <x:f>'Лист1'!D44</x:f>
        <x:v>4293241.5</x:v>
      </x:c>
      <x:c r="E44" s="6" t="n">
        <x:f>'Лист1'!E44</x:f>
        <x:v>3389723.959</x:v>
      </x:c>
      <x:c r="F44" s="6" t="n">
        <x:f>'Лист1'!F44</x:f>
        <x:v>329717.03827692306</x:v>
      </x:c>
      <x:c r="G44" s="1" t="n">
        <x:f>IF(N44=1,SUMIFS('Лист2'!$C$2:$C$505,'Лист2'!$A$2:$A$505,A44,'Лист2'!$B$2:$B$505,B44),NA())</x:f>
        <x:v>20</x:v>
      </x:c>
      <x:c r="H44" s="1" t="n">
        <x:f>IF(N44=1,SUMIFS('Лист2'!$D$2:$D$505,'Лист2'!$A$2:$A$505,A44,'Лист2'!$B$2:$B$505,B44),NA())</x:f>
        <x:v>2468</x:v>
      </x:c>
      <x:c r="I44" s="1" t="n">
        <x:f>IF(N44=1,SUMIFS('Лист2'!$E$2:$E$505,'Лист2'!$A$2:$A$505,A44,'Лист2'!$B$2:$B$505,B44),NA())</x:f>
        <x:v>2221</x:v>
      </x:c>
      <x:c r="J44" s="5" t="n">
        <x:f>A44-WEEKDAY(A44,2)+1</x:f>
        <x:v>43948</x:v>
      </x:c>
      <x:c r="K44" s="1" t="n">
        <x:f>YEAR(J44+3)</x:f>
        <x:v>2020</x:v>
      </x:c>
      <x:c r="L44" s="1" t="n">
        <x:f>INT((J44-DATE(K44,1,4)+WEEKDAY(DATE(K44,1,4),2)-1)/7)+1</x:f>
        <x:v>18</x:v>
      </x:c>
      <x:c r="M44" s="1" t="str">
        <x:f>A44&amp;"|"&amp;B44</x:f>
        <x:v>43952|Казань</x:v>
      </x:c>
      <x:c r="N44" s="1" t="n">
        <x:f>COUNTIFS('Лист2'!$F$2:$F$505,M44)</x:f>
        <x:v>1</x:v>
      </x:c>
      <x:c r="O44" s="1"/>
      <x:c r="P44" s="1"/>
      <x:c r="Q44" s="1"/>
    </x:row>
    <x:row r="45" ht="21" customHeight="1">
      <x:c r="A45" s="5" t="n">
        <x:f>'Лист1'!A45</x:f>
        <x:v>43952</x:v>
      </x:c>
      <x:c r="B45" s="1" t="str">
        <x:f>'Лист1'!B45</x:f>
        <x:v>Кемерово</x:v>
      </x:c>
      <x:c r="C45" s="1" t="n">
        <x:f>'Лист1'!C45</x:f>
        <x:v>32487</x:v>
      </x:c>
      <x:c r="D45" s="6" t="n">
        <x:f>'Лист1'!D45</x:f>
        <x:v>3031254</x:v>
      </x:c>
      <x:c r="E45" s="6" t="n">
        <x:f>'Лист1'!E45</x:f>
        <x:v>2397503.37</x:v>
      </x:c>
      <x:c r="F45" s="6" t="n">
        <x:f>'Лист1'!F45</x:f>
        <x:v>232079.8475076923</x:v>
      </x:c>
      <x:c r="G45" s="1" t="n">
        <x:f>IF(N45=1,SUMIFS('Лист2'!$C$2:$C$505,'Лист2'!$A$2:$A$505,A45,'Лист2'!$B$2:$B$505,B45),NA())</x:f>
        <x:v>18</x:v>
      </x:c>
      <x:c r="H45" s="1" t="n">
        <x:f>IF(N45=1,SUMIFS('Лист2'!$D$2:$D$505,'Лист2'!$A$2:$A$505,A45,'Лист2'!$B$2:$B$505,B45),NA())</x:f>
        <x:v>1826</x:v>
      </x:c>
      <x:c r="I45" s="1" t="n">
        <x:f>IF(N45=1,SUMIFS('Лист2'!$E$2:$E$505,'Лист2'!$A$2:$A$505,A45,'Лист2'!$B$2:$B$505,B45),NA())</x:f>
        <x:v>1633</x:v>
      </x:c>
      <x:c r="J45" s="5" t="n">
        <x:f>A45-WEEKDAY(A45,2)+1</x:f>
        <x:v>43948</x:v>
      </x:c>
      <x:c r="K45" s="1" t="n">
        <x:f>YEAR(J45+3)</x:f>
        <x:v>2020</x:v>
      </x:c>
      <x:c r="L45" s="1" t="n">
        <x:f>INT((J45-DATE(K45,1,4)+WEEKDAY(DATE(K45,1,4),2)-1)/7)+1</x:f>
        <x:v>18</x:v>
      </x:c>
      <x:c r="M45" s="1" t="str">
        <x:f>A45&amp;"|"&amp;B45</x:f>
        <x:v>43952|Кемерово</x:v>
      </x:c>
      <x:c r="N45" s="1" t="n">
        <x:f>COUNTIFS('Лист2'!$F$2:$F$505,M45)</x:f>
        <x:v>1</x:v>
      </x:c>
      <x:c r="O45" s="1"/>
      <x:c r="P45" s="1"/>
      <x:c r="Q45" s="1"/>
    </x:row>
    <x:row r="46" ht="21" customHeight="1">
      <x:c r="A46" s="5" t="n">
        <x:f>'Лист1'!A46</x:f>
        <x:v>43952</x:v>
      </x:c>
      <x:c r="B46" s="1" t="str">
        <x:f>'Лист1'!B46</x:f>
        <x:v>Краснодар</x:v>
      </x:c>
      <x:c r="C46" s="1" t="n">
        <x:f>'Лист1'!C46</x:f>
        <x:v>35190</x:v>
      </x:c>
      <x:c r="D46" s="6" t="n">
        <x:f>'Лист1'!D46</x:f>
        <x:v>3168510</x:v>
      </x:c>
      <x:c r="E46" s="6" t="n">
        <x:f>'Лист1'!E46</x:f>
        <x:v>2533138.72</x:v>
      </x:c>
      <x:c r="F46" s="6" t="n">
        <x:f>'Лист1'!F46</x:f>
        <x:v>102615.49999999999</x:v>
      </x:c>
      <x:c r="G46" s="1" t="n">
        <x:f>IF(N46=1,SUMIFS('Лист2'!$C$2:$C$505,'Лист2'!$A$2:$A$505,A46,'Лист2'!$B$2:$B$505,B46),NA())</x:f>
        <x:v>19</x:v>
      </x:c>
      <x:c r="H46" s="1" t="n">
        <x:f>IF(N46=1,SUMIFS('Лист2'!$D$2:$D$505,'Лист2'!$A$2:$A$505,A46,'Лист2'!$B$2:$B$505,B46),NA())</x:f>
        <x:v>1987</x:v>
      </x:c>
      <x:c r="I46" s="1" t="n">
        <x:f>IF(N46=1,SUMIFS('Лист2'!$E$2:$E$505,'Лист2'!$A$2:$A$505,A46,'Лист2'!$B$2:$B$505,B46),NA())</x:f>
        <x:v>1791</x:v>
      </x:c>
      <x:c r="J46" s="5" t="n">
        <x:f>A46-WEEKDAY(A46,2)+1</x:f>
        <x:v>43948</x:v>
      </x:c>
      <x:c r="K46" s="1" t="n">
        <x:f>YEAR(J46+3)</x:f>
        <x:v>2020</x:v>
      </x:c>
      <x:c r="L46" s="1" t="n">
        <x:f>INT((J46-DATE(K46,1,4)+WEEKDAY(DATE(K46,1,4),2)-1)/7)+1</x:f>
        <x:v>18</x:v>
      </x:c>
      <x:c r="M46" s="1" t="str">
        <x:f>A46&amp;"|"&amp;B46</x:f>
        <x:v>43952|Краснодар</x:v>
      </x:c>
      <x:c r="N46" s="1" t="n">
        <x:f>COUNTIFS('Лист2'!$F$2:$F$505,M46)</x:f>
        <x:v>1</x:v>
      </x:c>
      <x:c r="O46" s="1"/>
      <x:c r="P46" s="1"/>
      <x:c r="Q46" s="1"/>
    </x:row>
    <x:row r="47" ht="21" customHeight="1">
      <x:c r="A47" s="5" t="n">
        <x:f>'Лист1'!A47</x:f>
        <x:v>43952</x:v>
      </x:c>
      <x:c r="B47" s="1" t="str">
        <x:f>'Лист1'!B47</x:f>
        <x:v>Москва Восток</x:v>
      </x:c>
      <x:c r="C47" s="1" t="n">
        <x:f>'Лист1'!C47</x:f>
        <x:v>226540.5</x:v>
      </x:c>
      <x:c r="D47" s="6" t="n">
        <x:f>'Лист1'!D47</x:f>
        <x:v>23953536</x:v>
      </x:c>
      <x:c r="E47" s="6" t="n">
        <x:f>'Лист1'!E47</x:f>
        <x:v>17342946.797</x:v>
      </x:c>
      <x:c r="F47" s="6" t="n">
        <x:f>'Лист1'!F47</x:f>
        <x:v>380499.56092307693</x:v>
      </x:c>
      <x:c r="G47" s="1" t="n">
        <x:f>IF(N47=1,SUMIFS('Лист2'!$C$2:$C$505,'Лист2'!$A$2:$A$505,A47,'Лист2'!$B$2:$B$505,B47),NA())</x:f>
        <x:v>54</x:v>
      </x:c>
      <x:c r="H47" s="1" t="n">
        <x:f>IF(N47=1,SUMIFS('Лист2'!$D$2:$D$505,'Лист2'!$A$2:$A$505,A47,'Лист2'!$B$2:$B$505,B47),NA())</x:f>
        <x:v>14205</x:v>
      </x:c>
      <x:c r="I47" s="1" t="n">
        <x:f>IF(N47=1,SUMIFS('Лист2'!$E$2:$E$505,'Лист2'!$A$2:$A$505,A47,'Лист2'!$B$2:$B$505,B47),NA())</x:f>
        <x:v>13026</x:v>
      </x:c>
      <x:c r="J47" s="5" t="n">
        <x:f>A47-WEEKDAY(A47,2)+1</x:f>
        <x:v>43948</x:v>
      </x:c>
      <x:c r="K47" s="1" t="n">
        <x:f>YEAR(J47+3)</x:f>
        <x:v>2020</x:v>
      </x:c>
      <x:c r="L47" s="1" t="n">
        <x:f>INT((J47-DATE(K47,1,4)+WEEKDAY(DATE(K47,1,4),2)-1)/7)+1</x:f>
        <x:v>18</x:v>
      </x:c>
      <x:c r="M47" s="1" t="str">
        <x:f>A47&amp;"|"&amp;B47</x:f>
        <x:v>43952|Москва Восток</x:v>
      </x:c>
      <x:c r="N47" s="1" t="n">
        <x:f>COUNTIFS('Лист2'!$F$2:$F$505,M47)</x:f>
        <x:v>1</x:v>
      </x:c>
      <x:c r="O47" s="1"/>
      <x:c r="P47" s="1"/>
      <x:c r="Q47" s="1"/>
    </x:row>
    <x:row r="48" ht="21" customHeight="1">
      <x:c r="A48" s="5" t="n">
        <x:f>'Лист1'!A48</x:f>
        <x:v>43952</x:v>
      </x:c>
      <x:c r="B48" s="1" t="str">
        <x:f>'Лист1'!B48</x:f>
        <x:v>Москва Запад</x:v>
      </x:c>
      <x:c r="C48" s="1" t="n">
        <x:f>'Лист1'!C48</x:f>
        <x:v>239409</x:v>
      </x:c>
      <x:c r="D48" s="6" t="n">
        <x:f>'Лист1'!D48</x:f>
        <x:v>25413351</x:v>
      </x:c>
      <x:c r="E48" s="6" t="n">
        <x:f>'Лист1'!E48</x:f>
        <x:v>18463277.771</x:v>
      </x:c>
      <x:c r="F48" s="6" t="n">
        <x:f>'Лист1'!F48</x:f>
        <x:v>369443.39999999997</x:v>
      </x:c>
      <x:c r="G48" s="1" t="n">
        <x:f>IF(N48=1,SUMIFS('Лист2'!$C$2:$C$505,'Лист2'!$A$2:$A$505,A48,'Лист2'!$B$2:$B$505,B48),NA())</x:f>
        <x:v>59</x:v>
      </x:c>
      <x:c r="H48" s="1" t="n">
        <x:f>IF(N48=1,SUMIFS('Лист2'!$D$2:$D$505,'Лист2'!$A$2:$A$505,A48,'Лист2'!$B$2:$B$505,B48),NA())</x:f>
        <x:v>15222</x:v>
      </x:c>
      <x:c r="I48" s="1" t="n">
        <x:f>IF(N48=1,SUMIFS('Лист2'!$E$2:$E$505,'Лист2'!$A$2:$A$505,A48,'Лист2'!$B$2:$B$505,B48),NA())</x:f>
        <x:v>13873</x:v>
      </x:c>
      <x:c r="J48" s="5" t="n">
        <x:f>A48-WEEKDAY(A48,2)+1</x:f>
        <x:v>43948</x:v>
      </x:c>
      <x:c r="K48" s="1" t="n">
        <x:f>YEAR(J48+3)</x:f>
        <x:v>2020</x:v>
      </x:c>
      <x:c r="L48" s="1" t="n">
        <x:f>INT((J48-DATE(K48,1,4)+WEEKDAY(DATE(K48,1,4),2)-1)/7)+1</x:f>
        <x:v>18</x:v>
      </x:c>
      <x:c r="M48" s="1" t="str">
        <x:f>A48&amp;"|"&amp;B48</x:f>
        <x:v>43952|Москва Запад</x:v>
      </x:c>
      <x:c r="N48" s="1" t="n">
        <x:f>COUNTIFS('Лист2'!$F$2:$F$505,M48)</x:f>
        <x:v>1</x:v>
      </x:c>
      <x:c r="O48" s="1"/>
      <x:c r="P48" s="1"/>
      <x:c r="Q48" s="1"/>
    </x:row>
    <x:row r="49" ht="21" customHeight="1">
      <x:c r="A49" s="5" t="n">
        <x:f>'Лист1'!A49</x:f>
        <x:v>43952</x:v>
      </x:c>
      <x:c r="B49" s="1" t="str">
        <x:f>'Лист1'!B49</x:f>
        <x:v>Нижний Новгород</x:v>
      </x:c>
      <x:c r="C49" s="1" t="n">
        <x:f>'Лист1'!C49</x:f>
        <x:v>25792.5</x:v>
      </x:c>
      <x:c r="D49" s="6" t="n">
        <x:f>'Лист1'!D49</x:f>
        <x:v>2374356</x:v>
      </x:c>
      <x:c r="E49" s="6" t="n">
        <x:f>'Лист1'!E49</x:f>
        <x:v>1915101.034</x:v>
      </x:c>
      <x:c r="F49" s="6" t="n">
        <x:f>'Лист1'!F49</x:f>
        <x:v>277477.3193230769</x:v>
      </x:c>
      <x:c r="G49" s="1" t="n">
        <x:f>IF(N49=1,SUMIFS('Лист2'!$C$2:$C$505,'Лист2'!$A$2:$A$505,A49,'Лист2'!$B$2:$B$505,B49),NA())</x:f>
        <x:v>19</x:v>
      </x:c>
      <x:c r="H49" s="1" t="n">
        <x:f>IF(N49=1,SUMIFS('Лист2'!$D$2:$D$505,'Лист2'!$A$2:$A$505,A49,'Лист2'!$B$2:$B$505,B49),NA())</x:f>
        <x:v>1497</x:v>
      </x:c>
      <x:c r="I49" s="1" t="n">
        <x:f>IF(N49=1,SUMIFS('Лист2'!$E$2:$E$505,'Лист2'!$A$2:$A$505,A49,'Лист2'!$B$2:$B$505,B49),NA())</x:f>
        <x:v>1291</x:v>
      </x:c>
      <x:c r="J49" s="5" t="n">
        <x:f>A49-WEEKDAY(A49,2)+1</x:f>
        <x:v>43948</x:v>
      </x:c>
      <x:c r="K49" s="1" t="n">
        <x:f>YEAR(J49+3)</x:f>
        <x:v>2020</x:v>
      </x:c>
      <x:c r="L49" s="1" t="n">
        <x:f>INT((J49-DATE(K49,1,4)+WEEKDAY(DATE(K49,1,4),2)-1)/7)+1</x:f>
        <x:v>18</x:v>
      </x:c>
      <x:c r="M49" s="1" t="str">
        <x:f>A49&amp;"|"&amp;B49</x:f>
        <x:v>43952|Нижний Новгород</x:v>
      </x:c>
      <x:c r="N49" s="1" t="n">
        <x:f>COUNTIFS('Лист2'!$F$2:$F$505,M49)</x:f>
        <x:v>1</x:v>
      </x:c>
      <x:c r="O49" s="1"/>
      <x:c r="P49" s="1"/>
      <x:c r="Q49" s="1"/>
    </x:row>
    <x:row r="50" ht="21" customHeight="1">
      <x:c r="A50" s="5" t="n">
        <x:f>'Лист1'!A50</x:f>
        <x:v>43952</x:v>
      </x:c>
      <x:c r="B50" s="1" t="str">
        <x:f>'Лист1'!B50</x:f>
        <x:v>Новосибирск</x:v>
      </x:c>
      <x:c r="C50" s="1" t="n">
        <x:f>'Лист1'!C50</x:f>
        <x:v>13644</x:v>
      </x:c>
      <x:c r="D50" s="6" t="n">
        <x:f>'Лист1'!D50</x:f>
        <x:v>1134444</x:v>
      </x:c>
      <x:c r="E50" s="6" t="n">
        <x:f>'Лист1'!E50</x:f>
        <x:v>971710.8709999999</x:v>
      </x:c>
      <x:c r="F50" s="6" t="n">
        <x:f>'Лист1'!F50</x:f>
        <x:v>291527.8831384615</x:v>
      </x:c>
      <x:c r="G50" s="1" t="n">
        <x:f>IF(N50=1,SUMIFS('Лист2'!$C$2:$C$505,'Лист2'!$A$2:$A$505,A50,'Лист2'!$B$2:$B$505,B50),NA())</x:f>
        <x:v>15</x:v>
      </x:c>
      <x:c r="H50" s="1" t="n">
        <x:f>IF(N50=1,SUMIFS('Лист2'!$D$2:$D$505,'Лист2'!$A$2:$A$505,A50,'Лист2'!$B$2:$B$505,B50),NA())</x:f>
        <x:v>721</x:v>
      </x:c>
      <x:c r="I50" s="1" t="n">
        <x:f>IF(N50=1,SUMIFS('Лист2'!$E$2:$E$505,'Лист2'!$A$2:$A$505,A50,'Лист2'!$B$2:$B$505,B50),NA())</x:f>
        <x:v>625</x:v>
      </x:c>
      <x:c r="J50" s="5" t="n">
        <x:f>A50-WEEKDAY(A50,2)+1</x:f>
        <x:v>43948</x:v>
      </x:c>
      <x:c r="K50" s="1" t="n">
        <x:f>YEAR(J50+3)</x:f>
        <x:v>2020</x:v>
      </x:c>
      <x:c r="L50" s="1" t="n">
        <x:f>INT((J50-DATE(K50,1,4)+WEEKDAY(DATE(K50,1,4),2)-1)/7)+1</x:f>
        <x:v>18</x:v>
      </x:c>
      <x:c r="M50" s="1" t="str">
        <x:f>A50&amp;"|"&amp;B50</x:f>
        <x:v>43952|Новосибирск</x:v>
      </x:c>
      <x:c r="N50" s="1" t="n">
        <x:f>COUNTIFS('Лист2'!$F$2:$F$505,M50)</x:f>
        <x:v>1</x:v>
      </x:c>
      <x:c r="O50" s="1"/>
      <x:c r="P50" s="1"/>
      <x:c r="Q50" s="1"/>
    </x:row>
    <x:row r="51" ht="21" customHeight="1">
      <x:c r="A51" s="5" t="n">
        <x:f>'Лист1'!A51</x:f>
        <x:v>43952</x:v>
      </x:c>
      <x:c r="B51" s="1" t="str">
        <x:f>'Лист1'!B51</x:f>
        <x:v>Пермь</x:v>
      </x:c>
      <x:c r="C51" s="1" t="n">
        <x:f>'Лист1'!C51</x:f>
        <x:v>17113.5</x:v>
      </x:c>
      <x:c r="D51" s="6" t="n">
        <x:f>'Лист1'!D51</x:f>
        <x:v>1465842</x:v>
      </x:c>
      <x:c r="E51" s="6" t="n">
        <x:f>'Лист1'!E51</x:f>
        <x:v>1193019.642</x:v>
      </x:c>
      <x:c r="F51" s="6" t="n">
        <x:f>'Лист1'!F51</x:f>
        <x:v>272484.6307692308</x:v>
      </x:c>
      <x:c r="G51" s="1" t="n">
        <x:f>IF(N51=1,SUMIFS('Лист2'!$C$2:$C$505,'Лист2'!$A$2:$A$505,A51,'Лист2'!$B$2:$B$505,B51),NA())</x:f>
        <x:v>15</x:v>
      </x:c>
      <x:c r="H51" s="1" t="n">
        <x:f>IF(N51=1,SUMIFS('Лист2'!$D$2:$D$505,'Лист2'!$A$2:$A$505,A51,'Лист2'!$B$2:$B$505,B51),NA())</x:f>
        <x:v>996</x:v>
      </x:c>
      <x:c r="I51" s="1" t="n">
        <x:f>IF(N51=1,SUMIFS('Лист2'!$E$2:$E$505,'Лист2'!$A$2:$A$505,A51,'Лист2'!$B$2:$B$505,B51),NA())</x:f>
        <x:v>888</x:v>
      </x:c>
      <x:c r="J51" s="5" t="n">
        <x:f>A51-WEEKDAY(A51,2)+1</x:f>
        <x:v>43948</x:v>
      </x:c>
      <x:c r="K51" s="1" t="n">
        <x:f>YEAR(J51+3)</x:f>
        <x:v>2020</x:v>
      </x:c>
      <x:c r="L51" s="1" t="n">
        <x:f>INT((J51-DATE(K51,1,4)+WEEKDAY(DATE(K51,1,4),2)-1)/7)+1</x:f>
        <x:v>18</x:v>
      </x:c>
      <x:c r="M51" s="1" t="str">
        <x:f>A51&amp;"|"&amp;B51</x:f>
        <x:v>43952|Пермь</x:v>
      </x:c>
      <x:c r="N51" s="1" t="n">
        <x:f>COUNTIFS('Лист2'!$F$2:$F$505,M51)</x:f>
        <x:v>1</x:v>
      </x:c>
      <x:c r="O51" s="1"/>
      <x:c r="P51" s="1"/>
      <x:c r="Q51" s="1"/>
    </x:row>
    <x:row r="52" ht="21" customHeight="1">
      <x:c r="A52" s="5" t="n">
        <x:f>'Лист1'!A52</x:f>
        <x:v>43952</x:v>
      </x:c>
      <x:c r="B52" s="1" t="str">
        <x:f>'Лист1'!B52</x:f>
        <x:v>Ростов-на-Дону</x:v>
      </x:c>
      <x:c r="C52" s="1" t="n">
        <x:f>'Лист1'!C52</x:f>
        <x:v>5446.5</x:v>
      </x:c>
      <x:c r="D52" s="6" t="n">
        <x:f>'Лист1'!D52</x:f>
        <x:v>505572</x:v>
      </x:c>
      <x:c r="E52" s="6" t="n">
        <x:f>'Лист1'!E52</x:f>
        <x:v>422390.908</x:v>
      </x:c>
      <x:c r="F52" s="6" t="n">
        <x:f>'Лист1'!F52</x:f>
        <x:v>42729.218369230766</x:v>
      </x:c>
      <x:c r="G52" s="1" t="n">
        <x:f>IF(N52=1,SUMIFS('Лист2'!$C$2:$C$505,'Лист2'!$A$2:$A$505,A52,'Лист2'!$B$2:$B$505,B52),NA())</x:f>
        <x:v>15</x:v>
      </x:c>
      <x:c r="H52" s="1" t="n">
        <x:f>IF(N52=1,SUMIFS('Лист2'!$D$2:$D$505,'Лист2'!$A$2:$A$505,A52,'Лист2'!$B$2:$B$505,B52),NA())</x:f>
        <x:v>294</x:v>
      </x:c>
      <x:c r="I52" s="1" t="n">
        <x:f>IF(N52=1,SUMIFS('Лист2'!$E$2:$E$505,'Лист2'!$A$2:$A$505,A52,'Лист2'!$B$2:$B$505,B52),NA())</x:f>
        <x:v>225</x:v>
      </x:c>
      <x:c r="J52" s="5" t="n">
        <x:f>A52-WEEKDAY(A52,2)+1</x:f>
        <x:v>43948</x:v>
      </x:c>
      <x:c r="K52" s="1" t="n">
        <x:f>YEAR(J52+3)</x:f>
        <x:v>2020</x:v>
      </x:c>
      <x:c r="L52" s="1" t="n">
        <x:f>INT((J52-DATE(K52,1,4)+WEEKDAY(DATE(K52,1,4),2)-1)/7)+1</x:f>
        <x:v>18</x:v>
      </x:c>
      <x:c r="M52" s="1" t="str">
        <x:f>A52&amp;"|"&amp;B52</x:f>
        <x:v>43952|Ростов-на-Дону</x:v>
      </x:c>
      <x:c r="N52" s="1" t="n">
        <x:f>COUNTIFS('Лист2'!$F$2:$F$505,M52)</x:f>
        <x:v>1</x:v>
      </x:c>
      <x:c r="O52" s="1"/>
      <x:c r="P52" s="1"/>
      <x:c r="Q52" s="1"/>
    </x:row>
    <x:row r="53" ht="21" customHeight="1">
      <x:c r="A53" s="5" t="n">
        <x:f>'Лист1'!A53</x:f>
        <x:v>43952</x:v>
      </x:c>
      <x:c r="B53" s="1" t="str">
        <x:f>'Лист1'!B53</x:f>
        <x:v>Санкт-Петербург Север</x:v>
      </x:c>
      <x:c r="C53" s="1" t="n">
        <x:f>'Лист1'!C53</x:f>
        <x:v>372504</x:v>
      </x:c>
      <x:c r="D53" s="6" t="n">
        <x:f>'Лист1'!D53</x:f>
        <x:v>40077193.5</x:v>
      </x:c>
      <x:c r="E53" s="6" t="n">
        <x:f>'Лист1'!E53</x:f>
        <x:v>29141359.438</x:v>
      </x:c>
      <x:c r="F53" s="6" t="n">
        <x:f>'Лист1'!F53</x:f>
        <x:v>848425.4184384615</x:v>
      </x:c>
      <x:c r="G53" s="1" t="n">
        <x:f>IF(N53=1,SUMIFS('Лист2'!$C$2:$C$505,'Лист2'!$A$2:$A$505,A53,'Лист2'!$B$2:$B$505,B53),NA())</x:f>
        <x:v>125</x:v>
      </x:c>
      <x:c r="H53" s="1" t="n">
        <x:f>IF(N53=1,SUMIFS('Лист2'!$D$2:$D$505,'Лист2'!$A$2:$A$505,A53,'Лист2'!$B$2:$B$505,B53),NA())</x:f>
        <x:v>20602</x:v>
      </x:c>
      <x:c r="I53" s="1" t="n">
        <x:f>IF(N53=1,SUMIFS('Лист2'!$E$2:$E$505,'Лист2'!$A$2:$A$505,A53,'Лист2'!$B$2:$B$505,B53),NA())</x:f>
        <x:v>18845</x:v>
      </x:c>
      <x:c r="J53" s="5" t="n">
        <x:f>A53-WEEKDAY(A53,2)+1</x:f>
        <x:v>43948</x:v>
      </x:c>
      <x:c r="K53" s="1" t="n">
        <x:f>YEAR(J53+3)</x:f>
        <x:v>2020</x:v>
      </x:c>
      <x:c r="L53" s="1" t="n">
        <x:f>INT((J53-DATE(K53,1,4)+WEEKDAY(DATE(K53,1,4),2)-1)/7)+1</x:f>
        <x:v>18</x:v>
      </x:c>
      <x:c r="M53" s="1" t="str">
        <x:f>A53&amp;"|"&amp;B53</x:f>
        <x:v>43952|Санкт-Петербург Север</x:v>
      </x:c>
      <x:c r="N53" s="1" t="n">
        <x:f>COUNTIFS('Лист2'!$F$2:$F$505,M53)</x:f>
        <x:v>1</x:v>
      </x:c>
      <x:c r="O53" s="1"/>
      <x:c r="P53" s="1"/>
      <x:c r="Q53" s="1"/>
    </x:row>
    <x:row r="54" ht="21" customHeight="1">
      <x:c r="A54" s="5" t="n">
        <x:f>'Лист1'!A54</x:f>
        <x:v>43952</x:v>
      </x:c>
      <x:c r="B54" s="1" t="str">
        <x:f>'Лист1'!B54</x:f>
        <x:v>Санкт-Петербург Юг</x:v>
      </x:c>
      <x:c r="C54" s="1" t="n">
        <x:f>'Лист1'!C54</x:f>
        <x:v>296149.5</x:v>
      </x:c>
      <x:c r="D54" s="6" t="n">
        <x:f>'Лист1'!D54</x:f>
        <x:v>31053316.5</x:v>
      </x:c>
      <x:c r="E54" s="6" t="n">
        <x:f>'Лист1'!E54</x:f>
        <x:v>22737807.547</x:v>
      </x:c>
      <x:c r="F54" s="6" t="n">
        <x:f>'Лист1'!F54</x:f>
        <x:v>896375.1692307692</x:v>
      </x:c>
      <x:c r="G54" s="1" t="n">
        <x:f>IF(N54=1,SUMIFS('Лист2'!$C$2:$C$505,'Лист2'!$A$2:$A$505,A54,'Лист2'!$B$2:$B$505,B54),NA())</x:f>
        <x:v>129</x:v>
      </x:c>
      <x:c r="H54" s="1" t="n">
        <x:f>IF(N54=1,SUMIFS('Лист2'!$D$2:$D$505,'Лист2'!$A$2:$A$505,A54,'Лист2'!$B$2:$B$505,B54),NA())</x:f>
        <x:v>17002</x:v>
      </x:c>
      <x:c r="I54" s="1" t="n">
        <x:f>IF(N54=1,SUMIFS('Лист2'!$E$2:$E$505,'Лист2'!$A$2:$A$505,A54,'Лист2'!$B$2:$B$505,B54),NA())</x:f>
        <x:v>15570</x:v>
      </x:c>
      <x:c r="J54" s="5" t="n">
        <x:f>A54-WEEKDAY(A54,2)+1</x:f>
        <x:v>43948</x:v>
      </x:c>
      <x:c r="K54" s="1" t="n">
        <x:f>YEAR(J54+3)</x:f>
        <x:v>2020</x:v>
      </x:c>
      <x:c r="L54" s="1" t="n">
        <x:f>INT((J54-DATE(K54,1,4)+WEEKDAY(DATE(K54,1,4),2)-1)/7)+1</x:f>
        <x:v>18</x:v>
      </x:c>
      <x:c r="M54" s="1" t="str">
        <x:f>A54&amp;"|"&amp;B54</x:f>
        <x:v>43952|Санкт-Петербург Юг</x:v>
      </x:c>
      <x:c r="N54" s="1" t="n">
        <x:f>COUNTIFS('Лист2'!$F$2:$F$505,M54)</x:f>
        <x:v>1</x:v>
      </x:c>
      <x:c r="O54" s="1"/>
      <x:c r="P54" s="1"/>
      <x:c r="Q54" s="1"/>
    </x:row>
    <x:row r="55" ht="21" customHeight="1">
      <x:c r="A55" s="5" t="n">
        <x:f>'Лист1'!A55</x:f>
        <x:v>43952</x:v>
      </x:c>
      <x:c r="B55" s="1" t="str">
        <x:f>'Лист1'!B55</x:f>
        <x:v>Тольятти</x:v>
      </x:c>
      <x:c r="C55" s="1" t="n">
        <x:f>'Лист1'!C55</x:f>
        <x:v>11619</x:v>
      </x:c>
      <x:c r="D55" s="6" t="n">
        <x:f>'Лист1'!D55</x:f>
        <x:v>891139.5</x:v>
      </x:c>
      <x:c r="E55" s="6" t="n">
        <x:f>'Лист1'!E55</x:f>
        <x:v>829782.376</x:v>
      </x:c>
      <x:c r="F55" s="6" t="n">
        <x:f>'Лист1'!F55</x:f>
        <x:v>121759.66210769229</x:v>
      </x:c>
      <x:c r="G55" s="1" t="n">
        <x:f>IF(N55=1,SUMIFS('Лист2'!$C$2:$C$505,'Лист2'!$A$2:$A$505,A55,'Лист2'!$B$2:$B$505,B55),NA())</x:f>
        <x:v>10</x:v>
      </x:c>
      <x:c r="H55" s="1" t="n">
        <x:f>IF(N55=1,SUMIFS('Лист2'!$D$2:$D$505,'Лист2'!$A$2:$A$505,A55,'Лист2'!$B$2:$B$505,B55),NA())</x:f>
        <x:v>554</x:v>
      </x:c>
      <x:c r="I55" s="1" t="n">
        <x:f>IF(N55=1,SUMIFS('Лист2'!$E$2:$E$505,'Лист2'!$A$2:$A$505,A55,'Лист2'!$B$2:$B$505,B55),NA())</x:f>
        <x:v>472</x:v>
      </x:c>
      <x:c r="J55" s="5" t="n">
        <x:f>A55-WEEKDAY(A55,2)+1</x:f>
        <x:v>43948</x:v>
      </x:c>
      <x:c r="K55" s="1" t="n">
        <x:f>YEAR(J55+3)</x:f>
        <x:v>2020</x:v>
      </x:c>
      <x:c r="L55" s="1" t="n">
        <x:f>INT((J55-DATE(K55,1,4)+WEEKDAY(DATE(K55,1,4),2)-1)/7)+1</x:f>
        <x:v>18</x:v>
      </x:c>
      <x:c r="M55" s="1" t="str">
        <x:f>A55&amp;"|"&amp;B55</x:f>
        <x:v>43952|Тольятти</x:v>
      </x:c>
      <x:c r="N55" s="1" t="n">
        <x:f>COUNTIFS('Лист2'!$F$2:$F$505,M55)</x:f>
        <x:v>1</x:v>
      </x:c>
      <x:c r="O55" s="1"/>
      <x:c r="P55" s="1"/>
      <x:c r="Q55" s="1"/>
    </x:row>
    <x:row r="56" ht="21" customHeight="1">
      <x:c r="A56" s="5" t="n">
        <x:f>'Лист1'!A56</x:f>
        <x:v>43953</x:v>
      </x:c>
      <x:c r="B56" s="1" t="str">
        <x:f>'Лист1'!B56</x:f>
        <x:v>Волгоград</x:v>
      </x:c>
      <x:c r="C56" s="1" t="n">
        <x:f>'Лист1'!C56</x:f>
        <x:v>46216.5</x:v>
      </x:c>
      <x:c r="D56" s="6" t="n">
        <x:f>'Лист1'!D56</x:f>
        <x:v>4118251.5</x:v>
      </x:c>
      <x:c r="E56" s="6" t="n">
        <x:f>'Лист1'!E56</x:f>
        <x:v>3133704.928</x:v>
      </x:c>
      <x:c r="F56" s="6" t="n">
        <x:f>'Лист1'!F56</x:f>
        <x:v>179531.89196153847</x:v>
      </x:c>
      <x:c r="G56" s="1" t="n">
        <x:f>IF(N56=1,SUMIFS('Лист2'!$C$2:$C$505,'Лист2'!$A$2:$A$505,A56,'Лист2'!$B$2:$B$505,B56),NA())</x:f>
        <x:v>36</x:v>
      </x:c>
      <x:c r="H56" s="1" t="n">
        <x:f>IF(N56=1,SUMIFS('Лист2'!$D$2:$D$505,'Лист2'!$A$2:$A$505,A56,'Лист2'!$B$2:$B$505,B56),NA())</x:f>
        <x:v>3442</x:v>
      </x:c>
      <x:c r="I56" s="1" t="n">
        <x:f>IF(N56=1,SUMIFS('Лист2'!$E$2:$E$505,'Лист2'!$A$2:$A$505,A56,'Лист2'!$B$2:$B$505,B56),NA())</x:f>
        <x:v>3147</x:v>
      </x:c>
      <x:c r="J56" s="5" t="n">
        <x:f>A56-WEEKDAY(A56,2)+1</x:f>
        <x:v>43948</x:v>
      </x:c>
      <x:c r="K56" s="1" t="n">
        <x:f>YEAR(J56+3)</x:f>
        <x:v>2020</x:v>
      </x:c>
      <x:c r="L56" s="1" t="n">
        <x:f>INT((J56-DATE(K56,1,4)+WEEKDAY(DATE(K56,1,4),2)-1)/7)+1</x:f>
        <x:v>18</x:v>
      </x:c>
      <x:c r="M56" s="1" t="str">
        <x:f>A56&amp;"|"&amp;B56</x:f>
        <x:v>43953|Волгоград</x:v>
      </x:c>
      <x:c r="N56" s="1" t="n">
        <x:f>COUNTIFS('Лист2'!$F$2:$F$505,M56)</x:f>
        <x:v>1</x:v>
      </x:c>
      <x:c r="O56" s="1"/>
      <x:c r="P56" s="1"/>
      <x:c r="Q56" s="1"/>
    </x:row>
    <x:row r="57" ht="21" customHeight="1">
      <x:c r="A57" s="5" t="n">
        <x:f>'Лист1'!A57</x:f>
        <x:v>43953</x:v>
      </x:c>
      <x:c r="B57" s="1" t="str">
        <x:f>'Лист1'!B57</x:f>
        <x:v>Екатеринбург</x:v>
      </x:c>
      <x:c r="C57" s="1" t="n">
        <x:f>'Лист1'!C57</x:f>
        <x:v>60463.5</x:v>
      </x:c>
      <x:c r="D57" s="6" t="n">
        <x:f>'Лист1'!D57</x:f>
        <x:v>5554192.5</x:v>
      </x:c>
      <x:c r="E57" s="6" t="n">
        <x:f>'Лист1'!E57</x:f>
        <x:v>4218316.029</x:v>
      </x:c>
      <x:c r="F57" s="6" t="n">
        <x:f>'Лист1'!F57</x:f>
        <x:v>244262.12107692307</x:v>
      </x:c>
      <x:c r="G57" s="1" t="n">
        <x:f>IF(N57=1,SUMIFS('Лист2'!$C$2:$C$505,'Лист2'!$A$2:$A$505,A57,'Лист2'!$B$2:$B$505,B57),NA())</x:f>
        <x:v>31</x:v>
      </x:c>
      <x:c r="H57" s="1" t="n">
        <x:f>IF(N57=1,SUMIFS('Лист2'!$D$2:$D$505,'Лист2'!$A$2:$A$505,A57,'Лист2'!$B$2:$B$505,B57),NA())</x:f>
        <x:v>4157</x:v>
      </x:c>
      <x:c r="I57" s="1" t="n">
        <x:f>IF(N57=1,SUMIFS('Лист2'!$E$2:$E$505,'Лист2'!$A$2:$A$505,A57,'Лист2'!$B$2:$B$505,B57),NA())</x:f>
        <x:v>3823</x:v>
      </x:c>
      <x:c r="J57" s="5" t="n">
        <x:f>A57-WEEKDAY(A57,2)+1</x:f>
        <x:v>43948</x:v>
      </x:c>
      <x:c r="K57" s="1" t="n">
        <x:f>YEAR(J57+3)</x:f>
        <x:v>2020</x:v>
      </x:c>
      <x:c r="L57" s="1" t="n">
        <x:f>INT((J57-DATE(K57,1,4)+WEEKDAY(DATE(K57,1,4),2)-1)/7)+1</x:f>
        <x:v>18</x:v>
      </x:c>
      <x:c r="M57" s="1" t="str">
        <x:f>A57&amp;"|"&amp;B57</x:f>
        <x:v>43953|Екатеринбург</x:v>
      </x:c>
      <x:c r="N57" s="1" t="n">
        <x:f>COUNTIFS('Лист2'!$F$2:$F$505,M57)</x:f>
        <x:v>1</x:v>
      </x:c>
      <x:c r="O57" s="1"/>
      <x:c r="P57" s="1"/>
      <x:c r="Q57" s="1"/>
    </x:row>
    <x:row r="58" ht="21" customHeight="1">
      <x:c r="A58" s="5" t="n">
        <x:f>'Лист1'!A58</x:f>
        <x:v>43953</x:v>
      </x:c>
      <x:c r="B58" s="1" t="str">
        <x:f>'Лист1'!B58</x:f>
        <x:v>Казань</x:v>
      </x:c>
      <x:c r="C58" s="1" t="n">
        <x:f>'Лист1'!C58</x:f>
        <x:v>26428.5</x:v>
      </x:c>
      <x:c r="D58" s="6" t="n">
        <x:f>'Лист1'!D58</x:f>
        <x:v>2470465.5</x:v>
      </x:c>
      <x:c r="E58" s="6" t="n">
        <x:f>'Лист1'!E58</x:f>
        <x:v>1911613.144</x:v>
      </x:c>
      <x:c r="F58" s="6" t="n">
        <x:f>'Лист1'!F58</x:f>
        <x:v>187667.93086153845</x:v>
      </x:c>
      <x:c r="G58" s="1" t="n">
        <x:f>IF(N58=1,SUMIFS('Лист2'!$C$2:$C$505,'Лист2'!$A$2:$A$505,A58,'Лист2'!$B$2:$B$505,B58),NA())</x:f>
        <x:v>20</x:v>
      </x:c>
      <x:c r="H58" s="1" t="n">
        <x:f>IF(N58=1,SUMIFS('Лист2'!$D$2:$D$505,'Лист2'!$A$2:$A$505,A58,'Лист2'!$B$2:$B$505,B58),NA())</x:f>
        <x:v>1613</x:v>
      </x:c>
      <x:c r="I58" s="1" t="n">
        <x:f>IF(N58=1,SUMIFS('Лист2'!$E$2:$E$505,'Лист2'!$A$2:$A$505,A58,'Лист2'!$B$2:$B$505,B58),NA())</x:f>
        <x:v>1457</x:v>
      </x:c>
      <x:c r="J58" s="5" t="n">
        <x:f>A58-WEEKDAY(A58,2)+1</x:f>
        <x:v>43948</x:v>
      </x:c>
      <x:c r="K58" s="1" t="n">
        <x:f>YEAR(J58+3)</x:f>
        <x:v>2020</x:v>
      </x:c>
      <x:c r="L58" s="1" t="n">
        <x:f>INT((J58-DATE(K58,1,4)+WEEKDAY(DATE(K58,1,4),2)-1)/7)+1</x:f>
        <x:v>18</x:v>
      </x:c>
      <x:c r="M58" s="1" t="str">
        <x:f>A58&amp;"|"&amp;B58</x:f>
        <x:v>43953|Казань</x:v>
      </x:c>
      <x:c r="N58" s="1" t="n">
        <x:f>COUNTIFS('Лист2'!$F$2:$F$505,M58)</x:f>
        <x:v>1</x:v>
      </x:c>
      <x:c r="O58" s="1"/>
      <x:c r="P58" s="1"/>
      <x:c r="Q58" s="1"/>
    </x:row>
    <x:row r="59" ht="21" customHeight="1">
      <x:c r="A59" s="5" t="n">
        <x:f>'Лист1'!A59</x:f>
        <x:v>43953</x:v>
      </x:c>
      <x:c r="B59" s="1" t="str">
        <x:f>'Лист1'!B59</x:f>
        <x:v>Кемерово</x:v>
      </x:c>
      <x:c r="C59" s="1" t="n">
        <x:f>'Лист1'!C59</x:f>
        <x:v>29031</x:v>
      </x:c>
      <x:c r="D59" s="6" t="n">
        <x:f>'Лист1'!D59</x:f>
        <x:v>2711247</x:v>
      </x:c>
      <x:c r="E59" s="6" t="n">
        <x:f>'Лист1'!E59</x:f>
        <x:v>2165434.925</x:v>
      </x:c>
      <x:c r="F59" s="6" t="n">
        <x:f>'Лист1'!F59</x:f>
        <x:v>185484.16923076924</x:v>
      </x:c>
      <x:c r="G59" s="1" t="n">
        <x:f>IF(N59=1,SUMIFS('Лист2'!$C$2:$C$505,'Лист2'!$A$2:$A$505,A59,'Лист2'!$B$2:$B$505,B59),NA())</x:f>
        <x:v>18</x:v>
      </x:c>
      <x:c r="H59" s="1" t="n">
        <x:f>IF(N59=1,SUMIFS('Лист2'!$D$2:$D$505,'Лист2'!$A$2:$A$505,A59,'Лист2'!$B$2:$B$505,B59),NA())</x:f>
        <x:v>1708</x:v>
      </x:c>
      <x:c r="I59" s="1" t="n">
        <x:f>IF(N59=1,SUMIFS('Лист2'!$E$2:$E$505,'Лист2'!$A$2:$A$505,A59,'Лист2'!$B$2:$B$505,B59),NA())</x:f>
        <x:v>1534</x:v>
      </x:c>
      <x:c r="J59" s="5" t="n">
        <x:f>A59-WEEKDAY(A59,2)+1</x:f>
        <x:v>43948</x:v>
      </x:c>
      <x:c r="K59" s="1" t="n">
        <x:f>YEAR(J59+3)</x:f>
        <x:v>2020</x:v>
      </x:c>
      <x:c r="L59" s="1" t="n">
        <x:f>INT((J59-DATE(K59,1,4)+WEEKDAY(DATE(K59,1,4),2)-1)/7)+1</x:f>
        <x:v>18</x:v>
      </x:c>
      <x:c r="M59" s="1" t="str">
        <x:f>A59&amp;"|"&amp;B59</x:f>
        <x:v>43953|Кемерово</x:v>
      </x:c>
      <x:c r="N59" s="1" t="n">
        <x:f>COUNTIFS('Лист2'!$F$2:$F$505,M59)</x:f>
        <x:v>1</x:v>
      </x:c>
      <x:c r="O59" s="1"/>
      <x:c r="P59" s="1"/>
      <x:c r="Q59" s="1"/>
    </x:row>
    <x:row r="60" ht="21" customHeight="1">
      <x:c r="A60" s="5" t="n">
        <x:f>'Лист1'!A60</x:f>
        <x:v>43953</x:v>
      </x:c>
      <x:c r="B60" s="1" t="str">
        <x:f>'Лист1'!B60</x:f>
        <x:v>Краснодар</x:v>
      </x:c>
      <x:c r="C60" s="1" t="n">
        <x:f>'Лист1'!C60</x:f>
        <x:v>18427.5</x:v>
      </x:c>
      <x:c r="D60" s="6" t="n">
        <x:f>'Лист1'!D60</x:f>
        <x:v>1682851.5</x:v>
      </x:c>
      <x:c r="E60" s="6" t="n">
        <x:f>'Лист1'!E60</x:f>
        <x:v>1337535.2989999999</x:v>
      </x:c>
      <x:c r="F60" s="6" t="n">
        <x:f>'Лист1'!F60</x:f>
        <x:v>121636.08074615385</x:v>
      </x:c>
      <x:c r="G60" s="1" t="n">
        <x:f>IF(N60=1,SUMIFS('Лист2'!$C$2:$C$505,'Лист2'!$A$2:$A$505,A60,'Лист2'!$B$2:$B$505,B60),NA())</x:f>
        <x:v>19</x:v>
      </x:c>
      <x:c r="H60" s="1" t="n">
        <x:f>IF(N60=1,SUMIFS('Лист2'!$D$2:$D$505,'Лист2'!$A$2:$A$505,A60,'Лист2'!$B$2:$B$505,B60),NA())</x:f>
        <x:v>1206</x:v>
      </x:c>
      <x:c r="I60" s="1" t="n">
        <x:f>IF(N60=1,SUMIFS('Лист2'!$E$2:$E$505,'Лист2'!$A$2:$A$505,A60,'Лист2'!$B$2:$B$505,B60),NA())</x:f>
        <x:v>1080</x:v>
      </x:c>
      <x:c r="J60" s="5" t="n">
        <x:f>A60-WEEKDAY(A60,2)+1</x:f>
        <x:v>43948</x:v>
      </x:c>
      <x:c r="K60" s="1" t="n">
        <x:f>YEAR(J60+3)</x:f>
        <x:v>2020</x:v>
      </x:c>
      <x:c r="L60" s="1" t="n">
        <x:f>INT((J60-DATE(K60,1,4)+WEEKDAY(DATE(K60,1,4),2)-1)/7)+1</x:f>
        <x:v>18</x:v>
      </x:c>
      <x:c r="M60" s="1" t="str">
        <x:f>A60&amp;"|"&amp;B60</x:f>
        <x:v>43953|Краснодар</x:v>
      </x:c>
      <x:c r="N60" s="1" t="n">
        <x:f>COUNTIFS('Лист2'!$F$2:$F$505,M60)</x:f>
        <x:v>1</x:v>
      </x:c>
      <x:c r="O60" s="1"/>
      <x:c r="P60" s="1"/>
      <x:c r="Q60" s="1"/>
    </x:row>
    <x:row r="61" ht="21" customHeight="1">
      <x:c r="A61" s="5" t="n">
        <x:f>'Лист1'!A61</x:f>
        <x:v>43953</x:v>
      </x:c>
      <x:c r="B61" s="1" t="str">
        <x:f>'Лист1'!B61</x:f>
        <x:v>Москва Восток</x:v>
      </x:c>
      <x:c r="C61" s="1" t="n">
        <x:f>'Лист1'!C61</x:f>
        <x:v>176397</x:v>
      </x:c>
      <x:c r="D61" s="6" t="n">
        <x:f>'Лист1'!D61</x:f>
        <x:v>18625921.5</x:v>
      </x:c>
      <x:c r="E61" s="6" t="n">
        <x:f>'Лист1'!E61</x:f>
        <x:v>13628439.163999999</x:v>
      </x:c>
      <x:c r="F61" s="6" t="n">
        <x:f>'Лист1'!F61</x:f>
        <x:v>370802.93846153846</x:v>
      </x:c>
      <x:c r="G61" s="1" t="n">
        <x:f>IF(N61=1,SUMIFS('Лист2'!$C$2:$C$505,'Лист2'!$A$2:$A$505,A61,'Лист2'!$B$2:$B$505,B61),NA())</x:f>
        <x:v>54</x:v>
      </x:c>
      <x:c r="H61" s="1" t="n">
        <x:f>IF(N61=1,SUMIFS('Лист2'!$D$2:$D$505,'Лист2'!$A$2:$A$505,A61,'Лист2'!$B$2:$B$505,B61),NA())</x:f>
        <x:v>11622</x:v>
      </x:c>
      <x:c r="I61" s="1" t="n">
        <x:f>IF(N61=1,SUMIFS('Лист2'!$E$2:$E$505,'Лист2'!$A$2:$A$505,A61,'Лист2'!$B$2:$B$505,B61),NA())</x:f>
        <x:v>10754</x:v>
      </x:c>
      <x:c r="J61" s="5" t="n">
        <x:f>A61-WEEKDAY(A61,2)+1</x:f>
        <x:v>43948</x:v>
      </x:c>
      <x:c r="K61" s="1" t="n">
        <x:f>YEAR(J61+3)</x:f>
        <x:v>2020</x:v>
      </x:c>
      <x:c r="L61" s="1" t="n">
        <x:f>INT((J61-DATE(K61,1,4)+WEEKDAY(DATE(K61,1,4),2)-1)/7)+1</x:f>
        <x:v>18</x:v>
      </x:c>
      <x:c r="M61" s="1" t="str">
        <x:f>A61&amp;"|"&amp;B61</x:f>
        <x:v>43953|Москва Восток</x:v>
      </x:c>
      <x:c r="N61" s="1" t="n">
        <x:f>COUNTIFS('Лист2'!$F$2:$F$505,M61)</x:f>
        <x:v>1</x:v>
      </x:c>
      <x:c r="O61" s="1"/>
      <x:c r="P61" s="1"/>
      <x:c r="Q61" s="1"/>
    </x:row>
    <x:row r="62" ht="21" customHeight="1">
      <x:c r="A62" s="5" t="n">
        <x:f>'Лист1'!A62</x:f>
        <x:v>43953</x:v>
      </x:c>
      <x:c r="B62" s="1" t="str">
        <x:f>'Лист1'!B62</x:f>
        <x:v>Москва Запад</x:v>
      </x:c>
      <x:c r="C62" s="1" t="n">
        <x:f>'Лист1'!C62</x:f>
        <x:v>185979</x:v>
      </x:c>
      <x:c r="D62" s="6" t="n">
        <x:f>'Лист1'!D62</x:f>
        <x:v>19625364</x:v>
      </x:c>
      <x:c r="E62" s="6" t="n">
        <x:f>'Лист1'!E62</x:f>
        <x:v>14386025.838000001</x:v>
      </x:c>
      <x:c r="F62" s="6" t="n">
        <x:f>'Лист1'!F62</x:f>
        <x:v>361439.69230769225</x:v>
      </x:c>
      <x:c r="G62" s="1" t="n">
        <x:f>IF(N62=1,SUMIFS('Лист2'!$C$2:$C$505,'Лист2'!$A$2:$A$505,A62,'Лист2'!$B$2:$B$505,B62),NA())</x:f>
        <x:v>59</x:v>
      </x:c>
      <x:c r="H62" s="1" t="n">
        <x:f>IF(N62=1,SUMIFS('Лист2'!$D$2:$D$505,'Лист2'!$A$2:$A$505,A62,'Лист2'!$B$2:$B$505,B62),NA())</x:f>
        <x:v>12429</x:v>
      </x:c>
      <x:c r="I62" s="1" t="n">
        <x:f>IF(N62=1,SUMIFS('Лист2'!$E$2:$E$505,'Лист2'!$A$2:$A$505,A62,'Лист2'!$B$2:$B$505,B62),NA())</x:f>
        <x:v>11477</x:v>
      </x:c>
      <x:c r="J62" s="5" t="n">
        <x:f>A62-WEEKDAY(A62,2)+1</x:f>
        <x:v>43948</x:v>
      </x:c>
      <x:c r="K62" s="1" t="n">
        <x:f>YEAR(J62+3)</x:f>
        <x:v>2020</x:v>
      </x:c>
      <x:c r="L62" s="1" t="n">
        <x:f>INT((J62-DATE(K62,1,4)+WEEKDAY(DATE(K62,1,4),2)-1)/7)+1</x:f>
        <x:v>18</x:v>
      </x:c>
      <x:c r="M62" s="1" t="str">
        <x:f>A62&amp;"|"&amp;B62</x:f>
        <x:v>43953|Москва Запад</x:v>
      </x:c>
      <x:c r="N62" s="1" t="n">
        <x:f>COUNTIFS('Лист2'!$F$2:$F$505,M62)</x:f>
        <x:v>1</x:v>
      </x:c>
      <x:c r="O62" s="1"/>
      <x:c r="P62" s="1"/>
      <x:c r="Q62" s="1"/>
    </x:row>
    <x:row r="63" ht="21" customHeight="1">
      <x:c r="A63" s="5" t="n">
        <x:f>'Лист1'!A63</x:f>
        <x:v>43953</x:v>
      </x:c>
      <x:c r="B63" s="1" t="str">
        <x:f>'Лист1'!B63</x:f>
        <x:v>Нижний Новгород</x:v>
      </x:c>
      <x:c r="C63" s="1" t="n">
        <x:f>'Лист1'!C63</x:f>
        <x:v>19461</x:v>
      </x:c>
      <x:c r="D63" s="6" t="n">
        <x:f>'Лист1'!D63</x:f>
        <x:v>1799230.5</x:v>
      </x:c>
      <x:c r="E63" s="6" t="n">
        <x:f>'Лист1'!E63</x:f>
        <x:v>1457108.1479999998</x:v>
      </x:c>
      <x:c r="F63" s="6" t="n">
        <x:f>'Лист1'!F63</x:f>
        <x:v>183829.81409230767</x:v>
      </x:c>
      <x:c r="G63" s="1" t="n">
        <x:f>IF(N63=1,SUMIFS('Лист2'!$C$2:$C$505,'Лист2'!$A$2:$A$505,A63,'Лист2'!$B$2:$B$505,B63),NA())</x:f>
        <x:v>19</x:v>
      </x:c>
      <x:c r="H63" s="1" t="n">
        <x:f>IF(N63=1,SUMIFS('Лист2'!$D$2:$D$505,'Лист2'!$A$2:$A$505,A63,'Лист2'!$B$2:$B$505,B63),NA())</x:f>
        <x:v>1217</x:v>
      </x:c>
      <x:c r="I63" s="1" t="n">
        <x:f>IF(N63=1,SUMIFS('Лист2'!$E$2:$E$505,'Лист2'!$A$2:$A$505,A63,'Лист2'!$B$2:$B$505,B63),NA())</x:f>
        <x:v>1048</x:v>
      </x:c>
      <x:c r="J63" s="5" t="n">
        <x:f>A63-WEEKDAY(A63,2)+1</x:f>
        <x:v>43948</x:v>
      </x:c>
      <x:c r="K63" s="1" t="n">
        <x:f>YEAR(J63+3)</x:f>
        <x:v>2020</x:v>
      </x:c>
      <x:c r="L63" s="1" t="n">
        <x:f>INT((J63-DATE(K63,1,4)+WEEKDAY(DATE(K63,1,4),2)-1)/7)+1</x:f>
        <x:v>18</x:v>
      </x:c>
      <x:c r="M63" s="1" t="str">
        <x:f>A63&amp;"|"&amp;B63</x:f>
        <x:v>43953|Нижний Новгород</x:v>
      </x:c>
      <x:c r="N63" s="1" t="n">
        <x:f>COUNTIFS('Лист2'!$F$2:$F$505,M63)</x:f>
        <x:v>1</x:v>
      </x:c>
      <x:c r="O63" s="1"/>
      <x:c r="P63" s="1"/>
      <x:c r="Q63" s="1"/>
    </x:row>
    <x:row r="64" ht="21" customHeight="1">
      <x:c r="A64" s="5" t="n">
        <x:f>'Лист1'!A64</x:f>
        <x:v>43953</x:v>
      </x:c>
      <x:c r="B64" s="1" t="str">
        <x:f>'Лист1'!B64</x:f>
        <x:v>Новосибирск</x:v>
      </x:c>
      <x:c r="C64" s="1" t="n">
        <x:f>'Лист1'!C64</x:f>
        <x:v>10018.5</x:v>
      </x:c>
      <x:c r="D64" s="6" t="n">
        <x:f>'Лист1'!D64</x:f>
        <x:v>816859.5</x:v>
      </x:c>
      <x:c r="E64" s="6" t="n">
        <x:f>'Лист1'!E64</x:f>
        <x:v>697541.2969999999</x:v>
      </x:c>
      <x:c r="F64" s="6" t="n">
        <x:f>'Лист1'!F64</x:f>
        <x:v>106508.82307692307</x:v>
      </x:c>
      <x:c r="G64" s="1" t="n">
        <x:f>IF(N64=1,SUMIFS('Лист2'!$C$2:$C$505,'Лист2'!$A$2:$A$505,A64,'Лист2'!$B$2:$B$505,B64),NA())</x:f>
        <x:v>15</x:v>
      </x:c>
      <x:c r="H64" s="1" t="n">
        <x:f>IF(N64=1,SUMIFS('Лист2'!$D$2:$D$505,'Лист2'!$A$2:$A$505,A64,'Лист2'!$B$2:$B$505,B64),NA())</x:f>
        <x:v>567</x:v>
      </x:c>
      <x:c r="I64" s="1" t="n">
        <x:f>IF(N64=1,SUMIFS('Лист2'!$E$2:$E$505,'Лист2'!$A$2:$A$505,A64,'Лист2'!$B$2:$B$505,B64),NA())</x:f>
        <x:v>493</x:v>
      </x:c>
      <x:c r="J64" s="5" t="n">
        <x:f>A64-WEEKDAY(A64,2)+1</x:f>
        <x:v>43948</x:v>
      </x:c>
      <x:c r="K64" s="1" t="n">
        <x:f>YEAR(J64+3)</x:f>
        <x:v>2020</x:v>
      </x:c>
      <x:c r="L64" s="1" t="n">
        <x:f>INT((J64-DATE(K64,1,4)+WEEKDAY(DATE(K64,1,4),2)-1)/7)+1</x:f>
        <x:v>18</x:v>
      </x:c>
      <x:c r="M64" s="1" t="str">
        <x:f>A64&amp;"|"&amp;B64</x:f>
        <x:v>43953|Новосибирск</x:v>
      </x:c>
      <x:c r="N64" s="1" t="n">
        <x:f>COUNTIFS('Лист2'!$F$2:$F$505,M64)</x:f>
        <x:v>1</x:v>
      </x:c>
      <x:c r="O64" s="1"/>
      <x:c r="P64" s="1"/>
      <x:c r="Q64" s="1"/>
    </x:row>
    <x:row r="65" ht="21" customHeight="1">
      <x:c r="A65" s="5" t="n">
        <x:f>'Лист1'!A65</x:f>
        <x:v>43953</x:v>
      </x:c>
      <x:c r="B65" s="1" t="str">
        <x:f>'Лист1'!B65</x:f>
        <x:v>Пермь</x:v>
      </x:c>
      <x:c r="C65" s="1" t="n">
        <x:f>'Лист1'!C65</x:f>
        <x:v>12313.5</x:v>
      </x:c>
      <x:c r="D65" s="6" t="n">
        <x:f>'Лист1'!D65</x:f>
        <x:v>1053220.5</x:v>
      </x:c>
      <x:c r="E65" s="6" t="n">
        <x:f>'Лист1'!E65</x:f>
        <x:v>843395.109</x:v>
      </x:c>
      <x:c r="F65" s="6" t="n">
        <x:f>'Лист1'!F65</x:f>
        <x:v>137019.6769230769</x:v>
      </x:c>
      <x:c r="G65" s="1" t="n">
        <x:f>IF(N65=1,SUMIFS('Лист2'!$C$2:$C$505,'Лист2'!$A$2:$A$505,A65,'Лист2'!$B$2:$B$505,B65),NA())</x:f>
        <x:v>15</x:v>
      </x:c>
      <x:c r="H65" s="1" t="n">
        <x:f>IF(N65=1,SUMIFS('Лист2'!$D$2:$D$505,'Лист2'!$A$2:$A$505,A65,'Лист2'!$B$2:$B$505,B65),NA())</x:f>
        <x:v>751</x:v>
      </x:c>
      <x:c r="I65" s="1" t="n">
        <x:f>IF(N65=1,SUMIFS('Лист2'!$E$2:$E$505,'Лист2'!$A$2:$A$505,A65,'Лист2'!$B$2:$B$505,B65),NA())</x:f>
        <x:v>651</x:v>
      </x:c>
      <x:c r="J65" s="5" t="n">
        <x:f>A65-WEEKDAY(A65,2)+1</x:f>
        <x:v>43948</x:v>
      </x:c>
      <x:c r="K65" s="1" t="n">
        <x:f>YEAR(J65+3)</x:f>
        <x:v>2020</x:v>
      </x:c>
      <x:c r="L65" s="1" t="n">
        <x:f>INT((J65-DATE(K65,1,4)+WEEKDAY(DATE(K65,1,4),2)-1)/7)+1</x:f>
        <x:v>18</x:v>
      </x:c>
      <x:c r="M65" s="1" t="str">
        <x:f>A65&amp;"|"&amp;B65</x:f>
        <x:v>43953|Пермь</x:v>
      </x:c>
      <x:c r="N65" s="1" t="n">
        <x:f>COUNTIFS('Лист2'!$F$2:$F$505,M65)</x:f>
        <x:v>1</x:v>
      </x:c>
      <x:c r="O65" s="1"/>
      <x:c r="P65" s="1"/>
      <x:c r="Q65" s="1"/>
    </x:row>
    <x:row r="66" ht="21" customHeight="1">
      <x:c r="A66" s="5" t="n">
        <x:f>'Лист1'!A66</x:f>
        <x:v>43953</x:v>
      </x:c>
      <x:c r="B66" s="1" t="str">
        <x:f>'Лист1'!B66</x:f>
        <x:v>Ростов-на-Дону</x:v>
      </x:c>
      <x:c r="C66" s="1" t="n">
        <x:f>'Лист1'!C66</x:f>
        <x:v>4624.5</x:v>
      </x:c>
      <x:c r="D66" s="6" t="n">
        <x:f>'Лист1'!D66</x:f>
        <x:v>433243.5</x:v>
      </x:c>
      <x:c r="E66" s="6" t="n">
        <x:f>'Лист1'!E66</x:f>
        <x:v>377401.46199999994</x:v>
      </x:c>
      <x:c r="F66" s="6" t="n">
        <x:f>'Лист1'!F66</x:f>
        <x:v>65936.34336923076</x:v>
      </x:c>
      <x:c r="G66" s="1" t="n">
        <x:f>IF(N66=1,SUMIFS('Лист2'!$C$2:$C$505,'Лист2'!$A$2:$A$505,A66,'Лист2'!$B$2:$B$505,B66),NA())</x:f>
        <x:v>15</x:v>
      </x:c>
      <x:c r="H66" s="1" t="n">
        <x:f>IF(N66=1,SUMIFS('Лист2'!$D$2:$D$505,'Лист2'!$A$2:$A$505,A66,'Лист2'!$B$2:$B$505,B66),NA())</x:f>
        <x:v>274</x:v>
      </x:c>
      <x:c r="I66" s="1" t="n">
        <x:f>IF(N66=1,SUMIFS('Лист2'!$E$2:$E$505,'Лист2'!$A$2:$A$505,A66,'Лист2'!$B$2:$B$505,B66),NA())</x:f>
        <x:v>203</x:v>
      </x:c>
      <x:c r="J66" s="5" t="n">
        <x:f>A66-WEEKDAY(A66,2)+1</x:f>
        <x:v>43948</x:v>
      </x:c>
      <x:c r="K66" s="1" t="n">
        <x:f>YEAR(J66+3)</x:f>
        <x:v>2020</x:v>
      </x:c>
      <x:c r="L66" s="1" t="n">
        <x:f>INT((J66-DATE(K66,1,4)+WEEKDAY(DATE(K66,1,4),2)-1)/7)+1</x:f>
        <x:v>18</x:v>
      </x:c>
      <x:c r="M66" s="1" t="str">
        <x:f>A66&amp;"|"&amp;B66</x:f>
        <x:v>43953|Ростов-на-Дону</x:v>
      </x:c>
      <x:c r="N66" s="1" t="n">
        <x:f>COUNTIFS('Лист2'!$F$2:$F$505,M66)</x:f>
        <x:v>1</x:v>
      </x:c>
      <x:c r="O66" s="1"/>
      <x:c r="P66" s="1"/>
      <x:c r="Q66" s="1"/>
    </x:row>
    <x:row r="67" ht="21" customHeight="1">
      <x:c r="A67" s="5" t="n">
        <x:f>'Лист1'!A67</x:f>
        <x:v>43953</x:v>
      </x:c>
      <x:c r="B67" s="1" t="str">
        <x:f>'Лист1'!B67</x:f>
        <x:v>Санкт-Петербург Север</x:v>
      </x:c>
      <x:c r="C67" s="1" t="n">
        <x:f>'Лист1'!C67</x:f>
        <x:v>296580</x:v>
      </x:c>
      <x:c r="D67" s="6" t="n">
        <x:f>'Лист1'!D67</x:f>
        <x:v>31843737</x:v>
      </x:c>
      <x:c r="E67" s="6" t="n">
        <x:f>'Лист1'!E67</x:f>
        <x:v>23119777.98</x:v>
      </x:c>
      <x:c r="F67" s="6" t="n">
        <x:f>'Лист1'!F67</x:f>
        <x:v>657754.3188</x:v>
      </x:c>
      <x:c r="G67" s="1" t="n">
        <x:f>IF(N67=1,SUMIFS('Лист2'!$C$2:$C$505,'Лист2'!$A$2:$A$505,A67,'Лист2'!$B$2:$B$505,B67),NA())</x:f>
        <x:v>125</x:v>
      </x:c>
      <x:c r="H67" s="1" t="n">
        <x:f>IF(N67=1,SUMIFS('Лист2'!$D$2:$D$505,'Лист2'!$A$2:$A$505,A67,'Лист2'!$B$2:$B$505,B67),NA())</x:f>
        <x:v>16932</x:v>
      </x:c>
      <x:c r="I67" s="1" t="n">
        <x:f>IF(N67=1,SUMIFS('Лист2'!$E$2:$E$505,'Лист2'!$A$2:$A$505,A67,'Лист2'!$B$2:$B$505,B67),NA())</x:f>
        <x:v>15601</x:v>
      </x:c>
      <x:c r="J67" s="5" t="n">
        <x:f>A67-WEEKDAY(A67,2)+1</x:f>
        <x:v>43948</x:v>
      </x:c>
      <x:c r="K67" s="1" t="n">
        <x:f>YEAR(J67+3)</x:f>
        <x:v>2020</x:v>
      </x:c>
      <x:c r="L67" s="1" t="n">
        <x:f>INT((J67-DATE(K67,1,4)+WEEKDAY(DATE(K67,1,4),2)-1)/7)+1</x:f>
        <x:v>18</x:v>
      </x:c>
      <x:c r="M67" s="1" t="str">
        <x:f>A67&amp;"|"&amp;B67</x:f>
        <x:v>43953|Санкт-Петербург Север</x:v>
      </x:c>
      <x:c r="N67" s="1" t="n">
        <x:f>COUNTIFS('Лист2'!$F$2:$F$505,M67)</x:f>
        <x:v>1</x:v>
      </x:c>
      <x:c r="O67" s="1"/>
      <x:c r="P67" s="1"/>
      <x:c r="Q67" s="1"/>
    </x:row>
    <x:row r="68" ht="21" customHeight="1">
      <x:c r="A68" s="5" t="n">
        <x:f>'Лист1'!A68</x:f>
        <x:v>43953</x:v>
      </x:c>
      <x:c r="B68" s="1" t="str">
        <x:f>'Лист1'!B68</x:f>
        <x:v>Санкт-Петербург Юг</x:v>
      </x:c>
      <x:c r="C68" s="1" t="n">
        <x:f>'Лист1'!C68</x:f>
        <x:v>232903.5</x:v>
      </x:c>
      <x:c r="D68" s="6" t="n">
        <x:f>'Лист1'!D68</x:f>
        <x:v>24342016.5</x:v>
      </x:c>
      <x:c r="E68" s="6" t="n">
        <x:f>'Лист1'!E68</x:f>
        <x:v>17790852.444</x:v>
      </x:c>
      <x:c r="F68" s="6" t="n">
        <x:f>'Лист1'!F68</x:f>
        <x:v>634118.8692307692</x:v>
      </x:c>
      <x:c r="G68" s="1" t="n">
        <x:f>IF(N68=1,SUMIFS('Лист2'!$C$2:$C$505,'Лист2'!$A$2:$A$505,A68,'Лист2'!$B$2:$B$505,B68),NA())</x:f>
        <x:v>129</x:v>
      </x:c>
      <x:c r="H68" s="1" t="n">
        <x:f>IF(N68=1,SUMIFS('Лист2'!$D$2:$D$505,'Лист2'!$A$2:$A$505,A68,'Лист2'!$B$2:$B$505,B68),NA())</x:f>
        <x:v>14009</x:v>
      </x:c>
      <x:c r="I68" s="1" t="n">
        <x:f>IF(N68=1,SUMIFS('Лист2'!$E$2:$E$505,'Лист2'!$A$2:$A$505,A68,'Лист2'!$B$2:$B$505,B68),NA())</x:f>
        <x:v>12920</x:v>
      </x:c>
      <x:c r="J68" s="5" t="n">
        <x:f>A68-WEEKDAY(A68,2)+1</x:f>
        <x:v>43948</x:v>
      </x:c>
      <x:c r="K68" s="1" t="n">
        <x:f>YEAR(J68+3)</x:f>
        <x:v>2020</x:v>
      </x:c>
      <x:c r="L68" s="1" t="n">
        <x:f>INT((J68-DATE(K68,1,4)+WEEKDAY(DATE(K68,1,4),2)-1)/7)+1</x:f>
        <x:v>18</x:v>
      </x:c>
      <x:c r="M68" s="1" t="str">
        <x:f>A68&amp;"|"&amp;B68</x:f>
        <x:v>43953|Санкт-Петербург Юг</x:v>
      </x:c>
      <x:c r="N68" s="1" t="n">
        <x:f>COUNTIFS('Лист2'!$F$2:$F$505,M68)</x:f>
        <x:v>1</x:v>
      </x:c>
      <x:c r="O68" s="1"/>
      <x:c r="P68" s="1"/>
      <x:c r="Q68" s="1"/>
    </x:row>
    <x:row r="69" ht="21" customHeight="1">
      <x:c r="A69" s="5" t="n">
        <x:f>'Лист1'!A69</x:f>
        <x:v>43953</x:v>
      </x:c>
      <x:c r="B69" s="1" t="str">
        <x:f>'Лист1'!B69</x:f>
        <x:v>Тольятти</x:v>
      </x:c>
      <x:c r="C69" s="1" t="n">
        <x:f>'Лист1'!C69</x:f>
        <x:v>7866</x:v>
      </x:c>
      <x:c r="D69" s="6" t="n">
        <x:f>'Лист1'!D69</x:f>
        <x:v>617881.5</x:v>
      </x:c>
      <x:c r="E69" s="6" t="n">
        <x:f>'Лист1'!E69</x:f>
        <x:v>575518.068</x:v>
      </x:c>
      <x:c r="F69" s="6" t="n">
        <x:f>'Лист1'!F69</x:f>
        <x:v>119723.42363076922</x:v>
      </x:c>
      <x:c r="G69" s="1" t="n">
        <x:f>IF(N69=1,SUMIFS('Лист2'!$C$2:$C$505,'Лист2'!$A$2:$A$505,A69,'Лист2'!$B$2:$B$505,B69),NA())</x:f>
        <x:v>10</x:v>
      </x:c>
      <x:c r="H69" s="1" t="n">
        <x:f>IF(N69=1,SUMIFS('Лист2'!$D$2:$D$505,'Лист2'!$A$2:$A$505,A69,'Лист2'!$B$2:$B$505,B69),NA())</x:f>
        <x:v>416</x:v>
      </x:c>
      <x:c r="I69" s="1" t="n">
        <x:f>IF(N69=1,SUMIFS('Лист2'!$E$2:$E$505,'Лист2'!$A$2:$A$505,A69,'Лист2'!$B$2:$B$505,B69),NA())</x:f>
        <x:v>341</x:v>
      </x:c>
      <x:c r="J69" s="5" t="n">
        <x:f>A69-WEEKDAY(A69,2)+1</x:f>
        <x:v>43948</x:v>
      </x:c>
      <x:c r="K69" s="1" t="n">
        <x:f>YEAR(J69+3)</x:f>
        <x:v>2020</x:v>
      </x:c>
      <x:c r="L69" s="1" t="n">
        <x:f>INT((J69-DATE(K69,1,4)+WEEKDAY(DATE(K69,1,4),2)-1)/7)+1</x:f>
        <x:v>18</x:v>
      </x:c>
      <x:c r="M69" s="1" t="str">
        <x:f>A69&amp;"|"&amp;B69</x:f>
        <x:v>43953|Тольятти</x:v>
      </x:c>
      <x:c r="N69" s="1" t="n">
        <x:f>COUNTIFS('Лист2'!$F$2:$F$505,M69)</x:f>
        <x:v>1</x:v>
      </x:c>
      <x:c r="O69" s="1"/>
      <x:c r="P69" s="1"/>
      <x:c r="Q69" s="1"/>
    </x:row>
    <x:row r="70" ht="21" customHeight="1">
      <x:c r="A70" s="5" t="n">
        <x:f>'Лист1'!A70</x:f>
        <x:v>43954</x:v>
      </x:c>
      <x:c r="B70" s="1" t="str">
        <x:f>'Лист1'!B70</x:f>
        <x:v>Волгоград</x:v>
      </x:c>
      <x:c r="C70" s="1" t="n">
        <x:f>'Лист1'!C70</x:f>
        <x:v>70581</x:v>
      </x:c>
      <x:c r="D70" s="6" t="n">
        <x:f>'Лист1'!D70</x:f>
        <x:v>6221320.5</x:v>
      </x:c>
      <x:c r="E70" s="6" t="n">
        <x:f>'Лист1'!E70</x:f>
        <x:v>4762185.061</x:v>
      </x:c>
      <x:c r="F70" s="6" t="n">
        <x:f>'Лист1'!F70</x:f>
        <x:v>172821.83076923076</x:v>
      </x:c>
      <x:c r="G70" s="1" t="n">
        <x:f>IF(N70=1,SUMIFS('Лист2'!$C$2:$C$505,'Лист2'!$A$2:$A$505,A70,'Лист2'!$B$2:$B$505,B70),NA())</x:f>
        <x:v>36</x:v>
      </x:c>
      <x:c r="H70" s="1" t="n">
        <x:f>IF(N70=1,SUMIFS('Лист2'!$D$2:$D$505,'Лист2'!$A$2:$A$505,A70,'Лист2'!$B$2:$B$505,B70),NA())</x:f>
        <x:v>4751</x:v>
      </x:c>
      <x:c r="I70" s="1" t="n">
        <x:f>IF(N70=1,SUMIFS('Лист2'!$E$2:$E$505,'Лист2'!$A$2:$A$505,A70,'Лист2'!$B$2:$B$505,B70),NA())</x:f>
        <x:v>4370</x:v>
      </x:c>
      <x:c r="J70" s="5" t="n">
        <x:f>A70-WEEKDAY(A70,2)+1</x:f>
        <x:v>43948</x:v>
      </x:c>
      <x:c r="K70" s="1" t="n">
        <x:f>YEAR(J70+3)</x:f>
        <x:v>2020</x:v>
      </x:c>
      <x:c r="L70" s="1" t="n">
        <x:f>INT((J70-DATE(K70,1,4)+WEEKDAY(DATE(K70,1,4),2)-1)/7)+1</x:f>
        <x:v>18</x:v>
      </x:c>
      <x:c r="M70" s="1" t="str">
        <x:f>A70&amp;"|"&amp;B70</x:f>
        <x:v>43954|Волгоград</x:v>
      </x:c>
      <x:c r="N70" s="1" t="n">
        <x:f>COUNTIFS('Лист2'!$F$2:$F$505,M70)</x:f>
        <x:v>1</x:v>
      </x:c>
      <x:c r="O70" s="1"/>
      <x:c r="P70" s="1"/>
      <x:c r="Q70" s="1"/>
    </x:row>
    <x:row r="71" ht="21" customHeight="1">
      <x:c r="A71" s="5" t="n">
        <x:f>'Лист1'!A71</x:f>
        <x:v>43954</x:v>
      </x:c>
      <x:c r="B71" s="1" t="str">
        <x:f>'Лист1'!B71</x:f>
        <x:v>Екатеринбург</x:v>
      </x:c>
      <x:c r="C71" s="1" t="n">
        <x:f>'Лист1'!C71</x:f>
        <x:v>77263.5</x:v>
      </x:c>
      <x:c r="D71" s="6" t="n">
        <x:f>'Лист1'!D71</x:f>
        <x:v>7013670</x:v>
      </x:c>
      <x:c r="E71" s="6" t="n">
        <x:f>'Лист1'!E71</x:f>
        <x:v>5282661.8549999995</x:v>
      </x:c>
      <x:c r="F71" s="6" t="n">
        <x:f>'Лист1'!F71</x:f>
        <x:v>161473.0769230769</x:v>
      </x:c>
      <x:c r="G71" s="1" t="n">
        <x:f>IF(N71=1,SUMIFS('Лист2'!$C$2:$C$505,'Лист2'!$A$2:$A$505,A71,'Лист2'!$B$2:$B$505,B71),NA())</x:f>
        <x:v>31</x:v>
      </x:c>
      <x:c r="H71" s="1" t="n">
        <x:f>IF(N71=1,SUMIFS('Лист2'!$D$2:$D$505,'Лист2'!$A$2:$A$505,A71,'Лист2'!$B$2:$B$505,B71),NA())</x:f>
        <x:v>5155</x:v>
      </x:c>
      <x:c r="I71" s="1" t="n">
        <x:f>IF(N71=1,SUMIFS('Лист2'!$E$2:$E$505,'Лист2'!$A$2:$A$505,A71,'Лист2'!$B$2:$B$505,B71),NA())</x:f>
        <x:v>4762</x:v>
      </x:c>
      <x:c r="J71" s="5" t="n">
        <x:f>A71-WEEKDAY(A71,2)+1</x:f>
        <x:v>43948</x:v>
      </x:c>
      <x:c r="K71" s="1" t="n">
        <x:f>YEAR(J71+3)</x:f>
        <x:v>2020</x:v>
      </x:c>
      <x:c r="L71" s="1" t="n">
        <x:f>INT((J71-DATE(K71,1,4)+WEEKDAY(DATE(K71,1,4),2)-1)/7)+1</x:f>
        <x:v>18</x:v>
      </x:c>
      <x:c r="M71" s="1" t="str">
        <x:f>A71&amp;"|"&amp;B71</x:f>
        <x:v>43954|Екатеринбург</x:v>
      </x:c>
      <x:c r="N71" s="1" t="n">
        <x:f>COUNTIFS('Лист2'!$F$2:$F$505,M71)</x:f>
        <x:v>1</x:v>
      </x:c>
      <x:c r="O71" s="1"/>
      <x:c r="P71" s="1"/>
      <x:c r="Q71" s="1"/>
    </x:row>
    <x:row r="72" ht="21" customHeight="1">
      <x:c r="A72" s="5" t="n">
        <x:f>'Лист1'!A72</x:f>
        <x:v>43954</x:v>
      </x:c>
      <x:c r="B72" s="1" t="str">
        <x:f>'Лист1'!B72</x:f>
        <x:v>Казань</x:v>
      </x:c>
      <x:c r="C72" s="1" t="n">
        <x:f>'Лист1'!C72</x:f>
        <x:v>29935.5</x:v>
      </x:c>
      <x:c r="D72" s="6" t="n">
        <x:f>'Лист1'!D72</x:f>
        <x:v>2720002.5</x:v>
      </x:c>
      <x:c r="E72" s="6" t="n">
        <x:f>'Лист1'!E72</x:f>
        <x:v>2102974.001</x:v>
      </x:c>
      <x:c r="F72" s="6" t="n">
        <x:f>'Лист1'!F72</x:f>
        <x:v>175338.6411076923</x:v>
      </x:c>
      <x:c r="G72" s="1" t="n">
        <x:f>IF(N72=1,SUMIFS('Лист2'!$C$2:$C$505,'Лист2'!$A$2:$A$505,A72,'Лист2'!$B$2:$B$505,B72),NA())</x:f>
        <x:v>20</x:v>
      </x:c>
      <x:c r="H72" s="1" t="n">
        <x:f>IF(N72=1,SUMIFS('Лист2'!$D$2:$D$505,'Лист2'!$A$2:$A$505,A72,'Лист2'!$B$2:$B$505,B72),NA())</x:f>
        <x:v>1716</x:v>
      </x:c>
      <x:c r="I72" s="1" t="n">
        <x:f>IF(N72=1,SUMIFS('Лист2'!$E$2:$E$505,'Лист2'!$A$2:$A$505,A72,'Лист2'!$B$2:$B$505,B72),NA())</x:f>
        <x:v>1561</x:v>
      </x:c>
      <x:c r="J72" s="5" t="n">
        <x:f>A72-WEEKDAY(A72,2)+1</x:f>
        <x:v>43948</x:v>
      </x:c>
      <x:c r="K72" s="1" t="n">
        <x:f>YEAR(J72+3)</x:f>
        <x:v>2020</x:v>
      </x:c>
      <x:c r="L72" s="1" t="n">
        <x:f>INT((J72-DATE(K72,1,4)+WEEKDAY(DATE(K72,1,4),2)-1)/7)+1</x:f>
        <x:v>18</x:v>
      </x:c>
      <x:c r="M72" s="1" t="str">
        <x:f>A72&amp;"|"&amp;B72</x:f>
        <x:v>43954|Казань</x:v>
      </x:c>
      <x:c r="N72" s="1" t="n">
        <x:f>COUNTIFS('Лист2'!$F$2:$F$505,M72)</x:f>
        <x:v>1</x:v>
      </x:c>
      <x:c r="O72" s="1"/>
      <x:c r="P72" s="1"/>
      <x:c r="Q72" s="1"/>
    </x:row>
    <x:row r="73" ht="21" customHeight="1">
      <x:c r="A73" s="5" t="n">
        <x:f>'Лист1'!A73</x:f>
        <x:v>43954</x:v>
      </x:c>
      <x:c r="B73" s="1" t="str">
        <x:f>'Лист1'!B73</x:f>
        <x:v>Кемерово</x:v>
      </x:c>
      <x:c r="C73" s="1" t="n">
        <x:f>'Лист1'!C73</x:f>
        <x:v>26082</x:v>
      </x:c>
      <x:c r="D73" s="6" t="n">
        <x:f>'Лист1'!D73</x:f>
        <x:v>2434914</x:v>
      </x:c>
      <x:c r="E73" s="6" t="n">
        <x:f>'Лист1'!E73</x:f>
        <x:v>1925475.1139999998</x:v>
      </x:c>
      <x:c r="F73" s="6" t="n">
        <x:f>'Лист1'!F73</x:f>
        <x:v>247646.60936153846</x:v>
      </x:c>
      <x:c r="G73" s="1" t="n">
        <x:f>IF(N73=1,SUMIFS('Лист2'!$C$2:$C$505,'Лист2'!$A$2:$A$505,A73,'Лист2'!$B$2:$B$505,B73),NA())</x:f>
        <x:v>20</x:v>
      </x:c>
      <x:c r="H73" s="1" t="n">
        <x:f>IF(N73=1,SUMIFS('Лист2'!$D$2:$D$505,'Лист2'!$A$2:$A$505,A73,'Лист2'!$B$2:$B$505,B73),NA())</x:f>
        <x:v>1520</x:v>
      </x:c>
      <x:c r="I73" s="1" t="n">
        <x:f>IF(N73=1,SUMIFS('Лист2'!$E$2:$E$505,'Лист2'!$A$2:$A$505,A73,'Лист2'!$B$2:$B$505,B73),NA())</x:f>
        <x:v>1373</x:v>
      </x:c>
      <x:c r="J73" s="5" t="n">
        <x:f>A73-WEEKDAY(A73,2)+1</x:f>
        <x:v>43948</x:v>
      </x:c>
      <x:c r="K73" s="1" t="n">
        <x:f>YEAR(J73+3)</x:f>
        <x:v>2020</x:v>
      </x:c>
      <x:c r="L73" s="1" t="n">
        <x:f>INT((J73-DATE(K73,1,4)+WEEKDAY(DATE(K73,1,4),2)-1)/7)+1</x:f>
        <x:v>18</x:v>
      </x:c>
      <x:c r="M73" s="1" t="str">
        <x:f>A73&amp;"|"&amp;B73</x:f>
        <x:v>43954|Кемерово</x:v>
      </x:c>
      <x:c r="N73" s="1" t="n">
        <x:f>COUNTIFS('Лист2'!$F$2:$F$505,M73)</x:f>
        <x:v>1</x:v>
      </x:c>
      <x:c r="O73" s="1"/>
      <x:c r="P73" s="1"/>
      <x:c r="Q73" s="1"/>
    </x:row>
    <x:row r="74" ht="21" customHeight="1">
      <x:c r="A74" s="5" t="n">
        <x:f>'Лист1'!A74</x:f>
        <x:v>43954</x:v>
      </x:c>
      <x:c r="B74" s="1" t="str">
        <x:f>'Лист1'!B74</x:f>
        <x:v>Краснодар</x:v>
      </x:c>
      <x:c r="C74" s="1" t="n">
        <x:f>'Лист1'!C74</x:f>
        <x:v>21343.5</x:v>
      </x:c>
      <x:c r="D74" s="6" t="n">
        <x:f>'Лист1'!D74</x:f>
        <x:v>1906557</x:v>
      </x:c>
      <x:c r="E74" s="6" t="n">
        <x:f>'Лист1'!E74</x:f>
        <x:v>1485927.8739999998</x:v>
      </x:c>
      <x:c r="F74" s="6" t="n">
        <x:f>'Лист1'!F74</x:f>
        <x:v>100092.68052307691</x:v>
      </x:c>
      <x:c r="G74" s="1" t="n">
        <x:f>IF(N74=1,SUMIFS('Лист2'!$C$2:$C$505,'Лист2'!$A$2:$A$505,A74,'Лист2'!$B$2:$B$505,B74),NA())</x:f>
        <x:v>19</x:v>
      </x:c>
      <x:c r="H74" s="1" t="n">
        <x:f>IF(N74=1,SUMIFS('Лист2'!$D$2:$D$505,'Лист2'!$A$2:$A$505,A74,'Лист2'!$B$2:$B$505,B74),NA())</x:f>
        <x:v>1314</x:v>
      </x:c>
      <x:c r="I74" s="1" t="n">
        <x:f>IF(N74=1,SUMIFS('Лист2'!$E$2:$E$505,'Лист2'!$A$2:$A$505,A74,'Лист2'!$B$2:$B$505,B74),NA())</x:f>
        <x:v>1192</x:v>
      </x:c>
      <x:c r="J74" s="5" t="n">
        <x:f>A74-WEEKDAY(A74,2)+1</x:f>
        <x:v>43948</x:v>
      </x:c>
      <x:c r="K74" s="1" t="n">
        <x:f>YEAR(J74+3)</x:f>
        <x:v>2020</x:v>
      </x:c>
      <x:c r="L74" s="1" t="n">
        <x:f>INT((J74-DATE(K74,1,4)+WEEKDAY(DATE(K74,1,4),2)-1)/7)+1</x:f>
        <x:v>18</x:v>
      </x:c>
      <x:c r="M74" s="1" t="str">
        <x:f>A74&amp;"|"&amp;B74</x:f>
        <x:v>43954|Краснодар</x:v>
      </x:c>
      <x:c r="N74" s="1" t="n">
        <x:f>COUNTIFS('Лист2'!$F$2:$F$505,M74)</x:f>
        <x:v>1</x:v>
      </x:c>
      <x:c r="O74" s="1"/>
      <x:c r="P74" s="1"/>
      <x:c r="Q74" s="1"/>
    </x:row>
    <x:row r="75" ht="21" customHeight="1">
      <x:c r="A75" s="5" t="n">
        <x:f>'Лист1'!A75</x:f>
        <x:v>43954</x:v>
      </x:c>
      <x:c r="B75" s="1" t="str">
        <x:f>'Лист1'!B75</x:f>
        <x:v>Москва Восток</x:v>
      </x:c>
      <x:c r="C75" s="1" t="n">
        <x:f>'Лист1'!C75</x:f>
        <x:v>248148</x:v>
      </x:c>
      <x:c r="D75" s="6" t="n">
        <x:f>'Лист1'!D75</x:f>
        <x:v>25519072.5</x:v>
      </x:c>
      <x:c r="E75" s="6" t="n">
        <x:f>'Лист1'!E75</x:f>
        <x:v>18491870.615</x:v>
      </x:c>
      <x:c r="F75" s="6" t="n">
        <x:f>'Лист1'!F75</x:f>
        <x:v>270910.05384615384</x:v>
      </x:c>
      <x:c r="G75" s="1" t="n">
        <x:f>IF(N75=1,SUMIFS('Лист2'!$C$2:$C$505,'Лист2'!$A$2:$A$505,A75,'Лист2'!$B$2:$B$505,B75),NA())</x:f>
        <x:v>54</x:v>
      </x:c>
      <x:c r="H75" s="1" t="n">
        <x:f>IF(N75=1,SUMIFS('Лист2'!$D$2:$D$505,'Лист2'!$A$2:$A$505,A75,'Лист2'!$B$2:$B$505,B75),NA())</x:f>
        <x:v>14823</x:v>
      </x:c>
      <x:c r="I75" s="1" t="n">
        <x:f>IF(N75=1,SUMIFS('Лист2'!$E$2:$E$505,'Лист2'!$A$2:$A$505,A75,'Лист2'!$B$2:$B$505,B75),NA())</x:f>
        <x:v>13751</x:v>
      </x:c>
      <x:c r="J75" s="5" t="n">
        <x:f>A75-WEEKDAY(A75,2)+1</x:f>
        <x:v>43948</x:v>
      </x:c>
      <x:c r="K75" s="1" t="n">
        <x:f>YEAR(J75+3)</x:f>
        <x:v>2020</x:v>
      </x:c>
      <x:c r="L75" s="1" t="n">
        <x:f>INT((J75-DATE(K75,1,4)+WEEKDAY(DATE(K75,1,4),2)-1)/7)+1</x:f>
        <x:v>18</x:v>
      </x:c>
      <x:c r="M75" s="1" t="str">
        <x:f>A75&amp;"|"&amp;B75</x:f>
        <x:v>43954|Москва Восток</x:v>
      </x:c>
      <x:c r="N75" s="1" t="n">
        <x:f>COUNTIFS('Лист2'!$F$2:$F$505,M75)</x:f>
        <x:v>1</x:v>
      </x:c>
      <x:c r="O75" s="1"/>
      <x:c r="P75" s="1"/>
      <x:c r="Q75" s="1"/>
    </x:row>
    <x:row r="76" ht="21" customHeight="1">
      <x:c r="A76" s="5" t="n">
        <x:f>'Лист1'!A76</x:f>
        <x:v>43954</x:v>
      </x:c>
      <x:c r="B76" s="1" t="str">
        <x:f>'Лист1'!B76</x:f>
        <x:v>Москва Запад</x:v>
      </x:c>
      <x:c r="C76" s="1" t="n">
        <x:f>'Лист1'!C76</x:f>
        <x:v>257215.5</x:v>
      </x:c>
      <x:c r="D76" s="6" t="n">
        <x:f>'Лист1'!D76</x:f>
        <x:v>26492278.5</x:v>
      </x:c>
      <x:c r="E76" s="6" t="n">
        <x:f>'Лист1'!E76</x:f>
        <x:v>19179229.932</x:v>
      </x:c>
      <x:c r="F76" s="6" t="n">
        <x:f>'Лист1'!F76</x:f>
        <x:v>254778.07384615383</x:v>
      </x:c>
      <x:c r="G76" s="1" t="n">
        <x:f>IF(N76=1,SUMIFS('Лист2'!$C$2:$C$505,'Лист2'!$A$2:$A$505,A76,'Лист2'!$B$2:$B$505,B76),NA())</x:f>
        <x:v>59</x:v>
      </x:c>
      <x:c r="H76" s="1" t="n">
        <x:f>IF(N76=1,SUMIFS('Лист2'!$D$2:$D$505,'Лист2'!$A$2:$A$505,A76,'Лист2'!$B$2:$B$505,B76),NA())</x:f>
        <x:v>15277</x:v>
      </x:c>
      <x:c r="I76" s="1" t="n">
        <x:f>IF(N76=1,SUMIFS('Лист2'!$E$2:$E$505,'Лист2'!$A$2:$A$505,A76,'Лист2'!$B$2:$B$505,B76),NA())</x:f>
        <x:v>14163</x:v>
      </x:c>
      <x:c r="J76" s="5" t="n">
        <x:f>A76-WEEKDAY(A76,2)+1</x:f>
        <x:v>43948</x:v>
      </x:c>
      <x:c r="K76" s="1" t="n">
        <x:f>YEAR(J76+3)</x:f>
        <x:v>2020</x:v>
      </x:c>
      <x:c r="L76" s="1" t="n">
        <x:f>INT((J76-DATE(K76,1,4)+WEEKDAY(DATE(K76,1,4),2)-1)/7)+1</x:f>
        <x:v>18</x:v>
      </x:c>
      <x:c r="M76" s="1" t="str">
        <x:f>A76&amp;"|"&amp;B76</x:f>
        <x:v>43954|Москва Запад</x:v>
      </x:c>
      <x:c r="N76" s="1" t="n">
        <x:f>COUNTIFS('Лист2'!$F$2:$F$505,M76)</x:f>
        <x:v>1</x:v>
      </x:c>
      <x:c r="O76" s="1"/>
      <x:c r="P76" s="1"/>
      <x:c r="Q76" s="1"/>
    </x:row>
    <x:row r="77" ht="21" customHeight="1">
      <x:c r="A77" s="5" t="n">
        <x:f>'Лист1'!A77</x:f>
        <x:v>43954</x:v>
      </x:c>
      <x:c r="B77" s="1" t="str">
        <x:f>'Лист1'!B77</x:f>
        <x:v>Нижний Новгород</x:v>
      </x:c>
      <x:c r="C77" s="1" t="n">
        <x:f>'Лист1'!C77</x:f>
        <x:v>23539.5</x:v>
      </x:c>
      <x:c r="D77" s="6" t="n">
        <x:f>'Лист1'!D77</x:f>
        <x:v>2170309.5</x:v>
      </x:c>
      <x:c r="E77" s="6" t="n">
        <x:f>'Лист1'!E77</x:f>
        <x:v>1735984.614</x:v>
      </x:c>
      <x:c r="F77" s="6" t="n">
        <x:f>'Лист1'!F77</x:f>
        <x:v>170377.8575384615</x:v>
      </x:c>
      <x:c r="G77" s="1" t="n">
        <x:f>IF(N77=1,SUMIFS('Лист2'!$C$2:$C$505,'Лист2'!$A$2:$A$505,A77,'Лист2'!$B$2:$B$505,B77),NA())</x:f>
        <x:v>19</x:v>
      </x:c>
      <x:c r="H77" s="1" t="n">
        <x:f>IF(N77=1,SUMIFS('Лист2'!$D$2:$D$505,'Лист2'!$A$2:$A$505,A77,'Лист2'!$B$2:$B$505,B77),NA())</x:f>
        <x:v>1402</x:v>
      </x:c>
      <x:c r="I77" s="1" t="n">
        <x:f>IF(N77=1,SUMIFS('Лист2'!$E$2:$E$505,'Лист2'!$A$2:$A$505,A77,'Лист2'!$B$2:$B$505,B77),NA())</x:f>
        <x:v>1234</x:v>
      </x:c>
      <x:c r="J77" s="5" t="n">
        <x:f>A77-WEEKDAY(A77,2)+1</x:f>
        <x:v>43948</x:v>
      </x:c>
      <x:c r="K77" s="1" t="n">
        <x:f>YEAR(J77+3)</x:f>
        <x:v>2020</x:v>
      </x:c>
      <x:c r="L77" s="1" t="n">
        <x:f>INT((J77-DATE(K77,1,4)+WEEKDAY(DATE(K77,1,4),2)-1)/7)+1</x:f>
        <x:v>18</x:v>
      </x:c>
      <x:c r="M77" s="1" t="str">
        <x:f>A77&amp;"|"&amp;B77</x:f>
        <x:v>43954|Нижний Новгород</x:v>
      </x:c>
      <x:c r="N77" s="1" t="n">
        <x:f>COUNTIFS('Лист2'!$F$2:$F$505,M77)</x:f>
        <x:v>1</x:v>
      </x:c>
      <x:c r="O77" s="1"/>
      <x:c r="P77" s="1"/>
      <x:c r="Q77" s="1"/>
    </x:row>
    <x:row r="78" ht="21" customHeight="1">
      <x:c r="A78" s="5" t="n">
        <x:f>'Лист1'!A78</x:f>
        <x:v>43954</x:v>
      </x:c>
      <x:c r="B78" s="1" t="str">
        <x:f>'Лист1'!B78</x:f>
        <x:v>Новосибирск</x:v>
      </x:c>
      <x:c r="C78" s="1" t="n">
        <x:f>'Лист1'!C78</x:f>
        <x:v>10032</x:v>
      </x:c>
      <x:c r="D78" s="6" t="n">
        <x:f>'Лист1'!D78</x:f>
        <x:v>816150</x:v>
      </x:c>
      <x:c r="E78" s="6" t="n">
        <x:f>'Лист1'!E78</x:f>
        <x:v>698626.0329999999</x:v>
      </x:c>
      <x:c r="F78" s="6" t="n">
        <x:f>'Лист1'!F78</x:f>
        <x:v>97812.8923076923</x:v>
      </x:c>
      <x:c r="G78" s="1" t="n">
        <x:f>IF(N78=1,SUMIFS('Лист2'!$C$2:$C$505,'Лист2'!$A$2:$A$505,A78,'Лист2'!$B$2:$B$505,B78),NA())</x:f>
        <x:v>15</x:v>
      </x:c>
      <x:c r="H78" s="1" t="n">
        <x:f>IF(N78=1,SUMIFS('Лист2'!$D$2:$D$505,'Лист2'!$A$2:$A$505,A78,'Лист2'!$B$2:$B$505,B78),NA())</x:f>
        <x:v>585</x:v>
      </x:c>
      <x:c r="I78" s="1" t="n">
        <x:f>IF(N78=1,SUMIFS('Лист2'!$E$2:$E$505,'Лист2'!$A$2:$A$505,A78,'Лист2'!$B$2:$B$505,B78),NA())</x:f>
        <x:v>502</x:v>
      </x:c>
      <x:c r="J78" s="5" t="n">
        <x:f>A78-WEEKDAY(A78,2)+1</x:f>
        <x:v>43948</x:v>
      </x:c>
      <x:c r="K78" s="1" t="n">
        <x:f>YEAR(J78+3)</x:f>
        <x:v>2020</x:v>
      </x:c>
      <x:c r="L78" s="1" t="n">
        <x:f>INT((J78-DATE(K78,1,4)+WEEKDAY(DATE(K78,1,4),2)-1)/7)+1</x:f>
        <x:v>18</x:v>
      </x:c>
      <x:c r="M78" s="1" t="str">
        <x:f>A78&amp;"|"&amp;B78</x:f>
        <x:v>43954|Новосибирск</x:v>
      </x:c>
      <x:c r="N78" s="1" t="n">
        <x:f>COUNTIFS('Лист2'!$F$2:$F$505,M78)</x:f>
        <x:v>1</x:v>
      </x:c>
      <x:c r="O78" s="1"/>
      <x:c r="P78" s="1"/>
      <x:c r="Q78" s="1"/>
    </x:row>
    <x:row r="79" ht="21" customHeight="1">
      <x:c r="A79" s="5" t="n">
        <x:f>'Лист1'!A79</x:f>
        <x:v>43954</x:v>
      </x:c>
      <x:c r="B79" s="1" t="str">
        <x:f>'Лист1'!B79</x:f>
        <x:v>Пермь</x:v>
      </x:c>
      <x:c r="C79" s="1" t="n">
        <x:f>'Лист1'!C79</x:f>
        <x:v>12924</x:v>
      </x:c>
      <x:c r="D79" s="6" t="n">
        <x:f>'Лист1'!D79</x:f>
        <x:v>1120009.5</x:v>
      </x:c>
      <x:c r="E79" s="6" t="n">
        <x:f>'Лист1'!E79</x:f>
        <x:v>902752.717</x:v>
      </x:c>
      <x:c r="F79" s="6" t="n">
        <x:f>'Лист1'!F79</x:f>
        <x:v>193184.6</x:v>
      </x:c>
      <x:c r="G79" s="1" t="n">
        <x:f>IF(N79=1,SUMIFS('Лист2'!$C$2:$C$505,'Лист2'!$A$2:$A$505,A79,'Лист2'!$B$2:$B$505,B79),NA())</x:f>
        <x:v>15</x:v>
      </x:c>
      <x:c r="H79" s="1" t="n">
        <x:f>IF(N79=1,SUMIFS('Лист2'!$D$2:$D$505,'Лист2'!$A$2:$A$505,A79,'Лист2'!$B$2:$B$505,B79),NA())</x:f>
        <x:v>784</x:v>
      </x:c>
      <x:c r="I79" s="1" t="n">
        <x:f>IF(N79=1,SUMIFS('Лист2'!$E$2:$E$505,'Лист2'!$A$2:$A$505,A79,'Лист2'!$B$2:$B$505,B79),NA())</x:f>
        <x:v>696</x:v>
      </x:c>
      <x:c r="J79" s="5" t="n">
        <x:f>A79-WEEKDAY(A79,2)+1</x:f>
        <x:v>43948</x:v>
      </x:c>
      <x:c r="K79" s="1" t="n">
        <x:f>YEAR(J79+3)</x:f>
        <x:v>2020</x:v>
      </x:c>
      <x:c r="L79" s="1" t="n">
        <x:f>INT((J79-DATE(K79,1,4)+WEEKDAY(DATE(K79,1,4),2)-1)/7)+1</x:f>
        <x:v>18</x:v>
      </x:c>
      <x:c r="M79" s="1" t="str">
        <x:f>A79&amp;"|"&amp;B79</x:f>
        <x:v>43954|Пермь</x:v>
      </x:c>
      <x:c r="N79" s="1" t="n">
        <x:f>COUNTIFS('Лист2'!$F$2:$F$505,M79)</x:f>
        <x:v>1</x:v>
      </x:c>
      <x:c r="O79" s="1"/>
      <x:c r="P79" s="1"/>
      <x:c r="Q79" s="1"/>
    </x:row>
    <x:row r="80" ht="21" customHeight="1">
      <x:c r="A80" s="5" t="n">
        <x:f>'Лист1'!A80</x:f>
        <x:v>43954</x:v>
      </x:c>
      <x:c r="B80" s="1" t="str">
        <x:f>'Лист1'!B80</x:f>
        <x:v>Ростов-на-Дону</x:v>
      </x:c>
      <x:c r="C80" s="1" t="n">
        <x:f>'Лист1'!C80</x:f>
        <x:v>8127</x:v>
      </x:c>
      <x:c r="D80" s="6" t="n">
        <x:f>'Лист1'!D80</x:f>
        <x:v>665302.5</x:v>
      </x:c>
      <x:c r="E80" s="6" t="n">
        <x:f>'Лист1'!E80</x:f>
        <x:v>644221.494</x:v>
      </x:c>
      <x:c r="F80" s="6" t="n">
        <x:f>'Лист1'!F80</x:f>
        <x:v>95245.72713846153</x:v>
      </x:c>
      <x:c r="G80" s="1" t="n">
        <x:f>IF(N80=1,SUMIFS('Лист2'!$C$2:$C$505,'Лист2'!$A$2:$A$505,A80,'Лист2'!$B$2:$B$505,B80),NA())</x:f>
        <x:v>15</x:v>
      </x:c>
      <x:c r="H80" s="1" t="n">
        <x:f>IF(N80=1,SUMIFS('Лист2'!$D$2:$D$505,'Лист2'!$A$2:$A$505,A80,'Лист2'!$B$2:$B$505,B80),NA())</x:f>
        <x:v>455</x:v>
      </x:c>
      <x:c r="I80" s="1" t="n">
        <x:f>IF(N80=1,SUMIFS('Лист2'!$E$2:$E$505,'Лист2'!$A$2:$A$505,A80,'Лист2'!$B$2:$B$505,B80),NA())</x:f>
        <x:v>384</x:v>
      </x:c>
      <x:c r="J80" s="5" t="n">
        <x:f>A80-WEEKDAY(A80,2)+1</x:f>
        <x:v>43948</x:v>
      </x:c>
      <x:c r="K80" s="1" t="n">
        <x:f>YEAR(J80+3)</x:f>
        <x:v>2020</x:v>
      </x:c>
      <x:c r="L80" s="1" t="n">
        <x:f>INT((J80-DATE(K80,1,4)+WEEKDAY(DATE(K80,1,4),2)-1)/7)+1</x:f>
        <x:v>18</x:v>
      </x:c>
      <x:c r="M80" s="1" t="str">
        <x:f>A80&amp;"|"&amp;B80</x:f>
        <x:v>43954|Ростов-на-Дону</x:v>
      </x:c>
      <x:c r="N80" s="1" t="n">
        <x:f>COUNTIFS('Лист2'!$F$2:$F$505,M80)</x:f>
        <x:v>1</x:v>
      </x:c>
      <x:c r="O80" s="1"/>
      <x:c r="P80" s="1"/>
      <x:c r="Q80" s="1"/>
    </x:row>
    <x:row r="81" ht="21" customHeight="1">
      <x:c r="A81" s="5" t="n">
        <x:f>'Лист1'!A81</x:f>
        <x:v>43954</x:v>
      </x:c>
      <x:c r="B81" s="1" t="str">
        <x:f>'Лист1'!B81</x:f>
        <x:v>Санкт-Петербург Север</x:v>
      </x:c>
      <x:c r="C81" s="1" t="n">
        <x:f>'Лист1'!C81</x:f>
        <x:v>342666</x:v>
      </x:c>
      <x:c r="D81" s="6" t="n">
        <x:f>'Лист1'!D81</x:f>
        <x:v>36631999.5</x:v>
      </x:c>
      <x:c r="E81" s="6" t="n">
        <x:f>'Лист1'!E81</x:f>
        <x:v>26408496.047999997</x:v>
      </x:c>
      <x:c r="F81" s="6" t="n">
        <x:f>'Лист1'!F81</x:f>
        <x:v>820373.5681538461</x:v>
      </x:c>
      <x:c r="G81" s="1" t="n">
        <x:f>IF(N81=1,SUMIFS('Лист2'!$C$2:$C$505,'Лист2'!$A$2:$A$505,A81,'Лист2'!$B$2:$B$505,B81),NA())</x:f>
        <x:v>125</x:v>
      </x:c>
      <x:c r="H81" s="1" t="n">
        <x:f>IF(N81=1,SUMIFS('Лист2'!$D$2:$D$505,'Лист2'!$A$2:$A$505,A81,'Лист2'!$B$2:$B$505,B81),NA())</x:f>
        <x:v>18861</x:v>
      </x:c>
      <x:c r="I81" s="1" t="n">
        <x:f>IF(N81=1,SUMIFS('Лист2'!$E$2:$E$505,'Лист2'!$A$2:$A$505,A81,'Лист2'!$B$2:$B$505,B81),NA())</x:f>
        <x:v>17420</x:v>
      </x:c>
      <x:c r="J81" s="5" t="n">
        <x:f>A81-WEEKDAY(A81,2)+1</x:f>
        <x:v>43948</x:v>
      </x:c>
      <x:c r="K81" s="1" t="n">
        <x:f>YEAR(J81+3)</x:f>
        <x:v>2020</x:v>
      </x:c>
      <x:c r="L81" s="1" t="n">
        <x:f>INT((J81-DATE(K81,1,4)+WEEKDAY(DATE(K81,1,4),2)-1)/7)+1</x:f>
        <x:v>18</x:v>
      </x:c>
      <x:c r="M81" s="1" t="str">
        <x:f>A81&amp;"|"&amp;B81</x:f>
        <x:v>43954|Санкт-Петербург Север</x:v>
      </x:c>
      <x:c r="N81" s="1" t="n">
        <x:f>COUNTIFS('Лист2'!$F$2:$F$505,M81)</x:f>
        <x:v>1</x:v>
      </x:c>
      <x:c r="O81" s="1"/>
      <x:c r="P81" s="1"/>
      <x:c r="Q81" s="1"/>
    </x:row>
    <x:row r="82" ht="21" customHeight="1">
      <x:c r="A82" s="5" t="n">
        <x:f>'Лист1'!A82</x:f>
        <x:v>43954</x:v>
      </x:c>
      <x:c r="B82" s="1" t="str">
        <x:f>'Лист1'!B82</x:f>
        <x:v>Санкт-Петербург Юг</x:v>
      </x:c>
      <x:c r="C82" s="1" t="n">
        <x:f>'Лист1'!C82</x:f>
        <x:v>274083</x:v>
      </x:c>
      <x:c r="D82" s="6" t="n">
        <x:f>'Лист1'!D82</x:f>
        <x:v>28427001</x:v>
      </x:c>
      <x:c r="E82" s="6" t="n">
        <x:f>'Лист1'!E82</x:f>
        <x:v>20563887.599</x:v>
      </x:c>
      <x:c r="F82" s="6" t="n">
        <x:f>'Лист1'!F82</x:f>
        <x:v>779849.3653846154</x:v>
      </x:c>
      <x:c r="G82" s="1" t="n">
        <x:f>IF(N82=1,SUMIFS('Лист2'!$C$2:$C$505,'Лист2'!$A$2:$A$505,A82,'Лист2'!$B$2:$B$505,B82),NA())</x:f>
        <x:v>129</x:v>
      </x:c>
      <x:c r="H82" s="1" t="n">
        <x:f>IF(N82=1,SUMIFS('Лист2'!$D$2:$D$505,'Лист2'!$A$2:$A$505,A82,'Лист2'!$B$2:$B$505,B82),NA())</x:f>
        <x:v>15778</x:v>
      </x:c>
      <x:c r="I82" s="1" t="n">
        <x:f>IF(N82=1,SUMIFS('Лист2'!$E$2:$E$505,'Лист2'!$A$2:$A$505,A82,'Лист2'!$B$2:$B$505,B82),NA())</x:f>
        <x:v>14624</x:v>
      </x:c>
      <x:c r="J82" s="5" t="n">
        <x:f>A82-WEEKDAY(A82,2)+1</x:f>
        <x:v>43948</x:v>
      </x:c>
      <x:c r="K82" s="1" t="n">
        <x:f>YEAR(J82+3)</x:f>
        <x:v>2020</x:v>
      </x:c>
      <x:c r="L82" s="1" t="n">
        <x:f>INT((J82-DATE(K82,1,4)+WEEKDAY(DATE(K82,1,4),2)-1)/7)+1</x:f>
        <x:v>18</x:v>
      </x:c>
      <x:c r="M82" s="1" t="str">
        <x:f>A82&amp;"|"&amp;B82</x:f>
        <x:v>43954|Санкт-Петербург Юг</x:v>
      </x:c>
      <x:c r="N82" s="1" t="n">
        <x:f>COUNTIFS('Лист2'!$F$2:$F$505,M82)</x:f>
        <x:v>1</x:v>
      </x:c>
      <x:c r="O82" s="1"/>
      <x:c r="P82" s="1"/>
      <x:c r="Q82" s="1"/>
    </x:row>
    <x:row r="83" ht="21" customHeight="1">
      <x:c r="A83" s="5" t="n">
        <x:f>'Лист1'!A83</x:f>
        <x:v>43954</x:v>
      </x:c>
      <x:c r="B83" s="1" t="str">
        <x:f>'Лист1'!B83</x:f>
        <x:v>Тольятти</x:v>
      </x:c>
      <x:c r="C83" s="1" t="n">
        <x:f>'Лист1'!C83</x:f>
        <x:v>8185.5</x:v>
      </x:c>
      <x:c r="D83" s="6" t="n">
        <x:f>'Лист1'!D83</x:f>
        <x:v>637881</x:v>
      </x:c>
      <x:c r="E83" s="6" t="n">
        <x:f>'Лист1'!E83</x:f>
        <x:v>575840.677</x:v>
      </x:c>
      <x:c r="F83" s="6" t="n">
        <x:f>'Лист1'!F83</x:f>
        <x:v>73920.5846153846</x:v>
      </x:c>
      <x:c r="G83" s="1" t="n">
        <x:f>IF(N83=1,SUMIFS('Лист2'!$C$2:$C$505,'Лист2'!$A$2:$A$505,A83,'Лист2'!$B$2:$B$505,B83),NA())</x:f>
        <x:v>10</x:v>
      </x:c>
      <x:c r="H83" s="1" t="n">
        <x:f>IF(N83=1,SUMIFS('Лист2'!$D$2:$D$505,'Лист2'!$A$2:$A$505,A83,'Лист2'!$B$2:$B$505,B83),NA())</x:f>
        <x:v>402</x:v>
      </x:c>
      <x:c r="I83" s="1" t="n">
        <x:f>IF(N83=1,SUMIFS('Лист2'!$E$2:$E$505,'Лист2'!$A$2:$A$505,A83,'Лист2'!$B$2:$B$505,B83),NA())</x:f>
        <x:v>333</x:v>
      </x:c>
      <x:c r="J83" s="5" t="n">
        <x:f>A83-WEEKDAY(A83,2)+1</x:f>
        <x:v>43948</x:v>
      </x:c>
      <x:c r="K83" s="1" t="n">
        <x:f>YEAR(J83+3)</x:f>
        <x:v>2020</x:v>
      </x:c>
      <x:c r="L83" s="1" t="n">
        <x:f>INT((J83-DATE(K83,1,4)+WEEKDAY(DATE(K83,1,4),2)-1)/7)+1</x:f>
        <x:v>18</x:v>
      </x:c>
      <x:c r="M83" s="1" t="str">
        <x:f>A83&amp;"|"&amp;B83</x:f>
        <x:v>43954|Тольятти</x:v>
      </x:c>
      <x:c r="N83" s="1" t="n">
        <x:f>COUNTIFS('Лист2'!$F$2:$F$505,M83)</x:f>
        <x:v>1</x:v>
      </x:c>
      <x:c r="O83" s="1"/>
      <x:c r="P83" s="1"/>
      <x:c r="Q83" s="1"/>
    </x:row>
    <x:row r="84" ht="21" customHeight="1">
      <x:c r="A84" s="5" t="n">
        <x:f>'Лист1'!A84</x:f>
        <x:v>43955</x:v>
      </x:c>
      <x:c r="B84" s="1" t="str">
        <x:f>'Лист1'!B84</x:f>
        <x:v>Волгоград</x:v>
      </x:c>
      <x:c r="C84" s="1" t="n">
        <x:f>'Лист1'!C84</x:f>
        <x:v>64108.5</x:v>
      </x:c>
      <x:c r="D84" s="6" t="n">
        <x:f>'Лист1'!D84</x:f>
        <x:v>5561452.5</x:v>
      </x:c>
      <x:c r="E84" s="6" t="n">
        <x:f>'Лист1'!E84</x:f>
        <x:v>4257859.372</x:v>
      </x:c>
      <x:c r="F84" s="6" t="n">
        <x:f>'Лист1'!F84</x:f>
        <x:v>337872.83273076924</x:v>
      </x:c>
      <x:c r="G84" s="1" t="n">
        <x:f>IF(N84=1,SUMIFS('Лист2'!$C$2:$C$505,'Лист2'!$A$2:$A$505,A84,'Лист2'!$B$2:$B$505,B84),NA())</x:f>
        <x:v>36</x:v>
      </x:c>
      <x:c r="H84" s="1" t="n">
        <x:f>IF(N84=1,SUMIFS('Лист2'!$D$2:$D$505,'Лист2'!$A$2:$A$505,A84,'Лист2'!$B$2:$B$505,B84),NA())</x:f>
        <x:v>4508</x:v>
      </x:c>
      <x:c r="I84" s="1" t="n">
        <x:f>IF(N84=1,SUMIFS('Лист2'!$E$2:$E$505,'Лист2'!$A$2:$A$505,A84,'Лист2'!$B$2:$B$505,B84),NA())</x:f>
        <x:v>4149</x:v>
      </x:c>
      <x:c r="J84" s="5" t="n">
        <x:f>A84-WEEKDAY(A84,2)+1</x:f>
        <x:v>43955</x:v>
      </x:c>
      <x:c r="K84" s="1" t="n">
        <x:f>YEAR(J84+3)</x:f>
        <x:v>2020</x:v>
      </x:c>
      <x:c r="L84" s="1" t="n">
        <x:f>INT((J84-DATE(K84,1,4)+WEEKDAY(DATE(K84,1,4),2)-1)/7)+1</x:f>
        <x:v>19</x:v>
      </x:c>
      <x:c r="M84" s="1" t="str">
        <x:f>A84&amp;"|"&amp;B84</x:f>
        <x:v>43955|Волгоград</x:v>
      </x:c>
      <x:c r="N84" s="1" t="n">
        <x:f>COUNTIFS('Лист2'!$F$2:$F$505,M84)</x:f>
        <x:v>1</x:v>
      </x:c>
      <x:c r="O84" s="1"/>
      <x:c r="P84" s="1"/>
      <x:c r="Q84" s="1"/>
    </x:row>
    <x:row r="85" ht="21" customHeight="1">
      <x:c r="A85" s="5" t="n">
        <x:f>'Лист1'!A85</x:f>
        <x:v>43955</x:v>
      </x:c>
      <x:c r="B85" s="1" t="str">
        <x:f>'Лист1'!B85</x:f>
        <x:v>Екатеринбург</x:v>
      </x:c>
      <x:c r="C85" s="1" t="n">
        <x:f>'Лист1'!C85</x:f>
        <x:v>72928.5</x:v>
      </x:c>
      <x:c r="D85" s="6" t="n">
        <x:f>'Лист1'!D85</x:f>
        <x:v>6642249</x:v>
      </x:c>
      <x:c r="E85" s="6" t="n">
        <x:f>'Лист1'!E85</x:f>
        <x:v>4993791.956</x:v>
      </x:c>
      <x:c r="F85" s="6" t="n">
        <x:f>'Лист1'!F85</x:f>
        <x:v>215294.37692307692</x:v>
      </x:c>
      <x:c r="G85" s="1" t="n">
        <x:f>IF(N85=1,SUMIFS('Лист2'!$C$2:$C$505,'Лист2'!$A$2:$A$505,A85,'Лист2'!$B$2:$B$505,B85),NA())</x:f>
        <x:v>31</x:v>
      </x:c>
      <x:c r="H85" s="1" t="n">
        <x:f>IF(N85=1,SUMIFS('Лист2'!$D$2:$D$505,'Лист2'!$A$2:$A$505,A85,'Лист2'!$B$2:$B$505,B85),NA())</x:f>
        <x:v>4968</x:v>
      </x:c>
      <x:c r="I85" s="1" t="n">
        <x:f>IF(N85=1,SUMIFS('Лист2'!$E$2:$E$505,'Лист2'!$A$2:$A$505,A85,'Лист2'!$B$2:$B$505,B85),NA())</x:f>
        <x:v>4596</x:v>
      </x:c>
      <x:c r="J85" s="5" t="n">
        <x:f>A85-WEEKDAY(A85,2)+1</x:f>
        <x:v>43955</x:v>
      </x:c>
      <x:c r="K85" s="1" t="n">
        <x:f>YEAR(J85+3)</x:f>
        <x:v>2020</x:v>
      </x:c>
      <x:c r="L85" s="1" t="n">
        <x:f>INT((J85-DATE(K85,1,4)+WEEKDAY(DATE(K85,1,4),2)-1)/7)+1</x:f>
        <x:v>19</x:v>
      </x:c>
      <x:c r="M85" s="1" t="str">
        <x:f>A85&amp;"|"&amp;B85</x:f>
        <x:v>43955|Екатеринбург</x:v>
      </x:c>
      <x:c r="N85" s="1" t="n">
        <x:f>COUNTIFS('Лист2'!$F$2:$F$505,M85)</x:f>
        <x:v>1</x:v>
      </x:c>
      <x:c r="O85" s="1"/>
      <x:c r="P85" s="1"/>
      <x:c r="Q85" s="1"/>
    </x:row>
    <x:row r="86" ht="21" customHeight="1">
      <x:c r="A86" s="5" t="n">
        <x:f>'Лист1'!A86</x:f>
        <x:v>43955</x:v>
      </x:c>
      <x:c r="B86" s="1" t="str">
        <x:f>'Лист1'!B86</x:f>
        <x:v>Казань</x:v>
      </x:c>
      <x:c r="C86" s="1" t="n">
        <x:f>'Лист1'!C86</x:f>
        <x:v>30780</x:v>
      </x:c>
      <x:c r="D86" s="6" t="n">
        <x:f>'Лист1'!D86</x:f>
        <x:v>2817853.5</x:v>
      </x:c>
      <x:c r="E86" s="6" t="n">
        <x:f>'Лист1'!E86</x:f>
        <x:v>2169377.225</x:v>
      </x:c>
      <x:c r="F86" s="6" t="n">
        <x:f>'Лист1'!F86</x:f>
        <x:v>215836.18461538458</x:v>
      </x:c>
      <x:c r="G86" s="1" t="n">
        <x:f>IF(N86=1,SUMIFS('Лист2'!$C$2:$C$505,'Лист2'!$A$2:$A$505,A86,'Лист2'!$B$2:$B$505,B86),NA())</x:f>
        <x:v>20</x:v>
      </x:c>
      <x:c r="H86" s="1" t="n">
        <x:f>IF(N86=1,SUMIFS('Лист2'!$D$2:$D$505,'Лист2'!$A$2:$A$505,A86,'Лист2'!$B$2:$B$505,B86),NA())</x:f>
        <x:v>1804</x:v>
      </x:c>
      <x:c r="I86" s="1" t="n">
        <x:f>IF(N86=1,SUMIFS('Лист2'!$E$2:$E$505,'Лист2'!$A$2:$A$505,A86,'Лист2'!$B$2:$B$505,B86),NA())</x:f>
        <x:v>1638</x:v>
      </x:c>
      <x:c r="J86" s="5" t="n">
        <x:f>A86-WEEKDAY(A86,2)+1</x:f>
        <x:v>43955</x:v>
      </x:c>
      <x:c r="K86" s="1" t="n">
        <x:f>YEAR(J86+3)</x:f>
        <x:v>2020</x:v>
      </x:c>
      <x:c r="L86" s="1" t="n">
        <x:f>INT((J86-DATE(K86,1,4)+WEEKDAY(DATE(K86,1,4),2)-1)/7)+1</x:f>
        <x:v>19</x:v>
      </x:c>
      <x:c r="M86" s="1" t="str">
        <x:f>A86&amp;"|"&amp;B86</x:f>
        <x:v>43955|Казань</x:v>
      </x:c>
      <x:c r="N86" s="1" t="n">
        <x:f>COUNTIFS('Лист2'!$F$2:$F$505,M86)</x:f>
        <x:v>1</x:v>
      </x:c>
      <x:c r="O86" s="1"/>
      <x:c r="P86" s="1"/>
      <x:c r="Q86" s="1"/>
    </x:row>
    <x:row r="87" ht="21" customHeight="1">
      <x:c r="A87" s="5" t="n">
        <x:f>'Лист1'!A87</x:f>
        <x:v>43955</x:v>
      </x:c>
      <x:c r="B87" s="1" t="str">
        <x:f>'Лист1'!B87</x:f>
        <x:v>Кемерово</x:v>
      </x:c>
      <x:c r="C87" s="1" t="n">
        <x:f>'Лист1'!C87</x:f>
        <x:v>25566</x:v>
      </x:c>
      <x:c r="D87" s="6" t="n">
        <x:f>'Лист1'!D87</x:f>
        <x:v>2372310</x:v>
      </x:c>
      <x:c r="E87" s="6" t="n">
        <x:f>'Лист1'!E87</x:f>
        <x:v>1875929.923</x:v>
      </x:c>
      <x:c r="F87" s="6" t="n">
        <x:f>'Лист1'!F87</x:f>
        <x:v>280340.1657</x:v>
      </x:c>
      <x:c r="G87" s="1" t="n">
        <x:f>IF(N87=1,SUMIFS('Лист2'!$C$2:$C$505,'Лист2'!$A$2:$A$505,A87,'Лист2'!$B$2:$B$505,B87),NA())</x:f>
        <x:v>20</x:v>
      </x:c>
      <x:c r="H87" s="1" t="n">
        <x:f>IF(N87=1,SUMIFS('Лист2'!$D$2:$D$505,'Лист2'!$A$2:$A$505,A87,'Лист2'!$B$2:$B$505,B87),NA())</x:f>
        <x:v>1519</x:v>
      </x:c>
      <x:c r="I87" s="1" t="n">
        <x:f>IF(N87=1,SUMIFS('Лист2'!$E$2:$E$505,'Лист2'!$A$2:$A$505,A87,'Лист2'!$B$2:$B$505,B87),NA())</x:f>
        <x:v>1372</x:v>
      </x:c>
      <x:c r="J87" s="5" t="n">
        <x:f>A87-WEEKDAY(A87,2)+1</x:f>
        <x:v>43955</x:v>
      </x:c>
      <x:c r="K87" s="1" t="n">
        <x:f>YEAR(J87+3)</x:f>
        <x:v>2020</x:v>
      </x:c>
      <x:c r="L87" s="1" t="n">
        <x:f>INT((J87-DATE(K87,1,4)+WEEKDAY(DATE(K87,1,4),2)-1)/7)+1</x:f>
        <x:v>19</x:v>
      </x:c>
      <x:c r="M87" s="1" t="str">
        <x:f>A87&amp;"|"&amp;B87</x:f>
        <x:v>43955|Кемерово</x:v>
      </x:c>
      <x:c r="N87" s="1" t="n">
        <x:f>COUNTIFS('Лист2'!$F$2:$F$505,M87)</x:f>
        <x:v>1</x:v>
      </x:c>
      <x:c r="O87" s="1"/>
      <x:c r="P87" s="1"/>
      <x:c r="Q87" s="1"/>
    </x:row>
    <x:row r="88" ht="21" customHeight="1">
      <x:c r="A88" s="5" t="n">
        <x:f>'Лист1'!A88</x:f>
        <x:v>43955</x:v>
      </x:c>
      <x:c r="B88" s="1" t="str">
        <x:f>'Лист1'!B88</x:f>
        <x:v>Краснодар</x:v>
      </x:c>
      <x:c r="C88" s="1" t="n">
        <x:f>'Лист1'!C88</x:f>
        <x:v>23587.5</x:v>
      </x:c>
      <x:c r="D88" s="6" t="n">
        <x:f>'Лист1'!D88</x:f>
        <x:v>2155668</x:v>
      </x:c>
      <x:c r="E88" s="6" t="n">
        <x:f>'Лист1'!E88</x:f>
        <x:v>1685753.184</x:v>
      </x:c>
      <x:c r="F88" s="6" t="n">
        <x:f>'Лист1'!F88</x:f>
        <x:v>135489.1581153846</x:v>
      </x:c>
      <x:c r="G88" s="1" t="n">
        <x:f>IF(N88=1,SUMIFS('Лист2'!$C$2:$C$505,'Лист2'!$A$2:$A$505,A88,'Лист2'!$B$2:$B$505,B88),NA())</x:f>
        <x:v>19</x:v>
      </x:c>
      <x:c r="H88" s="1" t="n">
        <x:f>IF(N88=1,SUMIFS('Лист2'!$D$2:$D$505,'Лист2'!$A$2:$A$505,A88,'Лист2'!$B$2:$B$505,B88),NA())</x:f>
        <x:v>1479</x:v>
      </x:c>
      <x:c r="I88" s="1" t="n">
        <x:f>IF(N88=1,SUMIFS('Лист2'!$E$2:$E$505,'Лист2'!$A$2:$A$505,A88,'Лист2'!$B$2:$B$505,B88),NA())</x:f>
        <x:v>1346</x:v>
      </x:c>
      <x:c r="J88" s="5" t="n">
        <x:f>A88-WEEKDAY(A88,2)+1</x:f>
        <x:v>43955</x:v>
      </x:c>
      <x:c r="K88" s="1" t="n">
        <x:f>YEAR(J88+3)</x:f>
        <x:v>2020</x:v>
      </x:c>
      <x:c r="L88" s="1" t="n">
        <x:f>INT((J88-DATE(K88,1,4)+WEEKDAY(DATE(K88,1,4),2)-1)/7)+1</x:f>
        <x:v>19</x:v>
      </x:c>
      <x:c r="M88" s="1" t="str">
        <x:f>A88&amp;"|"&amp;B88</x:f>
        <x:v>43955|Краснодар</x:v>
      </x:c>
      <x:c r="N88" s="1" t="n">
        <x:f>COUNTIFS('Лист2'!$F$2:$F$505,M88)</x:f>
        <x:v>1</x:v>
      </x:c>
      <x:c r="O88" s="1"/>
      <x:c r="P88" s="1"/>
      <x:c r="Q88" s="1"/>
    </x:row>
    <x:row r="89" ht="21" customHeight="1">
      <x:c r="A89" s="5" t="n">
        <x:f>'Лист1'!A89</x:f>
        <x:v>43955</x:v>
      </x:c>
      <x:c r="B89" s="1" t="str">
        <x:f>'Лист1'!B89</x:f>
        <x:v>Москва Восток</x:v>
      </x:c>
      <x:c r="C89" s="1" t="n">
        <x:f>'Лист1'!C89</x:f>
        <x:v>223617</x:v>
      </x:c>
      <x:c r="D89" s="6" t="n">
        <x:f>'Лист1'!D89</x:f>
        <x:v>22796827.5</x:v>
      </x:c>
      <x:c r="E89" s="6" t="n">
        <x:f>'Лист1'!E89</x:f>
        <x:v>16597666.014999999</x:v>
      </x:c>
      <x:c r="F89" s="6" t="n">
        <x:f>'Лист1'!F89</x:f>
        <x:v>404297.7461538461</x:v>
      </x:c>
      <x:c r="G89" s="1" t="n">
        <x:f>IF(N89=1,SUMIFS('Лист2'!$C$2:$C$505,'Лист2'!$A$2:$A$505,A89,'Лист2'!$B$2:$B$505,B89),NA())</x:f>
        <x:v>54</x:v>
      </x:c>
      <x:c r="H89" s="1" t="n">
        <x:f>IF(N89=1,SUMIFS('Лист2'!$D$2:$D$505,'Лист2'!$A$2:$A$505,A89,'Лист2'!$B$2:$B$505,B89),NA())</x:f>
        <x:v>13606</x:v>
      </x:c>
      <x:c r="I89" s="1" t="n">
        <x:f>IF(N89=1,SUMIFS('Лист2'!$E$2:$E$505,'Лист2'!$A$2:$A$505,A89,'Лист2'!$B$2:$B$505,B89),NA())</x:f>
        <x:v>12697</x:v>
      </x:c>
      <x:c r="J89" s="5" t="n">
        <x:f>A89-WEEKDAY(A89,2)+1</x:f>
        <x:v>43955</x:v>
      </x:c>
      <x:c r="K89" s="1" t="n">
        <x:f>YEAR(J89+3)</x:f>
        <x:v>2020</x:v>
      </x:c>
      <x:c r="L89" s="1" t="n">
        <x:f>INT((J89-DATE(K89,1,4)+WEEKDAY(DATE(K89,1,4),2)-1)/7)+1</x:f>
        <x:v>19</x:v>
      </x:c>
      <x:c r="M89" s="1" t="str">
        <x:f>A89&amp;"|"&amp;B89</x:f>
        <x:v>43955|Москва Восток</x:v>
      </x:c>
      <x:c r="N89" s="1" t="n">
        <x:f>COUNTIFS('Лист2'!$F$2:$F$505,M89)</x:f>
        <x:v>1</x:v>
      </x:c>
      <x:c r="O89" s="1"/>
      <x:c r="P89" s="1"/>
      <x:c r="Q89" s="1"/>
    </x:row>
    <x:row r="90" ht="21" customHeight="1">
      <x:c r="A90" s="5" t="n">
        <x:f>'Лист1'!A90</x:f>
        <x:v>43955</x:v>
      </x:c>
      <x:c r="B90" s="1" t="str">
        <x:f>'Лист1'!B90</x:f>
        <x:v>Москва Запад</x:v>
      </x:c>
      <x:c r="C90" s="1" t="n">
        <x:f>'Лист1'!C90</x:f>
        <x:v>237544.5</x:v>
      </x:c>
      <x:c r="D90" s="6" t="n">
        <x:f>'Лист1'!D90</x:f>
        <x:v>24292218</x:v>
      </x:c>
      <x:c r="E90" s="6" t="n">
        <x:f>'Лист1'!E90</x:f>
        <x:v>17650186.029</x:v>
      </x:c>
      <x:c r="F90" s="6" t="n">
        <x:f>'Лист1'!F90</x:f>
        <x:v>347608.6384615384</x:v>
      </x:c>
      <x:c r="G90" s="1" t="n">
        <x:f>IF(N90=1,SUMIFS('Лист2'!$C$2:$C$505,'Лист2'!$A$2:$A$505,A90,'Лист2'!$B$2:$B$505,B90),NA())</x:f>
        <x:v>59</x:v>
      </x:c>
      <x:c r="H90" s="1" t="n">
        <x:f>IF(N90=1,SUMIFS('Лист2'!$D$2:$D$505,'Лист2'!$A$2:$A$505,A90,'Лист2'!$B$2:$B$505,B90),NA())</x:f>
        <x:v>14423</x:v>
      </x:c>
      <x:c r="I90" s="1" t="n">
        <x:f>IF(N90=1,SUMIFS('Лист2'!$E$2:$E$505,'Лист2'!$A$2:$A$505,A90,'Лист2'!$B$2:$B$505,B90),NA())</x:f>
        <x:v>13432</x:v>
      </x:c>
      <x:c r="J90" s="5" t="n">
        <x:f>A90-WEEKDAY(A90,2)+1</x:f>
        <x:v>43955</x:v>
      </x:c>
      <x:c r="K90" s="1" t="n">
        <x:f>YEAR(J90+3)</x:f>
        <x:v>2020</x:v>
      </x:c>
      <x:c r="L90" s="1" t="n">
        <x:f>INT((J90-DATE(K90,1,4)+WEEKDAY(DATE(K90,1,4),2)-1)/7)+1</x:f>
        <x:v>19</x:v>
      </x:c>
      <x:c r="M90" s="1" t="str">
        <x:f>A90&amp;"|"&amp;B90</x:f>
        <x:v>43955|Москва Запад</x:v>
      </x:c>
      <x:c r="N90" s="1" t="n">
        <x:f>COUNTIFS('Лист2'!$F$2:$F$505,M90)</x:f>
        <x:v>1</x:v>
      </x:c>
      <x:c r="O90" s="1"/>
      <x:c r="P90" s="1"/>
      <x:c r="Q90" s="1"/>
    </x:row>
    <x:row r="91" ht="21" customHeight="1">
      <x:c r="A91" s="5" t="n">
        <x:f>'Лист1'!A91</x:f>
        <x:v>43955</x:v>
      </x:c>
      <x:c r="B91" s="1" t="str">
        <x:f>'Лист1'!B91</x:f>
        <x:v>Нижний Новгород</x:v>
      </x:c>
      <x:c r="C91" s="1" t="n">
        <x:f>'Лист1'!C91</x:f>
        <x:v>27072</x:v>
      </x:c>
      <x:c r="D91" s="6" t="n">
        <x:f>'Лист1'!D91</x:f>
        <x:v>2450968.5</x:v>
      </x:c>
      <x:c r="E91" s="6" t="n">
        <x:f>'Лист1'!E91</x:f>
        <x:v>1980824.9889999998</x:v>
      </x:c>
      <x:c r="F91" s="6" t="n">
        <x:f>'Лист1'!F91</x:f>
        <x:v>188174.3243923077</x:v>
      </x:c>
      <x:c r="G91" s="1" t="n">
        <x:f>IF(N91=1,SUMIFS('Лист2'!$C$2:$C$505,'Лист2'!$A$2:$A$505,A91,'Лист2'!$B$2:$B$505,B91),NA())</x:f>
        <x:v>19</x:v>
      </x:c>
      <x:c r="H91" s="1" t="n">
        <x:f>IF(N91=1,SUMIFS('Лист2'!$D$2:$D$505,'Лист2'!$A$2:$A$505,A91,'Лист2'!$B$2:$B$505,B91),NA())</x:f>
        <x:v>1582</x:v>
      </x:c>
      <x:c r="I91" s="1" t="n">
        <x:f>IF(N91=1,SUMIFS('Лист2'!$E$2:$E$505,'Лист2'!$A$2:$A$505,A91,'Лист2'!$B$2:$B$505,B91),NA())</x:f>
        <x:v>1403</x:v>
      </x:c>
      <x:c r="J91" s="5" t="n">
        <x:f>A91-WEEKDAY(A91,2)+1</x:f>
        <x:v>43955</x:v>
      </x:c>
      <x:c r="K91" s="1" t="n">
        <x:f>YEAR(J91+3)</x:f>
        <x:v>2020</x:v>
      </x:c>
      <x:c r="L91" s="1" t="n">
        <x:f>INT((J91-DATE(K91,1,4)+WEEKDAY(DATE(K91,1,4),2)-1)/7)+1</x:f>
        <x:v>19</x:v>
      </x:c>
      <x:c r="M91" s="1" t="str">
        <x:f>A91&amp;"|"&amp;B91</x:f>
        <x:v>43955|Нижний Новгород</x:v>
      </x:c>
      <x:c r="N91" s="1" t="n">
        <x:f>COUNTIFS('Лист2'!$F$2:$F$505,M91)</x:f>
        <x:v>1</x:v>
      </x:c>
      <x:c r="O91" s="1"/>
      <x:c r="P91" s="1"/>
      <x:c r="Q91" s="1"/>
    </x:row>
    <x:row r="92" ht="21" customHeight="1">
      <x:c r="A92" s="5" t="n">
        <x:f>'Лист1'!A92</x:f>
        <x:v>43955</x:v>
      </x:c>
      <x:c r="B92" s="1" t="str">
        <x:f>'Лист1'!B92</x:f>
        <x:v>Новосибирск</x:v>
      </x:c>
      <x:c r="C92" s="1" t="n">
        <x:f>'Лист1'!C92</x:f>
        <x:v>11062.5</x:v>
      </x:c>
      <x:c r="D92" s="6" t="n">
        <x:f>'Лист1'!D92</x:f>
        <x:v>906343.5</x:v>
      </x:c>
      <x:c r="E92" s="6" t="n">
        <x:f>'Лист1'!E92</x:f>
        <x:v>762082.749</x:v>
      </x:c>
      <x:c r="F92" s="6" t="n">
        <x:f>'Лист1'!F92</x:f>
        <x:v>125305.56399230768</x:v>
      </x:c>
      <x:c r="G92" s="1" t="n">
        <x:f>IF(N92=1,SUMIFS('Лист2'!$C$2:$C$505,'Лист2'!$A$2:$A$505,A92,'Лист2'!$B$2:$B$505,B92),NA())</x:f>
        <x:v>15</x:v>
      </x:c>
      <x:c r="H92" s="1" t="n">
        <x:f>IF(N92=1,SUMIFS('Лист2'!$D$2:$D$505,'Лист2'!$A$2:$A$505,A92,'Лист2'!$B$2:$B$505,B92),NA())</x:f>
        <x:v>622</x:v>
      </x:c>
      <x:c r="I92" s="1" t="n">
        <x:f>IF(N92=1,SUMIFS('Лист2'!$E$2:$E$505,'Лист2'!$A$2:$A$505,A92,'Лист2'!$B$2:$B$505,B92),NA())</x:f>
        <x:v>538</x:v>
      </x:c>
      <x:c r="J92" s="5" t="n">
        <x:f>A92-WEEKDAY(A92,2)+1</x:f>
        <x:v>43955</x:v>
      </x:c>
      <x:c r="K92" s="1" t="n">
        <x:f>YEAR(J92+3)</x:f>
        <x:v>2020</x:v>
      </x:c>
      <x:c r="L92" s="1" t="n">
        <x:f>INT((J92-DATE(K92,1,4)+WEEKDAY(DATE(K92,1,4),2)-1)/7)+1</x:f>
        <x:v>19</x:v>
      </x:c>
      <x:c r="M92" s="1" t="str">
        <x:f>A92&amp;"|"&amp;B92</x:f>
        <x:v>43955|Новосибирск</x:v>
      </x:c>
      <x:c r="N92" s="1" t="n">
        <x:f>COUNTIFS('Лист2'!$F$2:$F$505,M92)</x:f>
        <x:v>1</x:v>
      </x:c>
      <x:c r="O92" s="1"/>
      <x:c r="P92" s="1"/>
      <x:c r="Q92" s="1"/>
    </x:row>
    <x:row r="93" ht="21" customHeight="1">
      <x:c r="A93" s="5" t="n">
        <x:f>'Лист1'!A93</x:f>
        <x:v>43955</x:v>
      </x:c>
      <x:c r="B93" s="1" t="str">
        <x:f>'Лист1'!B93</x:f>
        <x:v>Пермь</x:v>
      </x:c>
      <x:c r="C93" s="1" t="n">
        <x:f>'Лист1'!C93</x:f>
        <x:v>12301.5</x:v>
      </x:c>
      <x:c r="D93" s="6" t="n">
        <x:f>'Лист1'!D93</x:f>
        <x:v>1085211</x:v>
      </x:c>
      <x:c r="E93" s="6" t="n">
        <x:f>'Лист1'!E93</x:f>
        <x:v>874153.345</x:v>
      </x:c>
      <x:c r="F93" s="6" t="n">
        <x:f>'Лист1'!F93</x:f>
        <x:v>243709.4826923077</x:v>
      </x:c>
      <x:c r="G93" s="1" t="n">
        <x:f>IF(N93=1,SUMIFS('Лист2'!$C$2:$C$505,'Лист2'!$A$2:$A$505,A93,'Лист2'!$B$2:$B$505,B93),NA())</x:f>
        <x:v>15</x:v>
      </x:c>
      <x:c r="H93" s="1" t="n">
        <x:f>IF(N93=1,SUMIFS('Лист2'!$D$2:$D$505,'Лист2'!$A$2:$A$505,A93,'Лист2'!$B$2:$B$505,B93),NA())</x:f>
        <x:v>750</x:v>
      </x:c>
      <x:c r="I93" s="1" t="n">
        <x:f>IF(N93=1,SUMIFS('Лист2'!$E$2:$E$505,'Лист2'!$A$2:$A$505,A93,'Лист2'!$B$2:$B$505,B93),NA())</x:f>
        <x:v>647</x:v>
      </x:c>
      <x:c r="J93" s="5" t="n">
        <x:f>A93-WEEKDAY(A93,2)+1</x:f>
        <x:v>43955</x:v>
      </x:c>
      <x:c r="K93" s="1" t="n">
        <x:f>YEAR(J93+3)</x:f>
        <x:v>2020</x:v>
      </x:c>
      <x:c r="L93" s="1" t="n">
        <x:f>INT((J93-DATE(K93,1,4)+WEEKDAY(DATE(K93,1,4),2)-1)/7)+1</x:f>
        <x:v>19</x:v>
      </x:c>
      <x:c r="M93" s="1" t="str">
        <x:f>A93&amp;"|"&amp;B93</x:f>
        <x:v>43955|Пермь</x:v>
      </x:c>
      <x:c r="N93" s="1" t="n">
        <x:f>COUNTIFS('Лист2'!$F$2:$F$505,M93)</x:f>
        <x:v>1</x:v>
      </x:c>
      <x:c r="O93" s="1"/>
      <x:c r="P93" s="1"/>
      <x:c r="Q93" s="1"/>
    </x:row>
    <x:row r="94" ht="21" customHeight="1">
      <x:c r="A94" s="5" t="n">
        <x:f>'Лист1'!A94</x:f>
        <x:v>43955</x:v>
      </x:c>
      <x:c r="B94" s="1" t="str">
        <x:f>'Лист1'!B94</x:f>
        <x:v>Ростов-на-Дону</x:v>
      </x:c>
      <x:c r="C94" s="1" t="n">
        <x:f>'Лист1'!C94</x:f>
        <x:v>7087.5</x:v>
      </x:c>
      <x:c r="D94" s="6" t="n">
        <x:f>'Лист1'!D94</x:f>
        <x:v>610855.5</x:v>
      </x:c>
      <x:c r="E94" s="6" t="n">
        <x:f>'Лист1'!E94</x:f>
        <x:v>541946.128</x:v>
      </x:c>
      <x:c r="F94" s="6" t="n">
        <x:f>'Лист1'!F94</x:f>
        <x:v>150795.5846153846</x:v>
      </x:c>
      <x:c r="G94" s="1" t="n">
        <x:f>IF(N94=1,SUMIFS('Лист2'!$C$2:$C$505,'Лист2'!$A$2:$A$505,A94,'Лист2'!$B$2:$B$505,B94),NA())</x:f>
        <x:v>15</x:v>
      </x:c>
      <x:c r="H94" s="1" t="n">
        <x:f>IF(N94=1,SUMIFS('Лист2'!$D$2:$D$505,'Лист2'!$A$2:$A$505,A94,'Лист2'!$B$2:$B$505,B94),NA())</x:f>
        <x:v>390</x:v>
      </x:c>
      <x:c r="I94" s="1" t="n">
        <x:f>IF(N94=1,SUMIFS('Лист2'!$E$2:$E$505,'Лист2'!$A$2:$A$505,A94,'Лист2'!$B$2:$B$505,B94),NA())</x:f>
        <x:v>315</x:v>
      </x:c>
      <x:c r="J94" s="5" t="n">
        <x:f>A94-WEEKDAY(A94,2)+1</x:f>
        <x:v>43955</x:v>
      </x:c>
      <x:c r="K94" s="1" t="n">
        <x:f>YEAR(J94+3)</x:f>
        <x:v>2020</x:v>
      </x:c>
      <x:c r="L94" s="1" t="n">
        <x:f>INT((J94-DATE(K94,1,4)+WEEKDAY(DATE(K94,1,4),2)-1)/7)+1</x:f>
        <x:v>19</x:v>
      </x:c>
      <x:c r="M94" s="1" t="str">
        <x:f>A94&amp;"|"&amp;B94</x:f>
        <x:v>43955|Ростов-на-Дону</x:v>
      </x:c>
      <x:c r="N94" s="1" t="n">
        <x:f>COUNTIFS('Лист2'!$F$2:$F$505,M94)</x:f>
        <x:v>1</x:v>
      </x:c>
      <x:c r="O94" s="1"/>
      <x:c r="P94" s="1"/>
      <x:c r="Q94" s="1"/>
    </x:row>
    <x:row r="95" ht="21" customHeight="1">
      <x:c r="A95" s="5" t="n">
        <x:f>'Лист1'!A95</x:f>
        <x:v>43955</x:v>
      </x:c>
      <x:c r="B95" s="1" t="str">
        <x:f>'Лист1'!B95</x:f>
        <x:v>Санкт-Петербург Север</x:v>
      </x:c>
      <x:c r="C95" s="1" t="n">
        <x:f>'Лист1'!C95</x:f>
        <x:v>360255</x:v>
      </x:c>
      <x:c r="D95" s="6" t="n">
        <x:f>'Лист1'!D95</x:f>
        <x:v>38406954</x:v>
      </x:c>
      <x:c r="E95" s="6" t="n">
        <x:f>'Лист1'!E95</x:f>
        <x:v>27588003.988</x:v>
      </x:c>
      <x:c r="F95" s="6" t="n">
        <x:f>'Лист1'!F95</x:f>
        <x:v>1078421.345076923</x:v>
      </x:c>
      <x:c r="G95" s="1" t="n">
        <x:f>IF(N95=1,SUMIFS('Лист2'!$C$2:$C$505,'Лист2'!$A$2:$A$505,A95,'Лист2'!$B$2:$B$505,B95),NA())</x:f>
        <x:v>125</x:v>
      </x:c>
      <x:c r="H95" s="1" t="n">
        <x:f>IF(N95=1,SUMIFS('Лист2'!$D$2:$D$505,'Лист2'!$A$2:$A$505,A95,'Лист2'!$B$2:$B$505,B95),NA())</x:f>
        <x:v>20495</x:v>
      </x:c>
      <x:c r="I95" s="1" t="n">
        <x:f>IF(N95=1,SUMIFS('Лист2'!$E$2:$E$505,'Лист2'!$A$2:$A$505,A95,'Лист2'!$B$2:$B$505,B95),NA())</x:f>
        <x:v>18964</x:v>
      </x:c>
      <x:c r="J95" s="5" t="n">
        <x:f>A95-WEEKDAY(A95,2)+1</x:f>
        <x:v>43955</x:v>
      </x:c>
      <x:c r="K95" s="1" t="n">
        <x:f>YEAR(J95+3)</x:f>
        <x:v>2020</x:v>
      </x:c>
      <x:c r="L95" s="1" t="n">
        <x:f>INT((J95-DATE(K95,1,4)+WEEKDAY(DATE(K95,1,4),2)-1)/7)+1</x:f>
        <x:v>19</x:v>
      </x:c>
      <x:c r="M95" s="1" t="str">
        <x:f>A95&amp;"|"&amp;B95</x:f>
        <x:v>43955|Санкт-Петербург Север</x:v>
      </x:c>
      <x:c r="N95" s="1" t="n">
        <x:f>COUNTIFS('Лист2'!$F$2:$F$505,M95)</x:f>
        <x:v>1</x:v>
      </x:c>
      <x:c r="O95" s="1"/>
      <x:c r="P95" s="1"/>
      <x:c r="Q95" s="1"/>
    </x:row>
    <x:row r="96" ht="21" customHeight="1">
      <x:c r="A96" s="5" t="n">
        <x:f>'Лист1'!A96</x:f>
        <x:v>43955</x:v>
      </x:c>
      <x:c r="B96" s="1" t="str">
        <x:f>'Лист1'!B96</x:f>
        <x:v>Санкт-Петербург Юг</x:v>
      </x:c>
      <x:c r="C96" s="1" t="n">
        <x:f>'Лист1'!C96</x:f>
        <x:v>283942.5</x:v>
      </x:c>
      <x:c r="D96" s="6" t="n">
        <x:f>'Лист1'!D96</x:f>
        <x:v>29357940</x:v>
      </x:c>
      <x:c r="E96" s="6" t="n">
        <x:f>'Лист1'!E96</x:f>
        <x:v>21174604.830000002</x:v>
      </x:c>
      <x:c r="F96" s="6" t="n">
        <x:f>'Лист1'!F96</x:f>
        <x:v>988153.4080307692</x:v>
      </x:c>
      <x:c r="G96" s="1" t="n">
        <x:f>IF(N96=1,SUMIFS('Лист2'!$C$2:$C$505,'Лист2'!$A$2:$A$505,A96,'Лист2'!$B$2:$B$505,B96),NA())</x:f>
        <x:v>129</x:v>
      </x:c>
      <x:c r="H96" s="1" t="n">
        <x:f>IF(N96=1,SUMIFS('Лист2'!$D$2:$D$505,'Лист2'!$A$2:$A$505,A96,'Лист2'!$B$2:$B$505,B96),NA())</x:f>
        <x:v>16525</x:v>
      </x:c>
      <x:c r="I96" s="1" t="n">
        <x:f>IF(N96=1,SUMIFS('Лист2'!$E$2:$E$505,'Лист2'!$A$2:$A$505,A96,'Лист2'!$B$2:$B$505,B96),NA())</x:f>
        <x:v>15310</x:v>
      </x:c>
      <x:c r="J96" s="5" t="n">
        <x:f>A96-WEEKDAY(A96,2)+1</x:f>
        <x:v>43955</x:v>
      </x:c>
      <x:c r="K96" s="1" t="n">
        <x:f>YEAR(J96+3)</x:f>
        <x:v>2020</x:v>
      </x:c>
      <x:c r="L96" s="1" t="n">
        <x:f>INT((J96-DATE(K96,1,4)+WEEKDAY(DATE(K96,1,4),2)-1)/7)+1</x:f>
        <x:v>19</x:v>
      </x:c>
      <x:c r="M96" s="1" t="str">
        <x:f>A96&amp;"|"&amp;B96</x:f>
        <x:v>43955|Санкт-Петербург Юг</x:v>
      </x:c>
      <x:c r="N96" s="1" t="n">
        <x:f>COUNTIFS('Лист2'!$F$2:$F$505,M96)</x:f>
        <x:v>1</x:v>
      </x:c>
      <x:c r="O96" s="1"/>
      <x:c r="P96" s="1"/>
      <x:c r="Q96" s="1"/>
    </x:row>
    <x:row r="97" ht="21" customHeight="1">
      <x:c r="A97" s="5" t="n">
        <x:f>'Лист1'!A97</x:f>
        <x:v>43955</x:v>
      </x:c>
      <x:c r="B97" s="1" t="str">
        <x:f>'Лист1'!B97</x:f>
        <x:v>Тольятти</x:v>
      </x:c>
      <x:c r="C97" s="1" t="n">
        <x:f>'Лист1'!C97</x:f>
        <x:v>9130.5</x:v>
      </x:c>
      <x:c r="D97" s="6" t="n">
        <x:f>'Лист1'!D97</x:f>
        <x:v>728890.5</x:v>
      </x:c>
      <x:c r="E97" s="6" t="n">
        <x:f>'Лист1'!E97</x:f>
        <x:v>644150.519</x:v>
      </x:c>
      <x:c r="F97" s="6" t="n">
        <x:f>'Лист1'!F97</x:f>
        <x:v>98026.49036923076</x:v>
      </x:c>
      <x:c r="G97" s="1" t="n">
        <x:f>IF(N97=1,SUMIFS('Лист2'!$C$2:$C$505,'Лист2'!$A$2:$A$505,A97,'Лист2'!$B$2:$B$505,B97),NA())</x:f>
        <x:v>10</x:v>
      </x:c>
      <x:c r="H97" s="1" t="n">
        <x:f>IF(N97=1,SUMIFS('Лист2'!$D$2:$D$505,'Лист2'!$A$2:$A$505,A97,'Лист2'!$B$2:$B$505,B97),NA())</x:f>
        <x:v>462</x:v>
      </x:c>
      <x:c r="I97" s="1" t="n">
        <x:f>IF(N97=1,SUMIFS('Лист2'!$E$2:$E$505,'Лист2'!$A$2:$A$505,A97,'Лист2'!$B$2:$B$505,B97),NA())</x:f>
        <x:v>396</x:v>
      </x:c>
      <x:c r="J97" s="5" t="n">
        <x:f>A97-WEEKDAY(A97,2)+1</x:f>
        <x:v>43955</x:v>
      </x:c>
      <x:c r="K97" s="1" t="n">
        <x:f>YEAR(J97+3)</x:f>
        <x:v>2020</x:v>
      </x:c>
      <x:c r="L97" s="1" t="n">
        <x:f>INT((J97-DATE(K97,1,4)+WEEKDAY(DATE(K97,1,4),2)-1)/7)+1</x:f>
        <x:v>19</x:v>
      </x:c>
      <x:c r="M97" s="1" t="str">
        <x:f>A97&amp;"|"&amp;B97</x:f>
        <x:v>43955|Тольятти</x:v>
      </x:c>
      <x:c r="N97" s="1" t="n">
        <x:f>COUNTIFS('Лист2'!$F$2:$F$505,M97)</x:f>
        <x:v>1</x:v>
      </x:c>
      <x:c r="O97" s="1"/>
      <x:c r="P97" s="1"/>
      <x:c r="Q97" s="1"/>
    </x:row>
    <x:row r="98" ht="21" customHeight="1">
      <x:c r="A98" s="5" t="n">
        <x:f>'Лист1'!A98</x:f>
        <x:v>43956</x:v>
      </x:c>
      <x:c r="B98" s="1" t="str">
        <x:f>'Лист1'!B98</x:f>
        <x:v>Волгоград</x:v>
      </x:c>
      <x:c r="C98" s="1" t="n">
        <x:f>'Лист1'!C98</x:f>
        <x:v>66396</x:v>
      </x:c>
      <x:c r="D98" s="6" t="n">
        <x:f>'Лист1'!D98</x:f>
        <x:v>5770539</x:v>
      </x:c>
      <x:c r="E98" s="6" t="n">
        <x:f>'Лист1'!E98</x:f>
        <x:v>4433831.250999999</x:v>
      </x:c>
      <x:c r="F98" s="6" t="n">
        <x:f>'Лист1'!F98</x:f>
        <x:v>232587.42287692308</x:v>
      </x:c>
      <x:c r="G98" s="1" t="n">
        <x:f>IF(N98=1,SUMIFS('Лист2'!$C$2:$C$505,'Лист2'!$A$2:$A$505,A98,'Лист2'!$B$2:$B$505,B98),NA())</x:f>
        <x:v>36</x:v>
      </x:c>
      <x:c r="H98" s="1" t="n">
        <x:f>IF(N98=1,SUMIFS('Лист2'!$D$2:$D$505,'Лист2'!$A$2:$A$505,A98,'Лист2'!$B$2:$B$505,B98),NA())</x:f>
        <x:v>4575</x:v>
      </x:c>
      <x:c r="I98" s="1" t="n">
        <x:f>IF(N98=1,SUMIFS('Лист2'!$E$2:$E$505,'Лист2'!$A$2:$A$505,A98,'Лист2'!$B$2:$B$505,B98),NA())</x:f>
        <x:v>4206</x:v>
      </x:c>
      <x:c r="J98" s="5" t="n">
        <x:f>A98-WEEKDAY(A98,2)+1</x:f>
        <x:v>43955</x:v>
      </x:c>
      <x:c r="K98" s="1" t="n">
        <x:f>YEAR(J98+3)</x:f>
        <x:v>2020</x:v>
      </x:c>
      <x:c r="L98" s="1" t="n">
        <x:f>INT((J98-DATE(K98,1,4)+WEEKDAY(DATE(K98,1,4),2)-1)/7)+1</x:f>
        <x:v>19</x:v>
      </x:c>
      <x:c r="M98" s="1" t="str">
        <x:f>A98&amp;"|"&amp;B98</x:f>
        <x:v>43956|Волгоград</x:v>
      </x:c>
      <x:c r="N98" s="1" t="n">
        <x:f>COUNTIFS('Лист2'!$F$2:$F$505,M98)</x:f>
        <x:v>1</x:v>
      </x:c>
      <x:c r="O98" s="1"/>
      <x:c r="P98" s="1"/>
      <x:c r="Q98" s="1"/>
    </x:row>
    <x:row r="99" ht="21" customHeight="1">
      <x:c r="A99" s="5" t="n">
        <x:f>'Лист1'!A99</x:f>
        <x:v>43956</x:v>
      </x:c>
      <x:c r="B99" s="1" t="str">
        <x:f>'Лист1'!B99</x:f>
        <x:v>Екатеринбург</x:v>
      </x:c>
      <x:c r="C99" s="1" t="n">
        <x:f>'Лист1'!C99</x:f>
        <x:v>76585.5</x:v>
      </x:c>
      <x:c r="D99" s="6" t="n">
        <x:f>'Лист1'!D99</x:f>
        <x:v>6921316.5</x:v>
      </x:c>
      <x:c r="E99" s="6" t="n">
        <x:f>'Лист1'!E99</x:f>
        <x:v>5290094.272</x:v>
      </x:c>
      <x:c r="F99" s="6" t="n">
        <x:f>'Лист1'!F99</x:f>
        <x:v>386033.17544615385</x:v>
      </x:c>
      <x:c r="G99" s="1" t="n">
        <x:f>IF(N99=1,SUMIFS('Лист2'!$C$2:$C$505,'Лист2'!$A$2:$A$505,A99,'Лист2'!$B$2:$B$505,B99),NA())</x:f>
        <x:v>31</x:v>
      </x:c>
      <x:c r="H99" s="1" t="n">
        <x:f>IF(N99=1,SUMIFS('Лист2'!$D$2:$D$505,'Лист2'!$A$2:$A$505,A99,'Лист2'!$B$2:$B$505,B99),NA())</x:f>
        <x:v>5188</x:v>
      </x:c>
      <x:c r="I99" s="1" t="n">
        <x:f>IF(N99=1,SUMIFS('Лист2'!$E$2:$E$505,'Лист2'!$A$2:$A$505,A99,'Лист2'!$B$2:$B$505,B99),NA())</x:f>
        <x:v>4800</x:v>
      </x:c>
      <x:c r="J99" s="5" t="n">
        <x:f>A99-WEEKDAY(A99,2)+1</x:f>
        <x:v>43955</x:v>
      </x:c>
      <x:c r="K99" s="1" t="n">
        <x:f>YEAR(J99+3)</x:f>
        <x:v>2020</x:v>
      </x:c>
      <x:c r="L99" s="1" t="n">
        <x:f>INT((J99-DATE(K99,1,4)+WEEKDAY(DATE(K99,1,4),2)-1)/7)+1</x:f>
        <x:v>19</x:v>
      </x:c>
      <x:c r="M99" s="1" t="str">
        <x:f>A99&amp;"|"&amp;B99</x:f>
        <x:v>43956|Екатеринбург</x:v>
      </x:c>
      <x:c r="N99" s="1" t="n">
        <x:f>COUNTIFS('Лист2'!$F$2:$F$505,M99)</x:f>
        <x:v>1</x:v>
      </x:c>
      <x:c r="O99" s="1"/>
      <x:c r="P99" s="1"/>
      <x:c r="Q99" s="1"/>
    </x:row>
    <x:row r="100" ht="21" customHeight="1">
      <x:c r="A100" s="5" t="n">
        <x:f>'Лист1'!A100</x:f>
        <x:v>43956</x:v>
      </x:c>
      <x:c r="B100" s="1" t="str">
        <x:f>'Лист1'!B100</x:f>
        <x:v>Казань</x:v>
      </x:c>
      <x:c r="C100" s="1" t="n">
        <x:f>'Лист1'!C100</x:f>
        <x:v>29482.5</x:v>
      </x:c>
      <x:c r="D100" s="6" t="n">
        <x:f>'Лист1'!D100</x:f>
        <x:v>2648688</x:v>
      </x:c>
      <x:c r="E100" s="6" t="n">
        <x:f>'Лист1'!E100</x:f>
        <x:v>2021918.12</x:v>
      </x:c>
      <x:c r="F100" s="6" t="n">
        <x:f>'Лист1'!F100</x:f>
        <x:v>219587.1531846154</x:v>
      </x:c>
      <x:c r="G100" s="1" t="n">
        <x:f>IF(N100=1,SUMIFS('Лист2'!$C$2:$C$505,'Лист2'!$A$2:$A$505,A100,'Лист2'!$B$2:$B$505,B100),NA())</x:f>
        <x:v>20</x:v>
      </x:c>
      <x:c r="H100" s="1" t="n">
        <x:f>IF(N100=1,SUMIFS('Лист2'!$D$2:$D$505,'Лист2'!$A$2:$A$505,A100,'Лист2'!$B$2:$B$505,B100),NA())</x:f>
        <x:v>1757</x:v>
      </x:c>
      <x:c r="I100" s="1" t="n">
        <x:f>IF(N100=1,SUMIFS('Лист2'!$E$2:$E$505,'Лист2'!$A$2:$A$505,A100,'Лист2'!$B$2:$B$505,B100),NA())</x:f>
        <x:v>1596</x:v>
      </x:c>
      <x:c r="J100" s="5" t="n">
        <x:f>A100-WEEKDAY(A100,2)+1</x:f>
        <x:v>43955</x:v>
      </x:c>
      <x:c r="K100" s="1" t="n">
        <x:f>YEAR(J100+3)</x:f>
        <x:v>2020</x:v>
      </x:c>
      <x:c r="L100" s="1" t="n">
        <x:f>INT((J100-DATE(K100,1,4)+WEEKDAY(DATE(K100,1,4),2)-1)/7)+1</x:f>
        <x:v>19</x:v>
      </x:c>
      <x:c r="M100" s="1" t="str">
        <x:f>A100&amp;"|"&amp;B100</x:f>
        <x:v>43956|Казань</x:v>
      </x:c>
      <x:c r="N100" s="1" t="n">
        <x:f>COUNTIFS('Лист2'!$F$2:$F$505,M100)</x:f>
        <x:v>1</x:v>
      </x:c>
      <x:c r="O100" s="1"/>
      <x:c r="P100" s="1"/>
      <x:c r="Q100" s="1"/>
    </x:row>
    <x:row r="101" ht="21" customHeight="1">
      <x:c r="A101" s="5" t="n">
        <x:f>'Лист1'!A101</x:f>
        <x:v>43956</x:v>
      </x:c>
      <x:c r="B101" s="1" t="str">
        <x:f>'Лист1'!B101</x:f>
        <x:v>Кемерово</x:v>
      </x:c>
      <x:c r="C101" s="1" t="n">
        <x:f>'Лист1'!C101</x:f>
        <x:v>31566</x:v>
      </x:c>
      <x:c r="D101" s="6" t="n">
        <x:f>'Лист1'!D101</x:f>
        <x:v>2906763</x:v>
      </x:c>
      <x:c r="E101" s="6" t="n">
        <x:f>'Лист1'!E101</x:f>
        <x:v>2323003.267</x:v>
      </x:c>
      <x:c r="F101" s="6" t="n">
        <x:f>'Лист1'!F101</x:f>
        <x:v>287619.52953846153</x:v>
      </x:c>
      <x:c r="G101" s="1" t="n">
        <x:f>IF(N101=1,SUMIFS('Лист2'!$C$2:$C$505,'Лист2'!$A$2:$A$505,A101,'Лист2'!$B$2:$B$505,B101),NA())</x:f>
        <x:v>20</x:v>
      </x:c>
      <x:c r="H101" s="1" t="n">
        <x:f>IF(N101=1,SUMIFS('Лист2'!$D$2:$D$505,'Лист2'!$A$2:$A$505,A101,'Лист2'!$B$2:$B$505,B101),NA())</x:f>
        <x:v>1773</x:v>
      </x:c>
      <x:c r="I101" s="1" t="n">
        <x:f>IF(N101=1,SUMIFS('Лист2'!$E$2:$E$505,'Лист2'!$A$2:$A$505,A101,'Лист2'!$B$2:$B$505,B101),NA())</x:f>
        <x:v>1604</x:v>
      </x:c>
      <x:c r="J101" s="5" t="n">
        <x:f>A101-WEEKDAY(A101,2)+1</x:f>
        <x:v>43955</x:v>
      </x:c>
      <x:c r="K101" s="1" t="n">
        <x:f>YEAR(J101+3)</x:f>
        <x:v>2020</x:v>
      </x:c>
      <x:c r="L101" s="1" t="n">
        <x:f>INT((J101-DATE(K101,1,4)+WEEKDAY(DATE(K101,1,4),2)-1)/7)+1</x:f>
        <x:v>19</x:v>
      </x:c>
      <x:c r="M101" s="1" t="str">
        <x:f>A101&amp;"|"&amp;B101</x:f>
        <x:v>43956|Кемерово</x:v>
      </x:c>
      <x:c r="N101" s="1" t="n">
        <x:f>COUNTIFS('Лист2'!$F$2:$F$505,M101)</x:f>
        <x:v>1</x:v>
      </x:c>
      <x:c r="O101" s="1"/>
      <x:c r="P101" s="1"/>
      <x:c r="Q101" s="1"/>
    </x:row>
    <x:row r="102" ht="21" customHeight="1">
      <x:c r="A102" s="5" t="n">
        <x:f>'Лист1'!A102</x:f>
        <x:v>43956</x:v>
      </x:c>
      <x:c r="B102" s="1" t="str">
        <x:f>'Лист1'!B102</x:f>
        <x:v>Краснодар</x:v>
      </x:c>
      <x:c r="C102" s="1" t="n">
        <x:f>'Лист1'!C102</x:f>
        <x:v>26367</x:v>
      </x:c>
      <x:c r="D102" s="6" t="n">
        <x:f>'Лист1'!D102</x:f>
        <x:v>2380333.5</x:v>
      </x:c>
      <x:c r="E102" s="6" t="n">
        <x:f>'Лист1'!E102</x:f>
        <x:v>1873451.2719999999</x:v>
      </x:c>
      <x:c r="F102" s="6" t="n">
        <x:f>'Лист1'!F102</x:f>
        <x:v>149632.4937</x:v>
      </x:c>
      <x:c r="G102" s="1" t="n">
        <x:f>IF(N102=1,SUMIFS('Лист2'!$C$2:$C$505,'Лист2'!$A$2:$A$505,A102,'Лист2'!$B$2:$B$505,B102),NA())</x:f>
        <x:v>19</x:v>
      </x:c>
      <x:c r="H102" s="1" t="n">
        <x:f>IF(N102=1,SUMIFS('Лист2'!$D$2:$D$505,'Лист2'!$A$2:$A$505,A102,'Лист2'!$B$2:$B$505,B102),NA())</x:f>
        <x:v>1622</x:v>
      </x:c>
      <x:c r="I102" s="1" t="n">
        <x:f>IF(N102=1,SUMIFS('Лист2'!$E$2:$E$505,'Лист2'!$A$2:$A$505,A102,'Лист2'!$B$2:$B$505,B102),NA())</x:f>
        <x:v>1482</x:v>
      </x:c>
      <x:c r="J102" s="5" t="n">
        <x:f>A102-WEEKDAY(A102,2)+1</x:f>
        <x:v>43955</x:v>
      </x:c>
      <x:c r="K102" s="1" t="n">
        <x:f>YEAR(J102+3)</x:f>
        <x:v>2020</x:v>
      </x:c>
      <x:c r="L102" s="1" t="n">
        <x:f>INT((J102-DATE(K102,1,4)+WEEKDAY(DATE(K102,1,4),2)-1)/7)+1</x:f>
        <x:v>19</x:v>
      </x:c>
      <x:c r="M102" s="1" t="str">
        <x:f>A102&amp;"|"&amp;B102</x:f>
        <x:v>43956|Краснодар</x:v>
      </x:c>
      <x:c r="N102" s="1" t="n">
        <x:f>COUNTIFS('Лист2'!$F$2:$F$505,M102)</x:f>
        <x:v>1</x:v>
      </x:c>
      <x:c r="O102" s="1"/>
      <x:c r="P102" s="1"/>
      <x:c r="Q102" s="1"/>
    </x:row>
    <x:row r="103" ht="21" customHeight="1">
      <x:c r="A103" s="5" t="n">
        <x:f>'Лист1'!A103</x:f>
        <x:v>43956</x:v>
      </x:c>
      <x:c r="B103" s="1" t="str">
        <x:f>'Лист1'!B103</x:f>
        <x:v>Москва Восток</x:v>
      </x:c>
      <x:c r="C103" s="1" t="n">
        <x:f>'Лист1'!C103</x:f>
        <x:v>203832</x:v>
      </x:c>
      <x:c r="D103" s="6" t="n">
        <x:f>'Лист1'!D103</x:f>
        <x:v>20880142.5</x:v>
      </x:c>
      <x:c r="E103" s="6" t="n">
        <x:f>'Лист1'!E103</x:f>
        <x:v>15015521.489999998</x:v>
      </x:c>
      <x:c r="F103" s="6" t="n">
        <x:f>'Лист1'!F103</x:f>
        <x:v>398269.43076923076</x:v>
      </x:c>
      <x:c r="G103" s="1" t="n">
        <x:f>IF(N103=1,SUMIFS('Лист2'!$C$2:$C$505,'Лист2'!$A$2:$A$505,A103,'Лист2'!$B$2:$B$505,B103),NA())</x:f>
        <x:v>54</x:v>
      </x:c>
      <x:c r="H103" s="1" t="n">
        <x:f>IF(N103=1,SUMIFS('Лист2'!$D$2:$D$505,'Лист2'!$A$2:$A$505,A103,'Лист2'!$B$2:$B$505,B103),NA())</x:f>
        <x:v>12775</x:v>
      </x:c>
      <x:c r="I103" s="1" t="n">
        <x:f>IF(N103=1,SUMIFS('Лист2'!$E$2:$E$505,'Лист2'!$A$2:$A$505,A103,'Лист2'!$B$2:$B$505,B103),NA())</x:f>
        <x:v>11887</x:v>
      </x:c>
      <x:c r="J103" s="5" t="n">
        <x:f>A103-WEEKDAY(A103,2)+1</x:f>
        <x:v>43955</x:v>
      </x:c>
      <x:c r="K103" s="1" t="n">
        <x:f>YEAR(J103+3)</x:f>
        <x:v>2020</x:v>
      </x:c>
      <x:c r="L103" s="1" t="n">
        <x:f>INT((J103-DATE(K103,1,4)+WEEKDAY(DATE(K103,1,4),2)-1)/7)+1</x:f>
        <x:v>19</x:v>
      </x:c>
      <x:c r="M103" s="1" t="str">
        <x:f>A103&amp;"|"&amp;B103</x:f>
        <x:v>43956|Москва Восток</x:v>
      </x:c>
      <x:c r="N103" s="1" t="n">
        <x:f>COUNTIFS('Лист2'!$F$2:$F$505,M103)</x:f>
        <x:v>1</x:v>
      </x:c>
      <x:c r="O103" s="1"/>
      <x:c r="P103" s="1"/>
      <x:c r="Q103" s="1"/>
    </x:row>
    <x:row r="104" ht="21" customHeight="1">
      <x:c r="A104" s="5" t="n">
        <x:f>'Лист1'!A104</x:f>
        <x:v>43956</x:v>
      </x:c>
      <x:c r="B104" s="1" t="str">
        <x:f>'Лист1'!B104</x:f>
        <x:v>Москва Запад</x:v>
      </x:c>
      <x:c r="C104" s="1" t="n">
        <x:f>'Лист1'!C104</x:f>
        <x:v>213582</x:v>
      </x:c>
      <x:c r="D104" s="6" t="n">
        <x:f>'Лист1'!D104</x:f>
        <x:v>21919435.5</x:v>
      </x:c>
      <x:c r="E104" s="6" t="n">
        <x:f>'Лист1'!E104</x:f>
        <x:v>15790923.194999998</x:v>
      </x:c>
      <x:c r="F104" s="6" t="n">
        <x:f>'Лист1'!F104</x:f>
        <x:v>365011.0806153846</x:v>
      </x:c>
      <x:c r="G104" s="1" t="n">
        <x:f>IF(N104=1,SUMIFS('Лист2'!$C$2:$C$505,'Лист2'!$A$2:$A$505,A104,'Лист2'!$B$2:$B$505,B104),NA())</x:f>
        <x:v>59</x:v>
      </x:c>
      <x:c r="H104" s="1" t="n">
        <x:f>IF(N104=1,SUMIFS('Лист2'!$D$2:$D$505,'Лист2'!$A$2:$A$505,A104,'Лист2'!$B$2:$B$505,B104),NA())</x:f>
        <x:v>13469</x:v>
      </x:c>
      <x:c r="I104" s="1" t="n">
        <x:f>IF(N104=1,SUMIFS('Лист2'!$E$2:$E$505,'Лист2'!$A$2:$A$505,A104,'Лист2'!$B$2:$B$505,B104),NA())</x:f>
        <x:v>12486</x:v>
      </x:c>
      <x:c r="J104" s="5" t="n">
        <x:f>A104-WEEKDAY(A104,2)+1</x:f>
        <x:v>43955</x:v>
      </x:c>
      <x:c r="K104" s="1" t="n">
        <x:f>YEAR(J104+3)</x:f>
        <x:v>2020</x:v>
      </x:c>
      <x:c r="L104" s="1" t="n">
        <x:f>INT((J104-DATE(K104,1,4)+WEEKDAY(DATE(K104,1,4),2)-1)/7)+1</x:f>
        <x:v>19</x:v>
      </x:c>
      <x:c r="M104" s="1" t="str">
        <x:f>A104&amp;"|"&amp;B104</x:f>
        <x:v>43956|Москва Запад</x:v>
      </x:c>
      <x:c r="N104" s="1" t="n">
        <x:f>COUNTIFS('Лист2'!$F$2:$F$505,M104)</x:f>
        <x:v>1</x:v>
      </x:c>
      <x:c r="O104" s="1"/>
      <x:c r="P104" s="1"/>
      <x:c r="Q104" s="1"/>
    </x:row>
    <x:row r="105" ht="21" customHeight="1">
      <x:c r="A105" s="5" t="n">
        <x:f>'Лист1'!A105</x:f>
        <x:v>43956</x:v>
      </x:c>
      <x:c r="B105" s="1" t="str">
        <x:f>'Лист1'!B105</x:f>
        <x:v>Нижний Новгород</x:v>
      </x:c>
      <x:c r="C105" s="1" t="n">
        <x:f>'Лист1'!C105</x:f>
        <x:v>22848</x:v>
      </x:c>
      <x:c r="D105" s="6" t="n">
        <x:f>'Лист1'!D105</x:f>
        <x:v>2079900</x:v>
      </x:c>
      <x:c r="E105" s="6" t="n">
        <x:f>'Лист1'!E105</x:f>
        <x:v>1657688.853</x:v>
      </x:c>
      <x:c r="F105" s="6" t="n">
        <x:f>'Лист1'!F105</x:f>
        <x:v>178454.88537692308</x:v>
      </x:c>
      <x:c r="G105" s="1" t="n">
        <x:f>IF(N105=1,SUMIFS('Лист2'!$C$2:$C$505,'Лист2'!$A$2:$A$505,A105,'Лист2'!$B$2:$B$505,B105),NA())</x:f>
        <x:v>19</x:v>
      </x:c>
      <x:c r="H105" s="1" t="n">
        <x:f>IF(N105=1,SUMIFS('Лист2'!$D$2:$D$505,'Лист2'!$A$2:$A$505,A105,'Лист2'!$B$2:$B$505,B105),NA())</x:f>
        <x:v>1417</x:v>
      </x:c>
      <x:c r="I105" s="1" t="n">
        <x:f>IF(N105=1,SUMIFS('Лист2'!$E$2:$E$505,'Лист2'!$A$2:$A$505,A105,'Лист2'!$B$2:$B$505,B105),NA())</x:f>
        <x:v>1245</x:v>
      </x:c>
      <x:c r="J105" s="5" t="n">
        <x:f>A105-WEEKDAY(A105,2)+1</x:f>
        <x:v>43955</x:v>
      </x:c>
      <x:c r="K105" s="1" t="n">
        <x:f>YEAR(J105+3)</x:f>
        <x:v>2020</x:v>
      </x:c>
      <x:c r="L105" s="1" t="n">
        <x:f>INT((J105-DATE(K105,1,4)+WEEKDAY(DATE(K105,1,4),2)-1)/7)+1</x:f>
        <x:v>19</x:v>
      </x:c>
      <x:c r="M105" s="1" t="str">
        <x:f>A105&amp;"|"&amp;B105</x:f>
        <x:v>43956|Нижний Новгород</x:v>
      </x:c>
      <x:c r="N105" s="1" t="n">
        <x:f>COUNTIFS('Лист2'!$F$2:$F$505,M105)</x:f>
        <x:v>1</x:v>
      </x:c>
      <x:c r="O105" s="1"/>
      <x:c r="P105" s="1"/>
      <x:c r="Q105" s="1"/>
    </x:row>
    <x:row r="106" ht="21" customHeight="1">
      <x:c r="A106" s="5" t="n">
        <x:f>'Лист1'!A106</x:f>
        <x:v>43956</x:v>
      </x:c>
      <x:c r="B106" s="1" t="str">
        <x:f>'Лист1'!B106</x:f>
        <x:v>Новосибирск</x:v>
      </x:c>
      <x:c r="C106" s="1" t="n">
        <x:f>'Лист1'!C106</x:f>
        <x:v>13941</x:v>
      </x:c>
      <x:c r="D106" s="6" t="n">
        <x:f>'Лист1'!D106</x:f>
        <x:v>1145575.5</x:v>
      </x:c>
      <x:c r="E106" s="6" t="n">
        <x:f>'Лист1'!E106</x:f>
        <x:v>974448.126</x:v>
      </x:c>
      <x:c r="F106" s="6" t="n">
        <x:f>'Лист1'!F106</x:f>
        <x:v>152152.96544615386</x:v>
      </x:c>
      <x:c r="G106" s="1" t="n">
        <x:f>IF(N106=1,SUMIFS('Лист2'!$C$2:$C$505,'Лист2'!$A$2:$A$505,A106,'Лист2'!$B$2:$B$505,B106),NA())</x:f>
        <x:v>15</x:v>
      </x:c>
      <x:c r="H106" s="1" t="n">
        <x:f>IF(N106=1,SUMIFS('Лист2'!$D$2:$D$505,'Лист2'!$A$2:$A$505,A106,'Лист2'!$B$2:$B$505,B106),NA())</x:f>
        <x:v>750</x:v>
      </x:c>
      <x:c r="I106" s="1" t="n">
        <x:f>IF(N106=1,SUMIFS('Лист2'!$E$2:$E$505,'Лист2'!$A$2:$A$505,A106,'Лист2'!$B$2:$B$505,B106),NA())</x:f>
        <x:v>658</x:v>
      </x:c>
      <x:c r="J106" s="5" t="n">
        <x:f>A106-WEEKDAY(A106,2)+1</x:f>
        <x:v>43955</x:v>
      </x:c>
      <x:c r="K106" s="1" t="n">
        <x:f>YEAR(J106+3)</x:f>
        <x:v>2020</x:v>
      </x:c>
      <x:c r="L106" s="1" t="n">
        <x:f>INT((J106-DATE(K106,1,4)+WEEKDAY(DATE(K106,1,4),2)-1)/7)+1</x:f>
        <x:v>19</x:v>
      </x:c>
      <x:c r="M106" s="1" t="str">
        <x:f>A106&amp;"|"&amp;B106</x:f>
        <x:v>43956|Новосибирск</x:v>
      </x:c>
      <x:c r="N106" s="1" t="n">
        <x:f>COUNTIFS('Лист2'!$F$2:$F$505,M106)</x:f>
        <x:v>1</x:v>
      </x:c>
      <x:c r="O106" s="1"/>
      <x:c r="P106" s="1"/>
      <x:c r="Q106" s="1"/>
    </x:row>
    <x:row r="107" ht="21" customHeight="1">
      <x:c r="A107" s="5" t="n">
        <x:f>'Лист1'!A107</x:f>
        <x:v>43956</x:v>
      </x:c>
      <x:c r="B107" s="1" t="str">
        <x:f>'Лист1'!B107</x:f>
        <x:v>Пермь</x:v>
      </x:c>
      <x:c r="C107" s="1" t="n">
        <x:f>'Лист1'!C107</x:f>
        <x:v>15987</x:v>
      </x:c>
      <x:c r="D107" s="6" t="n">
        <x:f>'Лист1'!D107</x:f>
        <x:v>1384179</x:v>
      </x:c>
      <x:c r="E107" s="6" t="n">
        <x:f>'Лист1'!E107</x:f>
        <x:v>1116620.792</x:v>
      </x:c>
      <x:c r="F107" s="6" t="n">
        <x:f>'Лист1'!F107</x:f>
        <x:v>220298.15353846154</x:v>
      </x:c>
      <x:c r="G107" s="1" t="n">
        <x:f>IF(N107=1,SUMIFS('Лист2'!$C$2:$C$505,'Лист2'!$A$2:$A$505,A107,'Лист2'!$B$2:$B$505,B107),NA())</x:f>
        <x:v>15</x:v>
      </x:c>
      <x:c r="H107" s="1" t="n">
        <x:f>IF(N107=1,SUMIFS('Лист2'!$D$2:$D$505,'Лист2'!$A$2:$A$505,A107,'Лист2'!$B$2:$B$505,B107),NA())</x:f>
        <x:v>922</x:v>
      </x:c>
      <x:c r="I107" s="1" t="n">
        <x:f>IF(N107=1,SUMIFS('Лист2'!$E$2:$E$505,'Лист2'!$A$2:$A$505,A107,'Лист2'!$B$2:$B$505,B107),NA())</x:f>
        <x:v>823</x:v>
      </x:c>
      <x:c r="J107" s="5" t="n">
        <x:f>A107-WEEKDAY(A107,2)+1</x:f>
        <x:v>43955</x:v>
      </x:c>
      <x:c r="K107" s="1" t="n">
        <x:f>YEAR(J107+3)</x:f>
        <x:v>2020</x:v>
      </x:c>
      <x:c r="L107" s="1" t="n">
        <x:f>INT((J107-DATE(K107,1,4)+WEEKDAY(DATE(K107,1,4),2)-1)/7)+1</x:f>
        <x:v>19</x:v>
      </x:c>
      <x:c r="M107" s="1" t="str">
        <x:f>A107&amp;"|"&amp;B107</x:f>
        <x:v>43956|Пермь</x:v>
      </x:c>
      <x:c r="N107" s="1" t="n">
        <x:f>COUNTIFS('Лист2'!$F$2:$F$505,M107)</x:f>
        <x:v>1</x:v>
      </x:c>
      <x:c r="O107" s="1"/>
      <x:c r="P107" s="1"/>
      <x:c r="Q107" s="1"/>
    </x:row>
    <x:row r="108" ht="21" customHeight="1">
      <x:c r="A108" s="5" t="n">
        <x:f>'Лист1'!A108</x:f>
        <x:v>43956</x:v>
      </x:c>
      <x:c r="B108" s="1" t="str">
        <x:f>'Лист1'!B108</x:f>
        <x:v>Ростов-на-Дону</x:v>
      </x:c>
      <x:c r="C108" s="1" t="n">
        <x:f>'Лист1'!C108</x:f>
        <x:v>8223</x:v>
      </x:c>
      <x:c r="D108" s="6" t="n">
        <x:f>'Лист1'!D108</x:f>
        <x:v>694593</x:v>
      </x:c>
      <x:c r="E108" s="6" t="n">
        <x:f>'Лист1'!E108</x:f>
        <x:v>622755.0499999999</x:v>
      </x:c>
      <x:c r="F108" s="6" t="n">
        <x:f>'Лист1'!F108</x:f>
        <x:v>172368.62218461538</x:v>
      </x:c>
      <x:c r="G108" s="1" t="n">
        <x:f>IF(N108=1,SUMIFS('Лист2'!$C$2:$C$505,'Лист2'!$A$2:$A$505,A108,'Лист2'!$B$2:$B$505,B108),NA())</x:f>
        <x:v>15</x:v>
      </x:c>
      <x:c r="H108" s="1" t="n">
        <x:f>IF(N108=1,SUMIFS('Лист2'!$D$2:$D$505,'Лист2'!$A$2:$A$505,A108,'Лист2'!$B$2:$B$505,B108),NA())</x:f>
        <x:v>455</x:v>
      </x:c>
      <x:c r="I108" s="1" t="n">
        <x:f>IF(N108=1,SUMIFS('Лист2'!$E$2:$E$505,'Лист2'!$A$2:$A$505,A108,'Лист2'!$B$2:$B$505,B108),NA())</x:f>
        <x:v>381</x:v>
      </x:c>
      <x:c r="J108" s="5" t="n">
        <x:f>A108-WEEKDAY(A108,2)+1</x:f>
        <x:v>43955</x:v>
      </x:c>
      <x:c r="K108" s="1" t="n">
        <x:f>YEAR(J108+3)</x:f>
        <x:v>2020</x:v>
      </x:c>
      <x:c r="L108" s="1" t="n">
        <x:f>INT((J108-DATE(K108,1,4)+WEEKDAY(DATE(K108,1,4),2)-1)/7)+1</x:f>
        <x:v>19</x:v>
      </x:c>
      <x:c r="M108" s="1" t="str">
        <x:f>A108&amp;"|"&amp;B108</x:f>
        <x:v>43956|Ростов-на-Дону</x:v>
      </x:c>
      <x:c r="N108" s="1" t="n">
        <x:f>COUNTIFS('Лист2'!$F$2:$F$505,M108)</x:f>
        <x:v>1</x:v>
      </x:c>
      <x:c r="O108" s="1"/>
      <x:c r="P108" s="1"/>
      <x:c r="Q108" s="1"/>
    </x:row>
    <x:row r="109" ht="21" customHeight="1">
      <x:c r="A109" s="5" t="n">
        <x:f>'Лист1'!A109</x:f>
        <x:v>43956</x:v>
      </x:c>
      <x:c r="B109" s="1" t="str">
        <x:f>'Лист1'!B109</x:f>
        <x:v>Санкт-Петербург Север</x:v>
      </x:c>
      <x:c r="C109" s="1" t="n">
        <x:f>'Лист1'!C109</x:f>
        <x:v>333792</x:v>
      </x:c>
      <x:c r="D109" s="6" t="n">
        <x:f>'Лист1'!D109</x:f>
        <x:v>35671734</x:v>
      </x:c>
      <x:c r="E109" s="6" t="n">
        <x:f>'Лист1'!E109</x:f>
        <x:v>25644478.342</x:v>
      </x:c>
      <x:c r="F109" s="6" t="n">
        <x:f>'Лист1'!F109</x:f>
        <x:v>919576.9605538462</x:v>
      </x:c>
      <x:c r="G109" s="1" t="n">
        <x:f>IF(N109=1,SUMIFS('Лист2'!$C$2:$C$505,'Лист2'!$A$2:$A$505,A109,'Лист2'!$B$2:$B$505,B109),NA())</x:f>
        <x:v>125</x:v>
      </x:c>
      <x:c r="H109" s="1" t="n">
        <x:f>IF(N109=1,SUMIFS('Лист2'!$D$2:$D$505,'Лист2'!$A$2:$A$505,A109,'Лист2'!$B$2:$B$505,B109),NA())</x:f>
        <x:v>18944</x:v>
      </x:c>
      <x:c r="I109" s="1" t="n">
        <x:f>IF(N109=1,SUMIFS('Лист2'!$E$2:$E$505,'Лист2'!$A$2:$A$505,A109,'Лист2'!$B$2:$B$505,B109),NA())</x:f>
        <x:v>17541</x:v>
      </x:c>
      <x:c r="J109" s="5" t="n">
        <x:f>A109-WEEKDAY(A109,2)+1</x:f>
        <x:v>43955</x:v>
      </x:c>
      <x:c r="K109" s="1" t="n">
        <x:f>YEAR(J109+3)</x:f>
        <x:v>2020</x:v>
      </x:c>
      <x:c r="L109" s="1" t="n">
        <x:f>INT((J109-DATE(K109,1,4)+WEEKDAY(DATE(K109,1,4),2)-1)/7)+1</x:f>
        <x:v>19</x:v>
      </x:c>
      <x:c r="M109" s="1" t="str">
        <x:f>A109&amp;"|"&amp;B109</x:f>
        <x:v>43956|Санкт-Петербург Север</x:v>
      </x:c>
      <x:c r="N109" s="1" t="n">
        <x:f>COUNTIFS('Лист2'!$F$2:$F$505,M109)</x:f>
        <x:v>1</x:v>
      </x:c>
      <x:c r="O109" s="1"/>
      <x:c r="P109" s="1"/>
      <x:c r="Q109" s="1"/>
    </x:row>
    <x:row r="110" ht="21" customHeight="1">
      <x:c r="A110" s="5" t="n">
        <x:f>'Лист1'!A110</x:f>
        <x:v>43956</x:v>
      </x:c>
      <x:c r="B110" s="1" t="str">
        <x:f>'Лист1'!B110</x:f>
        <x:v>Санкт-Петербург Юг</x:v>
      </x:c>
      <x:c r="C110" s="1" t="n">
        <x:f>'Лист1'!C110</x:f>
        <x:v>262734</x:v>
      </x:c>
      <x:c r="D110" s="6" t="n">
        <x:f>'Лист1'!D110</x:f>
        <x:v>27278441.145</x:v>
      </x:c>
      <x:c r="E110" s="6" t="n">
        <x:f>'Лист1'!E110</x:f>
        <x:v>19610637.316999998</x:v>
      </x:c>
      <x:c r="F110" s="6" t="n">
        <x:f>'Лист1'!F110</x:f>
        <x:v>919330.0461538462</x:v>
      </x:c>
      <x:c r="G110" s="1" t="n">
        <x:f>IF(N110=1,SUMIFS('Лист2'!$C$2:$C$505,'Лист2'!$A$2:$A$505,A110,'Лист2'!$B$2:$B$505,B110),NA())</x:f>
        <x:v>129</x:v>
      </x:c>
      <x:c r="H110" s="1" t="n">
        <x:f>IF(N110=1,SUMIFS('Лист2'!$D$2:$D$505,'Лист2'!$A$2:$A$505,A110,'Лист2'!$B$2:$B$505,B110),NA())</x:f>
        <x:v>15665</x:v>
      </x:c>
      <x:c r="I110" s="1" t="n">
        <x:f>IF(N110=1,SUMIFS('Лист2'!$E$2:$E$505,'Лист2'!$A$2:$A$505,A110,'Лист2'!$B$2:$B$505,B110),NA())</x:f>
        <x:v>14501</x:v>
      </x:c>
      <x:c r="J110" s="5" t="n">
        <x:f>A110-WEEKDAY(A110,2)+1</x:f>
        <x:v>43955</x:v>
      </x:c>
      <x:c r="K110" s="1" t="n">
        <x:f>YEAR(J110+3)</x:f>
        <x:v>2020</x:v>
      </x:c>
      <x:c r="L110" s="1" t="n">
        <x:f>INT((J110-DATE(K110,1,4)+WEEKDAY(DATE(K110,1,4),2)-1)/7)+1</x:f>
        <x:v>19</x:v>
      </x:c>
      <x:c r="M110" s="1" t="str">
        <x:f>A110&amp;"|"&amp;B110</x:f>
        <x:v>43956|Санкт-Петербург Юг</x:v>
      </x:c>
      <x:c r="N110" s="1" t="n">
        <x:f>COUNTIFS('Лист2'!$F$2:$F$505,M110)</x:f>
        <x:v>1</x:v>
      </x:c>
      <x:c r="O110" s="1"/>
      <x:c r="P110" s="1"/>
      <x:c r="Q110" s="1"/>
    </x:row>
    <x:row r="111" ht="21" customHeight="1">
      <x:c r="A111" s="5" t="n">
        <x:f>'Лист1'!A111</x:f>
        <x:v>43956</x:v>
      </x:c>
      <x:c r="B111" s="1" t="str">
        <x:f>'Лист1'!B111</x:f>
        <x:v>Тольятти</x:v>
      </x:c>
      <x:c r="C111" s="1" t="n">
        <x:f>'Лист1'!C111</x:f>
        <x:v>10147.5</x:v>
      </x:c>
      <x:c r="D111" s="6" t="n">
        <x:f>'Лист1'!D111</x:f>
        <x:v>793320</x:v>
      </x:c>
      <x:c r="E111" s="6" t="n">
        <x:f>'Лист1'!E111</x:f>
        <x:v>718019.2760000001</x:v>
      </x:c>
      <x:c r="F111" s="6" t="n">
        <x:f>'Лист1'!F111</x:f>
        <x:v>92027.36809230769</x:v>
      </x:c>
      <x:c r="G111" s="1" t="n">
        <x:f>IF(N111=1,SUMIFS('Лист2'!$C$2:$C$505,'Лист2'!$A$2:$A$505,A111,'Лист2'!$B$2:$B$505,B111),NA())</x:f>
        <x:v>10</x:v>
      </x:c>
      <x:c r="H111" s="1" t="n">
        <x:f>IF(N111=1,SUMIFS('Лист2'!$D$2:$D$505,'Лист2'!$A$2:$A$505,A111,'Лист2'!$B$2:$B$505,B111),NA())</x:f>
        <x:v>511</x:v>
      </x:c>
      <x:c r="I111" s="1" t="n">
        <x:f>IF(N111=1,SUMIFS('Лист2'!$E$2:$E$505,'Лист2'!$A$2:$A$505,A111,'Лист2'!$B$2:$B$505,B111),NA())</x:f>
        <x:v>437</x:v>
      </x:c>
      <x:c r="J111" s="5" t="n">
        <x:f>A111-WEEKDAY(A111,2)+1</x:f>
        <x:v>43955</x:v>
      </x:c>
      <x:c r="K111" s="1" t="n">
        <x:f>YEAR(J111+3)</x:f>
        <x:v>2020</x:v>
      </x:c>
      <x:c r="L111" s="1" t="n">
        <x:f>INT((J111-DATE(K111,1,4)+WEEKDAY(DATE(K111,1,4),2)-1)/7)+1</x:f>
        <x:v>19</x:v>
      </x:c>
      <x:c r="M111" s="1" t="str">
        <x:f>A111&amp;"|"&amp;B111</x:f>
        <x:v>43956|Тольятти</x:v>
      </x:c>
      <x:c r="N111" s="1" t="n">
        <x:f>COUNTIFS('Лист2'!$F$2:$F$505,M111)</x:f>
        <x:v>1</x:v>
      </x:c>
      <x:c r="O111" s="1"/>
      <x:c r="P111" s="1"/>
      <x:c r="Q111" s="1"/>
    </x:row>
    <x:row r="112" ht="21" customHeight="1">
      <x:c r="A112" s="5" t="n">
        <x:f>'Лист1'!A112</x:f>
        <x:v>43957</x:v>
      </x:c>
      <x:c r="B112" s="1" t="str">
        <x:f>'Лист1'!B112</x:f>
        <x:v>Волгоград</x:v>
      </x:c>
      <x:c r="C112" s="1" t="n">
        <x:f>'Лист1'!C112</x:f>
        <x:v>63012</x:v>
      </x:c>
      <x:c r="D112" s="6" t="n">
        <x:f>'Лист1'!D112</x:f>
        <x:v>5454121.5</x:v>
      </x:c>
      <x:c r="E112" s="6" t="n">
        <x:f>'Лист1'!E112</x:f>
        <x:v>4155234.554</x:v>
      </x:c>
      <x:c r="F112" s="6" t="n">
        <x:f>'Лист1'!F112</x:f>
        <x:v>234787.5564923077</x:v>
      </x:c>
      <x:c r="G112" s="1" t="n">
        <x:f>IF(N112=1,SUMIFS('Лист2'!$C$2:$C$505,'Лист2'!$A$2:$A$505,A112,'Лист2'!$B$2:$B$505,B112),NA())</x:f>
        <x:v>36</x:v>
      </x:c>
      <x:c r="H112" s="1" t="n">
        <x:f>IF(N112=1,SUMIFS('Лист2'!$D$2:$D$505,'Лист2'!$A$2:$A$505,A112,'Лист2'!$B$2:$B$505,B112),NA())</x:f>
        <x:v>4384</x:v>
      </x:c>
      <x:c r="I112" s="1" t="n">
        <x:f>IF(N112=1,SUMIFS('Лист2'!$E$2:$E$505,'Лист2'!$A$2:$A$505,A112,'Лист2'!$B$2:$B$505,B112),NA())</x:f>
        <x:v>4025</x:v>
      </x:c>
      <x:c r="J112" s="5" t="n">
        <x:f>A112-WEEKDAY(A112,2)+1</x:f>
        <x:v>43955</x:v>
      </x:c>
      <x:c r="K112" s="1" t="n">
        <x:f>YEAR(J112+3)</x:f>
        <x:v>2020</x:v>
      </x:c>
      <x:c r="L112" s="1" t="n">
        <x:f>INT((J112-DATE(K112,1,4)+WEEKDAY(DATE(K112,1,4),2)-1)/7)+1</x:f>
        <x:v>19</x:v>
      </x:c>
      <x:c r="M112" s="1" t="str">
        <x:f>A112&amp;"|"&amp;B112</x:f>
        <x:v>43957|Волгоград</x:v>
      </x:c>
      <x:c r="N112" s="1" t="n">
        <x:f>COUNTIFS('Лист2'!$F$2:$F$505,M112)</x:f>
        <x:v>1</x:v>
      </x:c>
      <x:c r="O112" s="1"/>
      <x:c r="P112" s="1"/>
      <x:c r="Q112" s="1"/>
    </x:row>
    <x:row r="113" ht="21" customHeight="1">
      <x:c r="A113" s="5" t="n">
        <x:f>'Лист1'!A113</x:f>
        <x:v>43957</x:v>
      </x:c>
      <x:c r="B113" s="1" t="str">
        <x:f>'Лист1'!B113</x:f>
        <x:v>Екатеринбург</x:v>
      </x:c>
      <x:c r="C113" s="1" t="n">
        <x:f>'Лист1'!C113</x:f>
        <x:v>68994</x:v>
      </x:c>
      <x:c r="D113" s="6" t="n">
        <x:f>'Лист1'!D113</x:f>
        <x:v>6168657</x:v>
      </x:c>
      <x:c r="E113" s="6" t="n">
        <x:f>'Лист1'!E113</x:f>
        <x:v>4695811.349</x:v>
      </x:c>
      <x:c r="F113" s="6" t="n">
        <x:f>'Лист1'!F113</x:f>
        <x:v>157384.1788307692</x:v>
      </x:c>
      <x:c r="G113" s="1" t="n">
        <x:f>IF(N113=1,SUMIFS('Лист2'!$C$2:$C$505,'Лист2'!$A$2:$A$505,A113,'Лист2'!$B$2:$B$505,B113),NA())</x:f>
        <x:v>31</x:v>
      </x:c>
      <x:c r="H113" s="1" t="n">
        <x:f>IF(N113=1,SUMIFS('Лист2'!$D$2:$D$505,'Лист2'!$A$2:$A$505,A113,'Лист2'!$B$2:$B$505,B113),NA())</x:f>
        <x:v>4709</x:v>
      </x:c>
      <x:c r="I113" s="1" t="n">
        <x:f>IF(N113=1,SUMIFS('Лист2'!$E$2:$E$505,'Лист2'!$A$2:$A$505,A113,'Лист2'!$B$2:$B$505,B113),NA())</x:f>
        <x:v>4348</x:v>
      </x:c>
      <x:c r="J113" s="5" t="n">
        <x:f>A113-WEEKDAY(A113,2)+1</x:f>
        <x:v>43955</x:v>
      </x:c>
      <x:c r="K113" s="1" t="n">
        <x:f>YEAR(J113+3)</x:f>
        <x:v>2020</x:v>
      </x:c>
      <x:c r="L113" s="1" t="n">
        <x:f>INT((J113-DATE(K113,1,4)+WEEKDAY(DATE(K113,1,4),2)-1)/7)+1</x:f>
        <x:v>19</x:v>
      </x:c>
      <x:c r="M113" s="1" t="str">
        <x:f>A113&amp;"|"&amp;B113</x:f>
        <x:v>43957|Екатеринбург</x:v>
      </x:c>
      <x:c r="N113" s="1" t="n">
        <x:f>COUNTIFS('Лист2'!$F$2:$F$505,M113)</x:f>
        <x:v>1</x:v>
      </x:c>
      <x:c r="O113" s="1"/>
      <x:c r="P113" s="1"/>
      <x:c r="Q113" s="1"/>
    </x:row>
    <x:row r="114" ht="21" customHeight="1">
      <x:c r="A114" s="5" t="n">
        <x:f>'Лист1'!A114</x:f>
        <x:v>43957</x:v>
      </x:c>
      <x:c r="B114" s="1" t="str">
        <x:f>'Лист1'!B114</x:f>
        <x:v>Казань</x:v>
      </x:c>
      <x:c r="C114" s="1" t="n">
        <x:f>'Лист1'!C114</x:f>
        <x:v>30342</x:v>
      </x:c>
      <x:c r="D114" s="6" t="n">
        <x:f>'Лист1'!D114</x:f>
        <x:v>2738127</x:v>
      </x:c>
      <x:c r="E114" s="6" t="n">
        <x:f>'Лист1'!E114</x:f>
        <x:v>2094375.01</x:v>
      </x:c>
      <x:c r="F114" s="6" t="n">
        <x:f>'Лист1'!F114</x:f>
        <x:v>174068.47879999998</x:v>
      </x:c>
      <x:c r="G114" s="1" t="n">
        <x:f>IF(N114=1,SUMIFS('Лист2'!$C$2:$C$505,'Лист2'!$A$2:$A$505,A114,'Лист2'!$B$2:$B$505,B114),NA())</x:f>
        <x:v>20</x:v>
      </x:c>
      <x:c r="H114" s="1" t="n">
        <x:f>IF(N114=1,SUMIFS('Лист2'!$D$2:$D$505,'Лист2'!$A$2:$A$505,A114,'Лист2'!$B$2:$B$505,B114),NA())</x:f>
        <x:v>1747</x:v>
      </x:c>
      <x:c r="I114" s="1" t="n">
        <x:f>IF(N114=1,SUMIFS('Лист2'!$E$2:$E$505,'Лист2'!$A$2:$A$505,A114,'Лист2'!$B$2:$B$505,B114),NA())</x:f>
        <x:v>1570</x:v>
      </x:c>
      <x:c r="J114" s="5" t="n">
        <x:f>A114-WEEKDAY(A114,2)+1</x:f>
        <x:v>43955</x:v>
      </x:c>
      <x:c r="K114" s="1" t="n">
        <x:f>YEAR(J114+3)</x:f>
        <x:v>2020</x:v>
      </x:c>
      <x:c r="L114" s="1" t="n">
        <x:f>INT((J114-DATE(K114,1,4)+WEEKDAY(DATE(K114,1,4),2)-1)/7)+1</x:f>
        <x:v>19</x:v>
      </x:c>
      <x:c r="M114" s="1" t="str">
        <x:f>A114&amp;"|"&amp;B114</x:f>
        <x:v>43957|Казань</x:v>
      </x:c>
      <x:c r="N114" s="1" t="n">
        <x:f>COUNTIFS('Лист2'!$F$2:$F$505,M114)</x:f>
        <x:v>1</x:v>
      </x:c>
      <x:c r="O114" s="1"/>
      <x:c r="P114" s="1"/>
      <x:c r="Q114" s="1"/>
    </x:row>
    <x:row r="115" ht="21" customHeight="1">
      <x:c r="A115" s="5" t="n">
        <x:f>'Лист1'!A115</x:f>
        <x:v>43957</x:v>
      </x:c>
      <x:c r="B115" s="1" t="str">
        <x:f>'Лист1'!B115</x:f>
        <x:v>Кемерово</x:v>
      </x:c>
      <x:c r="C115" s="1" t="n">
        <x:f>'Лист1'!C115</x:f>
        <x:v>32511</x:v>
      </x:c>
      <x:c r="D115" s="6" t="n">
        <x:f>'Лист1'!D115</x:f>
        <x:v>2938623</x:v>
      </x:c>
      <x:c r="E115" s="6" t="n">
        <x:f>'Лист1'!E115</x:f>
        <x:v>2406562.0579999997</x:v>
      </x:c>
      <x:c r="F115" s="6" t="n">
        <x:f>'Лист1'!F115</x:f>
        <x:v>306098.4769230769</x:v>
      </x:c>
      <x:c r="G115" s="1" t="n">
        <x:f>IF(N115=1,SUMIFS('Лист2'!$C$2:$C$505,'Лист2'!$A$2:$A$505,A115,'Лист2'!$B$2:$B$505,B115),NA())</x:f>
        <x:v>20</x:v>
      </x:c>
      <x:c r="H115" s="1" t="n">
        <x:f>IF(N115=1,SUMIFS('Лист2'!$D$2:$D$505,'Лист2'!$A$2:$A$505,A115,'Лист2'!$B$2:$B$505,B115),NA())</x:f>
        <x:v>1784</x:v>
      </x:c>
      <x:c r="I115" s="1" t="n">
        <x:f>IF(N115=1,SUMIFS('Лист2'!$E$2:$E$505,'Лист2'!$A$2:$A$505,A115,'Лист2'!$B$2:$B$505,B115),NA())</x:f>
        <x:v>1632</x:v>
      </x:c>
      <x:c r="J115" s="5" t="n">
        <x:f>A115-WEEKDAY(A115,2)+1</x:f>
        <x:v>43955</x:v>
      </x:c>
      <x:c r="K115" s="1" t="n">
        <x:f>YEAR(J115+3)</x:f>
        <x:v>2020</x:v>
      </x:c>
      <x:c r="L115" s="1" t="n">
        <x:f>INT((J115-DATE(K115,1,4)+WEEKDAY(DATE(K115,1,4),2)-1)/7)+1</x:f>
        <x:v>19</x:v>
      </x:c>
      <x:c r="M115" s="1" t="str">
        <x:f>A115&amp;"|"&amp;B115</x:f>
        <x:v>43957|Кемерово</x:v>
      </x:c>
      <x:c r="N115" s="1" t="n">
        <x:f>COUNTIFS('Лист2'!$F$2:$F$505,M115)</x:f>
        <x:v>1</x:v>
      </x:c>
      <x:c r="O115" s="1"/>
      <x:c r="P115" s="1"/>
      <x:c r="Q115" s="1"/>
    </x:row>
    <x:row r="116" ht="21" customHeight="1">
      <x:c r="A116" s="5" t="n">
        <x:f>'Лист1'!A116</x:f>
        <x:v>43957</x:v>
      </x:c>
      <x:c r="B116" s="1" t="str">
        <x:f>'Лист1'!B116</x:f>
        <x:v>Краснодар</x:v>
      </x:c>
      <x:c r="C116" s="1" t="n">
        <x:f>'Лист1'!C116</x:f>
        <x:v>24337.5</x:v>
      </x:c>
      <x:c r="D116" s="6" t="n">
        <x:f>'Лист1'!D116</x:f>
        <x:v>2159350.5</x:v>
      </x:c>
      <x:c r="E116" s="6" t="n">
        <x:f>'Лист1'!E116</x:f>
        <x:v>1715939.5399999998</x:v>
      </x:c>
      <x:c r="F116" s="6" t="n">
        <x:f>'Лист1'!F116</x:f>
        <x:v>115138.50836153845</x:v>
      </x:c>
      <x:c r="G116" s="1" t="n">
        <x:f>IF(N116=1,SUMIFS('Лист2'!$C$2:$C$505,'Лист2'!$A$2:$A$505,A116,'Лист2'!$B$2:$B$505,B116),NA())</x:f>
        <x:v>19</x:v>
      </x:c>
      <x:c r="H116" s="1" t="n">
        <x:f>IF(N116=1,SUMIFS('Лист2'!$D$2:$D$505,'Лист2'!$A$2:$A$505,A116,'Лист2'!$B$2:$B$505,B116),NA())</x:f>
        <x:v>1509</x:v>
      </x:c>
      <x:c r="I116" s="1" t="n">
        <x:f>IF(N116=1,SUMIFS('Лист2'!$E$2:$E$505,'Лист2'!$A$2:$A$505,A116,'Лист2'!$B$2:$B$505,B116),NA())</x:f>
        <x:v>1374</x:v>
      </x:c>
      <x:c r="J116" s="5" t="n">
        <x:f>A116-WEEKDAY(A116,2)+1</x:f>
        <x:v>43955</x:v>
      </x:c>
      <x:c r="K116" s="1" t="n">
        <x:f>YEAR(J116+3)</x:f>
        <x:v>2020</x:v>
      </x:c>
      <x:c r="L116" s="1" t="n">
        <x:f>INT((J116-DATE(K116,1,4)+WEEKDAY(DATE(K116,1,4),2)-1)/7)+1</x:f>
        <x:v>19</x:v>
      </x:c>
      <x:c r="M116" s="1" t="str">
        <x:f>A116&amp;"|"&amp;B116</x:f>
        <x:v>43957|Краснодар</x:v>
      </x:c>
      <x:c r="N116" s="1" t="n">
        <x:f>COUNTIFS('Лист2'!$F$2:$F$505,M116)</x:f>
        <x:v>1</x:v>
      </x:c>
      <x:c r="O116" s="1"/>
      <x:c r="P116" s="1"/>
      <x:c r="Q116" s="1"/>
    </x:row>
    <x:row r="117" ht="21" customHeight="1">
      <x:c r="A117" s="5" t="n">
        <x:f>'Лист1'!A117</x:f>
        <x:v>43957</x:v>
      </x:c>
      <x:c r="B117" s="1" t="str">
        <x:f>'Лист1'!B117</x:f>
        <x:v>Москва Восток</x:v>
      </x:c>
      <x:c r="C117" s="1" t="n">
        <x:f>'Лист1'!C117</x:f>
        <x:v>216498</x:v>
      </x:c>
      <x:c r="D117" s="6" t="n">
        <x:f>'Лист1'!D117</x:f>
        <x:v>22126444.5</x:v>
      </x:c>
      <x:c r="E117" s="6" t="n">
        <x:f>'Лист1'!E117</x:f>
        <x:v>16128268.832</x:v>
      </x:c>
      <x:c r="F117" s="6" t="n">
        <x:f>'Лист1'!F117</x:f>
        <x:v>389877.53846153844</x:v>
      </x:c>
      <x:c r="G117" s="1" t="n">
        <x:f>IF(N117=1,SUMIFS('Лист2'!$C$2:$C$505,'Лист2'!$A$2:$A$505,A117,'Лист2'!$B$2:$B$505,B117),NA())</x:f>
        <x:v>54</x:v>
      </x:c>
      <x:c r="H117" s="1" t="n">
        <x:f>IF(N117=1,SUMIFS('Лист2'!$D$2:$D$505,'Лист2'!$A$2:$A$505,A117,'Лист2'!$B$2:$B$505,B117),NA())</x:f>
        <x:v>13406</x:v>
      </x:c>
      <x:c r="I117" s="1" t="n">
        <x:f>IF(N117=1,SUMIFS('Лист2'!$E$2:$E$505,'Лист2'!$A$2:$A$505,A117,'Лист2'!$B$2:$B$505,B117),NA())</x:f>
        <x:v>12518</x:v>
      </x:c>
      <x:c r="J117" s="5" t="n">
        <x:f>A117-WEEKDAY(A117,2)+1</x:f>
        <x:v>43955</x:v>
      </x:c>
      <x:c r="K117" s="1" t="n">
        <x:f>YEAR(J117+3)</x:f>
        <x:v>2020</x:v>
      </x:c>
      <x:c r="L117" s="1" t="n">
        <x:f>INT((J117-DATE(K117,1,4)+WEEKDAY(DATE(K117,1,4),2)-1)/7)+1</x:f>
        <x:v>19</x:v>
      </x:c>
      <x:c r="M117" s="1" t="str">
        <x:f>A117&amp;"|"&amp;B117</x:f>
        <x:v>43957|Москва Восток</x:v>
      </x:c>
      <x:c r="N117" s="1" t="n">
        <x:f>COUNTIFS('Лист2'!$F$2:$F$505,M117)</x:f>
        <x:v>1</x:v>
      </x:c>
      <x:c r="O117" s="1"/>
      <x:c r="P117" s="1"/>
      <x:c r="Q117" s="1"/>
    </x:row>
    <x:row r="118" ht="21" customHeight="1">
      <x:c r="A118" s="5" t="n">
        <x:f>'Лист1'!A118</x:f>
        <x:v>43957</x:v>
      </x:c>
      <x:c r="B118" s="1" t="str">
        <x:f>'Лист1'!B118</x:f>
        <x:v>Москва Запад</x:v>
      </x:c>
      <x:c r="C118" s="1" t="n">
        <x:f>'Лист1'!C118</x:f>
        <x:v>224779.5</x:v>
      </x:c>
      <x:c r="D118" s="6" t="n">
        <x:f>'Лист1'!D118</x:f>
        <x:v>23032992</x:v>
      </x:c>
      <x:c r="E118" s="6" t="n">
        <x:f>'Лист1'!E118</x:f>
        <x:v>16792969.817999996</x:v>
      </x:c>
      <x:c r="F118" s="6" t="n">
        <x:f>'Лист1'!F118</x:f>
        <x:v>443086.2530307692</x:v>
      </x:c>
      <x:c r="G118" s="1" t="n">
        <x:f>IF(N118=1,SUMIFS('Лист2'!$C$2:$C$505,'Лист2'!$A$2:$A$505,A118,'Лист2'!$B$2:$B$505,B118),NA())</x:f>
        <x:v>59</x:v>
      </x:c>
      <x:c r="H118" s="1" t="n">
        <x:f>IF(N118=1,SUMIFS('Лист2'!$D$2:$D$505,'Лист2'!$A$2:$A$505,A118,'Лист2'!$B$2:$B$505,B118),NA())</x:f>
        <x:v>14103</x:v>
      </x:c>
      <x:c r="I118" s="1" t="n">
        <x:f>IF(N118=1,SUMIFS('Лист2'!$E$2:$E$505,'Лист2'!$A$2:$A$505,A118,'Лист2'!$B$2:$B$505,B118),NA())</x:f>
        <x:v>13118</x:v>
      </x:c>
      <x:c r="J118" s="5" t="n">
        <x:f>A118-WEEKDAY(A118,2)+1</x:f>
        <x:v>43955</x:v>
      </x:c>
      <x:c r="K118" s="1" t="n">
        <x:f>YEAR(J118+3)</x:f>
        <x:v>2020</x:v>
      </x:c>
      <x:c r="L118" s="1" t="n">
        <x:f>INT((J118-DATE(K118,1,4)+WEEKDAY(DATE(K118,1,4),2)-1)/7)+1</x:f>
        <x:v>19</x:v>
      </x:c>
      <x:c r="M118" s="1" t="str">
        <x:f>A118&amp;"|"&amp;B118</x:f>
        <x:v>43957|Москва Запад</x:v>
      </x:c>
      <x:c r="N118" s="1" t="n">
        <x:f>COUNTIFS('Лист2'!$F$2:$F$505,M118)</x:f>
        <x:v>1</x:v>
      </x:c>
      <x:c r="O118" s="1"/>
      <x:c r="P118" s="1"/>
      <x:c r="Q118" s="1"/>
    </x:row>
    <x:row r="119" ht="21" customHeight="1">
      <x:c r="A119" s="5" t="n">
        <x:f>'Лист1'!A119</x:f>
        <x:v>43957</x:v>
      </x:c>
      <x:c r="B119" s="1" t="str">
        <x:f>'Лист1'!B119</x:f>
        <x:v>Нижний Новгород</x:v>
      </x:c>
      <x:c r="C119" s="1" t="n">
        <x:f>'Лист1'!C119</x:f>
        <x:v>24678</x:v>
      </x:c>
      <x:c r="D119" s="6" t="n">
        <x:f>'Лист1'!D119</x:f>
        <x:v>2232519</x:v>
      </x:c>
      <x:c r="E119" s="6" t="n">
        <x:f>'Лист1'!E119</x:f>
        <x:v>1781999.058</x:v>
      </x:c>
      <x:c r="F119" s="6" t="n">
        <x:f>'Лист1'!F119</x:f>
        <x:v>359577.9060076923</x:v>
      </x:c>
      <x:c r="G119" s="1" t="n">
        <x:f>IF(N119=1,SUMIFS('Лист2'!$C$2:$C$505,'Лист2'!$A$2:$A$505,A119,'Лист2'!$B$2:$B$505,B119),NA())</x:f>
        <x:v>19</x:v>
      </x:c>
      <x:c r="H119" s="1" t="n">
        <x:f>IF(N119=1,SUMIFS('Лист2'!$D$2:$D$505,'Лист2'!$A$2:$A$505,A119,'Лист2'!$B$2:$B$505,B119),NA())</x:f>
        <x:v>1499</x:v>
      </x:c>
      <x:c r="I119" s="1" t="n">
        <x:f>IF(N119=1,SUMIFS('Лист2'!$E$2:$E$505,'Лист2'!$A$2:$A$505,A119,'Лист2'!$B$2:$B$505,B119),NA())</x:f>
        <x:v>1323</x:v>
      </x:c>
      <x:c r="J119" s="5" t="n">
        <x:f>A119-WEEKDAY(A119,2)+1</x:f>
        <x:v>43955</x:v>
      </x:c>
      <x:c r="K119" s="1" t="n">
        <x:f>YEAR(J119+3)</x:f>
        <x:v>2020</x:v>
      </x:c>
      <x:c r="L119" s="1" t="n">
        <x:f>INT((J119-DATE(K119,1,4)+WEEKDAY(DATE(K119,1,4),2)-1)/7)+1</x:f>
        <x:v>19</x:v>
      </x:c>
      <x:c r="M119" s="1" t="str">
        <x:f>A119&amp;"|"&amp;B119</x:f>
        <x:v>43957|Нижний Новгород</x:v>
      </x:c>
      <x:c r="N119" s="1" t="n">
        <x:f>COUNTIFS('Лист2'!$F$2:$F$505,M119)</x:f>
        <x:v>1</x:v>
      </x:c>
      <x:c r="O119" s="1"/>
      <x:c r="P119" s="1"/>
      <x:c r="Q119" s="1"/>
    </x:row>
    <x:row r="120" ht="21" customHeight="1">
      <x:c r="A120" s="5" t="n">
        <x:f>'Лист1'!A120</x:f>
        <x:v>43957</x:v>
      </x:c>
      <x:c r="B120" s="1" t="str">
        <x:f>'Лист1'!B120</x:f>
        <x:v>Новосибирск</x:v>
      </x:c>
      <x:c r="C120" s="1" t="n">
        <x:f>'Лист1'!C120</x:f>
        <x:v>12468</x:v>
      </x:c>
      <x:c r="D120" s="6" t="n">
        <x:f>'Лист1'!D120</x:f>
        <x:v>1016566.5</x:v>
      </x:c>
      <x:c r="E120" s="6" t="n">
        <x:f>'Лист1'!E120</x:f>
        <x:v>858367.6039999999</x:v>
      </x:c>
      <x:c r="F120" s="6" t="n">
        <x:f>'Лист1'!F120</x:f>
        <x:v>88833.63816923076</x:v>
      </x:c>
      <x:c r="G120" s="1" t="n">
        <x:f>IF(N120=1,SUMIFS('Лист2'!$C$2:$C$505,'Лист2'!$A$2:$A$505,A120,'Лист2'!$B$2:$B$505,B120),NA())</x:f>
        <x:v>15</x:v>
      </x:c>
      <x:c r="H120" s="1" t="n">
        <x:f>IF(N120=1,SUMIFS('Лист2'!$D$2:$D$505,'Лист2'!$A$2:$A$505,A120,'Лист2'!$B$2:$B$505,B120),NA())</x:f>
        <x:v>701</x:v>
      </x:c>
      <x:c r="I120" s="1" t="n">
        <x:f>IF(N120=1,SUMIFS('Лист2'!$E$2:$E$505,'Лист2'!$A$2:$A$505,A120,'Лист2'!$B$2:$B$505,B120),NA())</x:f>
        <x:v>611</x:v>
      </x:c>
      <x:c r="J120" s="5" t="n">
        <x:f>A120-WEEKDAY(A120,2)+1</x:f>
        <x:v>43955</x:v>
      </x:c>
      <x:c r="K120" s="1" t="n">
        <x:f>YEAR(J120+3)</x:f>
        <x:v>2020</x:v>
      </x:c>
      <x:c r="L120" s="1" t="n">
        <x:f>INT((J120-DATE(K120,1,4)+WEEKDAY(DATE(K120,1,4),2)-1)/7)+1</x:f>
        <x:v>19</x:v>
      </x:c>
      <x:c r="M120" s="1" t="str">
        <x:f>A120&amp;"|"&amp;B120</x:f>
        <x:v>43957|Новосибирск</x:v>
      </x:c>
      <x:c r="N120" s="1" t="n">
        <x:f>COUNTIFS('Лист2'!$F$2:$F$505,M120)</x:f>
        <x:v>1</x:v>
      </x:c>
      <x:c r="O120" s="1"/>
      <x:c r="P120" s="1"/>
      <x:c r="Q120" s="1"/>
    </x:row>
    <x:row r="121" ht="21" customHeight="1">
      <x:c r="A121" s="5" t="n">
        <x:f>'Лист1'!A121</x:f>
        <x:v>43957</x:v>
      </x:c>
      <x:c r="B121" s="1" t="str">
        <x:f>'Лист1'!B121</x:f>
        <x:v>Пермь</x:v>
      </x:c>
      <x:c r="C121" s="1" t="n">
        <x:f>'Лист1'!C121</x:f>
        <x:v>14061</x:v>
      </x:c>
      <x:c r="D121" s="6" t="n">
        <x:f>'Лист1'!D121</x:f>
        <x:v>1221057</x:v>
      </x:c>
      <x:c r="E121" s="6" t="n">
        <x:f>'Лист1'!E121</x:f>
        <x:v>983096.417</x:v>
      </x:c>
      <x:c r="F121" s="6" t="n">
        <x:f>'Лист1'!F121</x:f>
        <x:v>373408.8334307692</x:v>
      </x:c>
      <x:c r="G121" s="1" t="n">
        <x:f>IF(N121=1,SUMIFS('Лист2'!$C$2:$C$505,'Лист2'!$A$2:$A$505,A121,'Лист2'!$B$2:$B$505,B121),NA())</x:f>
        <x:v>15</x:v>
      </x:c>
      <x:c r="H121" s="1" t="n">
        <x:f>IF(N121=1,SUMIFS('Лист2'!$D$2:$D$505,'Лист2'!$A$2:$A$505,A121,'Лист2'!$B$2:$B$505,B121),NA())</x:f>
        <x:v>839</x:v>
      </x:c>
      <x:c r="I121" s="1" t="n">
        <x:f>IF(N121=1,SUMIFS('Лист2'!$E$2:$E$505,'Лист2'!$A$2:$A$505,A121,'Лист2'!$B$2:$B$505,B121),NA())</x:f>
        <x:v>733</x:v>
      </x:c>
      <x:c r="J121" s="5" t="n">
        <x:f>A121-WEEKDAY(A121,2)+1</x:f>
        <x:v>43955</x:v>
      </x:c>
      <x:c r="K121" s="1" t="n">
        <x:f>YEAR(J121+3)</x:f>
        <x:v>2020</x:v>
      </x:c>
      <x:c r="L121" s="1" t="n">
        <x:f>INT((J121-DATE(K121,1,4)+WEEKDAY(DATE(K121,1,4),2)-1)/7)+1</x:f>
        <x:v>19</x:v>
      </x:c>
      <x:c r="M121" s="1" t="str">
        <x:f>A121&amp;"|"&amp;B121</x:f>
        <x:v>43957|Пермь</x:v>
      </x:c>
      <x:c r="N121" s="1" t="n">
        <x:f>COUNTIFS('Лист2'!$F$2:$F$505,M121)</x:f>
        <x:v>1</x:v>
      </x:c>
      <x:c r="O121" s="1"/>
      <x:c r="P121" s="1"/>
      <x:c r="Q121" s="1"/>
    </x:row>
    <x:row r="122" ht="21" customHeight="1">
      <x:c r="A122" s="5" t="n">
        <x:f>'Лист1'!A122</x:f>
        <x:v>43957</x:v>
      </x:c>
      <x:c r="B122" s="1" t="str">
        <x:f>'Лист1'!B122</x:f>
        <x:v>Ростов-на-Дону</x:v>
      </x:c>
      <x:c r="C122" s="1" t="n">
        <x:f>'Лист1'!C122</x:f>
        <x:v>8464.5</x:v>
      </x:c>
      <x:c r="D122" s="6" t="n">
        <x:f>'Лист1'!D122</x:f>
        <x:v>739291.5</x:v>
      </x:c>
      <x:c r="E122" s="6" t="n">
        <x:f>'Лист1'!E122</x:f>
        <x:v>651727.3679999999</x:v>
      </x:c>
      <x:c r="F122" s="6" t="n">
        <x:f>'Лист1'!F122</x:f>
        <x:v>154318.62433846152</x:v>
      </x:c>
      <x:c r="G122" s="1" t="n">
        <x:f>IF(N122=1,SUMIFS('Лист2'!$C$2:$C$505,'Лист2'!$A$2:$A$505,A122,'Лист2'!$B$2:$B$505,B122),NA())</x:f>
        <x:v>15</x:v>
      </x:c>
      <x:c r="H122" s="1" t="n">
        <x:f>IF(N122=1,SUMIFS('Лист2'!$D$2:$D$505,'Лист2'!$A$2:$A$505,A122,'Лист2'!$B$2:$B$505,B122),NA())</x:f>
        <x:v>467</x:v>
      </x:c>
      <x:c r="I122" s="1" t="n">
        <x:f>IF(N122=1,SUMIFS('Лист2'!$E$2:$E$505,'Лист2'!$A$2:$A$505,A122,'Лист2'!$B$2:$B$505,B122),NA())</x:f>
        <x:v>389</x:v>
      </x:c>
      <x:c r="J122" s="5" t="n">
        <x:f>A122-WEEKDAY(A122,2)+1</x:f>
        <x:v>43955</x:v>
      </x:c>
      <x:c r="K122" s="1" t="n">
        <x:f>YEAR(J122+3)</x:f>
        <x:v>2020</x:v>
      </x:c>
      <x:c r="L122" s="1" t="n">
        <x:f>INT((J122-DATE(K122,1,4)+WEEKDAY(DATE(K122,1,4),2)-1)/7)+1</x:f>
        <x:v>19</x:v>
      </x:c>
      <x:c r="M122" s="1" t="str">
        <x:f>A122&amp;"|"&amp;B122</x:f>
        <x:v>43957|Ростов-на-Дону</x:v>
      </x:c>
      <x:c r="N122" s="1" t="n">
        <x:f>COUNTIFS('Лист2'!$F$2:$F$505,M122)</x:f>
        <x:v>1</x:v>
      </x:c>
      <x:c r="O122" s="1"/>
      <x:c r="P122" s="1"/>
      <x:c r="Q122" s="1"/>
    </x:row>
    <x:row r="123" ht="21" customHeight="1">
      <x:c r="A123" s="5" t="n">
        <x:f>'Лист1'!A123</x:f>
        <x:v>43957</x:v>
      </x:c>
      <x:c r="B123" s="1" t="str">
        <x:f>'Лист1'!B123</x:f>
        <x:v>Санкт-Петербург Север</x:v>
      </x:c>
      <x:c r="C123" s="1" t="n">
        <x:f>'Лист1'!C123</x:f>
        <x:v>355278</x:v>
      </x:c>
      <x:c r="D123" s="6" t="n">
        <x:f>'Лист1'!D123</x:f>
        <x:v>38092344</x:v>
      </x:c>
      <x:c r="E123" s="6" t="n">
        <x:f>'Лист1'!E123</x:f>
        <x:v>27467616.702999998</x:v>
      </x:c>
      <x:c r="F123" s="6" t="n">
        <x:f>'Лист1'!F123</x:f>
        <x:v>942702.9</x:v>
      </x:c>
      <x:c r="G123" s="1" t="n">
        <x:f>IF(N123=1,SUMIFS('Лист2'!$C$2:$C$505,'Лист2'!$A$2:$A$505,A123,'Лист2'!$B$2:$B$505,B123),NA())</x:f>
        <x:v>125</x:v>
      </x:c>
      <x:c r="H123" s="1" t="n">
        <x:f>IF(N123=1,SUMIFS('Лист2'!$D$2:$D$505,'Лист2'!$A$2:$A$505,A123,'Лист2'!$B$2:$B$505,B123),NA())</x:f>
        <x:v>20218</x:v>
      </x:c>
      <x:c r="I123" s="1" t="n">
        <x:f>IF(N123=1,SUMIFS('Лист2'!$E$2:$E$505,'Лист2'!$A$2:$A$505,A123,'Лист2'!$B$2:$B$505,B123),NA())</x:f>
        <x:v>18647</x:v>
      </x:c>
      <x:c r="J123" s="5" t="n">
        <x:f>A123-WEEKDAY(A123,2)+1</x:f>
        <x:v>43955</x:v>
      </x:c>
      <x:c r="K123" s="1" t="n">
        <x:f>YEAR(J123+3)</x:f>
        <x:v>2020</x:v>
      </x:c>
      <x:c r="L123" s="1" t="n">
        <x:f>INT((J123-DATE(K123,1,4)+WEEKDAY(DATE(K123,1,4),2)-1)/7)+1</x:f>
        <x:v>19</x:v>
      </x:c>
      <x:c r="M123" s="1" t="str">
        <x:f>A123&amp;"|"&amp;B123</x:f>
        <x:v>43957|Санкт-Петербург Север</x:v>
      </x:c>
      <x:c r="N123" s="1" t="n">
        <x:f>COUNTIFS('Лист2'!$F$2:$F$505,M123)</x:f>
        <x:v>1</x:v>
      </x:c>
      <x:c r="O123" s="1"/>
      <x:c r="P123" s="1"/>
      <x:c r="Q123" s="1"/>
    </x:row>
    <x:row r="124" ht="21" customHeight="1">
      <x:c r="A124" s="5" t="n">
        <x:f>'Лист1'!A124</x:f>
        <x:v>43957</x:v>
      </x:c>
      <x:c r="B124" s="1" t="str">
        <x:f>'Лист1'!B124</x:f>
        <x:v>Санкт-Петербург Юг</x:v>
      </x:c>
      <x:c r="C124" s="1" t="n">
        <x:f>'Лист1'!C124</x:f>
        <x:v>277512</x:v>
      </x:c>
      <x:c r="D124" s="6" t="n">
        <x:f>'Лист1'!D124</x:f>
        <x:v>28770810.1056</x:v>
      </x:c>
      <x:c r="E124" s="6" t="n">
        <x:f>'Лист1'!E124</x:f>
        <x:v>20810852.736</x:v>
      </x:c>
      <x:c r="F124" s="6" t="n">
        <x:f>'Лист1'!F124</x:f>
        <x:v>790162.5769230769</x:v>
      </x:c>
      <x:c r="G124" s="1" t="n">
        <x:f>IF(N124=1,SUMIFS('Лист2'!$C$2:$C$505,'Лист2'!$A$2:$A$505,A124,'Лист2'!$B$2:$B$505,B124),NA())</x:f>
        <x:v>129</x:v>
      </x:c>
      <x:c r="H124" s="1" t="n">
        <x:f>IF(N124=1,SUMIFS('Лист2'!$D$2:$D$505,'Лист2'!$A$2:$A$505,A124,'Лист2'!$B$2:$B$505,B124),NA())</x:f>
        <x:v>16376</x:v>
      </x:c>
      <x:c r="I124" s="1" t="n">
        <x:f>IF(N124=1,SUMIFS('Лист2'!$E$2:$E$505,'Лист2'!$A$2:$A$505,A124,'Лист2'!$B$2:$B$505,B124),NA())</x:f>
        <x:v>15197</x:v>
      </x:c>
      <x:c r="J124" s="5" t="n">
        <x:f>A124-WEEKDAY(A124,2)+1</x:f>
        <x:v>43955</x:v>
      </x:c>
      <x:c r="K124" s="1" t="n">
        <x:f>YEAR(J124+3)</x:f>
        <x:v>2020</x:v>
      </x:c>
      <x:c r="L124" s="1" t="n">
        <x:f>INT((J124-DATE(K124,1,4)+WEEKDAY(DATE(K124,1,4),2)-1)/7)+1</x:f>
        <x:v>19</x:v>
      </x:c>
      <x:c r="M124" s="1" t="str">
        <x:f>A124&amp;"|"&amp;B124</x:f>
        <x:v>43957|Санкт-Петербург Юг</x:v>
      </x:c>
      <x:c r="N124" s="1" t="n">
        <x:f>COUNTIFS('Лист2'!$F$2:$F$505,M124)</x:f>
        <x:v>1</x:v>
      </x:c>
      <x:c r="O124" s="1"/>
      <x:c r="P124" s="1"/>
      <x:c r="Q124" s="1"/>
    </x:row>
    <x:row r="125" ht="21" customHeight="1">
      <x:c r="A125" s="5" t="n">
        <x:f>'Лист1'!A125</x:f>
        <x:v>43957</x:v>
      </x:c>
      <x:c r="B125" s="1" t="str">
        <x:f>'Лист1'!B125</x:f>
        <x:v>Тольятти</x:v>
      </x:c>
      <x:c r="C125" s="1" t="n">
        <x:f>'Лист1'!C125</x:f>
        <x:v>9210</x:v>
      </x:c>
      <x:c r="D125" s="6" t="n">
        <x:f>'Лист1'!D125</x:f>
        <x:v>696832.5</x:v>
      </x:c>
      <x:c r="E125" s="6" t="n">
        <x:f>'Лист1'!E125</x:f>
        <x:v>616683.3809999999</x:v>
      </x:c>
      <x:c r="F125" s="6" t="n">
        <x:f>'Лист1'!F125</x:f>
        <x:v>99623.13076923077</x:v>
      </x:c>
      <x:c r="G125" s="1" t="n">
        <x:f>IF(N125=1,SUMIFS('Лист2'!$C$2:$C$505,'Лист2'!$A$2:$A$505,A125,'Лист2'!$B$2:$B$505,B125),NA())</x:f>
        <x:v>10</x:v>
      </x:c>
      <x:c r="H125" s="1" t="n">
        <x:f>IF(N125=1,SUMIFS('Лист2'!$D$2:$D$505,'Лист2'!$A$2:$A$505,A125,'Лист2'!$B$2:$B$505,B125),NA())</x:f>
        <x:v>465</x:v>
      </x:c>
      <x:c r="I125" s="1" t="n">
        <x:f>IF(N125=1,SUMIFS('Лист2'!$E$2:$E$505,'Лист2'!$A$2:$A$505,A125,'Лист2'!$B$2:$B$505,B125),NA())</x:f>
        <x:v>390</x:v>
      </x:c>
      <x:c r="J125" s="5" t="n">
        <x:f>A125-WEEKDAY(A125,2)+1</x:f>
        <x:v>43955</x:v>
      </x:c>
      <x:c r="K125" s="1" t="n">
        <x:f>YEAR(J125+3)</x:f>
        <x:v>2020</x:v>
      </x:c>
      <x:c r="L125" s="1" t="n">
        <x:f>INT((J125-DATE(K125,1,4)+WEEKDAY(DATE(K125,1,4),2)-1)/7)+1</x:f>
        <x:v>19</x:v>
      </x:c>
      <x:c r="M125" s="1" t="str">
        <x:f>A125&amp;"|"&amp;B125</x:f>
        <x:v>43957|Тольятти</x:v>
      </x:c>
      <x:c r="N125" s="1" t="n">
        <x:f>COUNTIFS('Лист2'!$F$2:$F$505,M125)</x:f>
        <x:v>1</x:v>
      </x:c>
      <x:c r="O125" s="1"/>
      <x:c r="P125" s="1"/>
      <x:c r="Q125" s="1"/>
    </x:row>
    <x:row r="126" ht="21" customHeight="1">
      <x:c r="A126" s="5" t="n">
        <x:f>'Лист1'!A126</x:f>
        <x:v>43958</x:v>
      </x:c>
      <x:c r="B126" s="1" t="str">
        <x:f>'Лист1'!B126</x:f>
        <x:v>Волгоград</x:v>
      </x:c>
      <x:c r="C126" s="1" t="n">
        <x:f>'Лист1'!C126</x:f>
        <x:v>71067</x:v>
      </x:c>
      <x:c r="D126" s="6" t="n">
        <x:f>'Лист1'!D126</x:f>
        <x:v>6175837.5</x:v>
      </x:c>
      <x:c r="E126" s="6" t="n">
        <x:f>'Лист1'!E126</x:f>
        <x:v>4747959.614</x:v>
      </x:c>
      <x:c r="F126" s="6" t="n">
        <x:f>'Лист1'!F126</x:f>
        <x:v>157793.27424615383</x:v>
      </x:c>
      <x:c r="G126" s="1" t="n">
        <x:f>IF(N126=1,SUMIFS('Лист2'!$C$2:$C$505,'Лист2'!$A$2:$A$505,A126,'Лист2'!$B$2:$B$505,B126),NA())</x:f>
        <x:v>36</x:v>
      </x:c>
      <x:c r="H126" s="1" t="n">
        <x:f>IF(N126=1,SUMIFS('Лист2'!$D$2:$D$505,'Лист2'!$A$2:$A$505,A126,'Лист2'!$B$2:$B$505,B126),NA())</x:f>
        <x:v>4826</x:v>
      </x:c>
      <x:c r="I126" s="1" t="n">
        <x:f>IF(N126=1,SUMIFS('Лист2'!$E$2:$E$505,'Лист2'!$A$2:$A$505,A126,'Лист2'!$B$2:$B$505,B126),NA())</x:f>
        <x:v>4426</x:v>
      </x:c>
      <x:c r="J126" s="5" t="n">
        <x:f>A126-WEEKDAY(A126,2)+1</x:f>
        <x:v>43955</x:v>
      </x:c>
      <x:c r="K126" s="1" t="n">
        <x:f>YEAR(J126+3)</x:f>
        <x:v>2020</x:v>
      </x:c>
      <x:c r="L126" s="1" t="n">
        <x:f>INT((J126-DATE(K126,1,4)+WEEKDAY(DATE(K126,1,4),2)-1)/7)+1</x:f>
        <x:v>19</x:v>
      </x:c>
      <x:c r="M126" s="1" t="str">
        <x:f>A126&amp;"|"&amp;B126</x:f>
        <x:v>43958|Волгоград</x:v>
      </x:c>
      <x:c r="N126" s="1" t="n">
        <x:f>COUNTIFS('Лист2'!$F$2:$F$505,M126)</x:f>
        <x:v>1</x:v>
      </x:c>
      <x:c r="O126" s="1"/>
      <x:c r="P126" s="1"/>
      <x:c r="Q126" s="1"/>
    </x:row>
    <x:row r="127" ht="21" customHeight="1">
      <x:c r="A127" s="5" t="n">
        <x:f>'Лист1'!A127</x:f>
        <x:v>43958</x:v>
      </x:c>
      <x:c r="B127" s="1" t="str">
        <x:f>'Лист1'!B127</x:f>
        <x:v>Екатеринбург</x:v>
      </x:c>
      <x:c r="C127" s="1" t="n">
        <x:f>'Лист1'!C127</x:f>
        <x:v>73204.5</x:v>
      </x:c>
      <x:c r="D127" s="6" t="n">
        <x:f>'Лист1'!D127</x:f>
        <x:v>6591883.5</x:v>
      </x:c>
      <x:c r="E127" s="6" t="n">
        <x:f>'Лист1'!E127</x:f>
        <x:v>5001227.671</x:v>
      </x:c>
      <x:c r="F127" s="6" t="n">
        <x:f>'Лист1'!F127</x:f>
        <x:v>184167.76355384616</x:v>
      </x:c>
      <x:c r="G127" s="1" t="n">
        <x:f>IF(N127=1,SUMIFS('Лист2'!$C$2:$C$505,'Лист2'!$A$2:$A$505,A127,'Лист2'!$B$2:$B$505,B127),NA())</x:f>
        <x:v>31</x:v>
      </x:c>
      <x:c r="H127" s="1" t="n">
        <x:f>IF(N127=1,SUMIFS('Лист2'!$D$2:$D$505,'Лист2'!$A$2:$A$505,A127,'Лист2'!$B$2:$B$505,B127),NA())</x:f>
        <x:v>4903</x:v>
      </x:c>
      <x:c r="I127" s="1" t="n">
        <x:f>IF(N127=1,SUMIFS('Лист2'!$E$2:$E$505,'Лист2'!$A$2:$A$505,A127,'Лист2'!$B$2:$B$505,B127),NA())</x:f>
        <x:v>4527</x:v>
      </x:c>
      <x:c r="J127" s="5" t="n">
        <x:f>A127-WEEKDAY(A127,2)+1</x:f>
        <x:v>43955</x:v>
      </x:c>
      <x:c r="K127" s="1" t="n">
        <x:f>YEAR(J127+3)</x:f>
        <x:v>2020</x:v>
      </x:c>
      <x:c r="L127" s="1" t="n">
        <x:f>INT((J127-DATE(K127,1,4)+WEEKDAY(DATE(K127,1,4),2)-1)/7)+1</x:f>
        <x:v>19</x:v>
      </x:c>
      <x:c r="M127" s="1" t="str">
        <x:f>A127&amp;"|"&amp;B127</x:f>
        <x:v>43958|Екатеринбург</x:v>
      </x:c>
      <x:c r="N127" s="1" t="n">
        <x:f>COUNTIFS('Лист2'!$F$2:$F$505,M127)</x:f>
        <x:v>1</x:v>
      </x:c>
      <x:c r="O127" s="1"/>
      <x:c r="P127" s="1"/>
      <x:c r="Q127" s="1"/>
    </x:row>
    <x:row r="128" ht="21" customHeight="1">
      <x:c r="A128" s="5" t="n">
        <x:f>'Лист1'!A128</x:f>
        <x:v>43958</x:v>
      </x:c>
      <x:c r="B128" s="1" t="str">
        <x:f>'Лист1'!B128</x:f>
        <x:v>Казань</x:v>
      </x:c>
      <x:c r="C128" s="1" t="n">
        <x:f>'Лист1'!C128</x:f>
        <x:v>32851.5</x:v>
      </x:c>
      <x:c r="D128" s="6" t="n">
        <x:f>'Лист1'!D128</x:f>
        <x:v>2934504</x:v>
      </x:c>
      <x:c r="E128" s="6" t="n">
        <x:f>'Лист1'!E128</x:f>
        <x:v>2253872.138</x:v>
      </x:c>
      <x:c r="F128" s="6" t="n">
        <x:f>'Лист1'!F128</x:f>
        <x:v>160756.50769230767</x:v>
      </x:c>
      <x:c r="G128" s="1" t="n">
        <x:f>IF(N128=1,SUMIFS('Лист2'!$C$2:$C$505,'Лист2'!$A$2:$A$505,A128,'Лист2'!$B$2:$B$505,B128),NA())</x:f>
        <x:v>21</x:v>
      </x:c>
      <x:c r="H128" s="1" t="n">
        <x:f>IF(N128=1,SUMIFS('Лист2'!$D$2:$D$505,'Лист2'!$A$2:$A$505,A128,'Лист2'!$B$2:$B$505,B128),NA())</x:f>
        <x:v>1879</x:v>
      </x:c>
      <x:c r="I128" s="1" t="n">
        <x:f>IF(N128=1,SUMIFS('Лист2'!$E$2:$E$505,'Лист2'!$A$2:$A$505,A128,'Лист2'!$B$2:$B$505,B128),NA())</x:f>
        <x:v>1695</x:v>
      </x:c>
      <x:c r="J128" s="5" t="n">
        <x:f>A128-WEEKDAY(A128,2)+1</x:f>
        <x:v>43955</x:v>
      </x:c>
      <x:c r="K128" s="1" t="n">
        <x:f>YEAR(J128+3)</x:f>
        <x:v>2020</x:v>
      </x:c>
      <x:c r="L128" s="1" t="n">
        <x:f>INT((J128-DATE(K128,1,4)+WEEKDAY(DATE(K128,1,4),2)-1)/7)+1</x:f>
        <x:v>19</x:v>
      </x:c>
      <x:c r="M128" s="1" t="str">
        <x:f>A128&amp;"|"&amp;B128</x:f>
        <x:v>43958|Казань</x:v>
      </x:c>
      <x:c r="N128" s="1" t="n">
        <x:f>COUNTIFS('Лист2'!$F$2:$F$505,M128)</x:f>
        <x:v>1</x:v>
      </x:c>
      <x:c r="O128" s="1"/>
      <x:c r="P128" s="1"/>
      <x:c r="Q128" s="1"/>
    </x:row>
    <x:row r="129" ht="21" customHeight="1">
      <x:c r="A129" s="5" t="n">
        <x:f>'Лист1'!A129</x:f>
        <x:v>43958</x:v>
      </x:c>
      <x:c r="B129" s="1" t="str">
        <x:f>'Лист1'!B129</x:f>
        <x:v>Кемерово</x:v>
      </x:c>
      <x:c r="C129" s="1" t="n">
        <x:f>'Лист1'!C129</x:f>
        <x:v>27018</x:v>
      </x:c>
      <x:c r="D129" s="6" t="n">
        <x:f>'Лист1'!D129</x:f>
        <x:v>2472213</x:v>
      </x:c>
      <x:c r="E129" s="6" t="n">
        <x:f>'Лист1'!E129</x:f>
        <x:v>2000889.9870000002</x:v>
      </x:c>
      <x:c r="F129" s="6" t="n">
        <x:f>'Лист1'!F129</x:f>
        <x:v>283287.8692307692</x:v>
      </x:c>
      <x:c r="G129" s="1" t="n">
        <x:f>IF(N129=1,SUMIFS('Лист2'!$C$2:$C$505,'Лист2'!$A$2:$A$505,A129,'Лист2'!$B$2:$B$505,B129),NA())</x:f>
        <x:v>21</x:v>
      </x:c>
      <x:c r="H129" s="1" t="n">
        <x:f>IF(N129=1,SUMIFS('Лист2'!$D$2:$D$505,'Лист2'!$A$2:$A$505,A129,'Лист2'!$B$2:$B$505,B129),NA())</x:f>
        <x:v>1542</x:v>
      </x:c>
      <x:c r="I129" s="1" t="n">
        <x:f>IF(N129=1,SUMIFS('Лист2'!$E$2:$E$505,'Лист2'!$A$2:$A$505,A129,'Лист2'!$B$2:$B$505,B129),NA())</x:f>
        <x:v>1405</x:v>
      </x:c>
      <x:c r="J129" s="5" t="n">
        <x:f>A129-WEEKDAY(A129,2)+1</x:f>
        <x:v>43955</x:v>
      </x:c>
      <x:c r="K129" s="1" t="n">
        <x:f>YEAR(J129+3)</x:f>
        <x:v>2020</x:v>
      </x:c>
      <x:c r="L129" s="1" t="n">
        <x:f>INT((J129-DATE(K129,1,4)+WEEKDAY(DATE(K129,1,4),2)-1)/7)+1</x:f>
        <x:v>19</x:v>
      </x:c>
      <x:c r="M129" s="1" t="str">
        <x:f>A129&amp;"|"&amp;B129</x:f>
        <x:v>43958|Кемерово</x:v>
      </x:c>
      <x:c r="N129" s="1" t="n">
        <x:f>COUNTIFS('Лист2'!$F$2:$F$505,M129)</x:f>
        <x:v>1</x:v>
      </x:c>
      <x:c r="O129" s="1"/>
      <x:c r="P129" s="1"/>
      <x:c r="Q129" s="1"/>
    </x:row>
    <x:row r="130" ht="21" customHeight="1">
      <x:c r="A130" s="5" t="n">
        <x:f>'Лист1'!A130</x:f>
        <x:v>43958</x:v>
      </x:c>
      <x:c r="B130" s="1" t="str">
        <x:f>'Лист1'!B130</x:f>
        <x:v>Краснодар</x:v>
      </x:c>
      <x:c r="C130" s="1" t="n">
        <x:f>'Лист1'!C130</x:f>
        <x:v>26184</x:v>
      </x:c>
      <x:c r="D130" s="6" t="n">
        <x:f>'Лист1'!D130</x:f>
        <x:v>2308336.5</x:v>
      </x:c>
      <x:c r="E130" s="6" t="n">
        <x:f>'Лист1'!E130</x:f>
        <x:v>1837113.1940000001</x:v>
      </x:c>
      <x:c r="F130" s="6" t="n">
        <x:f>'Лист1'!F130</x:f>
        <x:v>115064.43612307693</x:v>
      </x:c>
      <x:c r="G130" s="1" t="n">
        <x:f>IF(N130=1,SUMIFS('Лист2'!$C$2:$C$505,'Лист2'!$A$2:$A$505,A130,'Лист2'!$B$2:$B$505,B130),NA())</x:f>
        <x:v>19</x:v>
      </x:c>
      <x:c r="H130" s="1" t="n">
        <x:f>IF(N130=1,SUMIFS('Лист2'!$D$2:$D$505,'Лист2'!$A$2:$A$505,A130,'Лист2'!$B$2:$B$505,B130),NA())</x:f>
        <x:v>1580</x:v>
      </x:c>
      <x:c r="I130" s="1" t="n">
        <x:f>IF(N130=1,SUMIFS('Лист2'!$E$2:$E$505,'Лист2'!$A$2:$A$505,A130,'Лист2'!$B$2:$B$505,B130),NA())</x:f>
        <x:v>1435</x:v>
      </x:c>
      <x:c r="J130" s="5" t="n">
        <x:f>A130-WEEKDAY(A130,2)+1</x:f>
        <x:v>43955</x:v>
      </x:c>
      <x:c r="K130" s="1" t="n">
        <x:f>YEAR(J130+3)</x:f>
        <x:v>2020</x:v>
      </x:c>
      <x:c r="L130" s="1" t="n">
        <x:f>INT((J130-DATE(K130,1,4)+WEEKDAY(DATE(K130,1,4),2)-1)/7)+1</x:f>
        <x:v>19</x:v>
      </x:c>
      <x:c r="M130" s="1" t="str">
        <x:f>A130&amp;"|"&amp;B130</x:f>
        <x:v>43958|Краснодар</x:v>
      </x:c>
      <x:c r="N130" s="1" t="n">
        <x:f>COUNTIFS('Лист2'!$F$2:$F$505,M130)</x:f>
        <x:v>1</x:v>
      </x:c>
      <x:c r="O130" s="1"/>
      <x:c r="P130" s="1"/>
      <x:c r="Q130" s="1"/>
    </x:row>
    <x:row r="131" ht="21" customHeight="1">
      <x:c r="A131" s="5" t="n">
        <x:f>'Лист1'!A131</x:f>
        <x:v>43958</x:v>
      </x:c>
      <x:c r="B131" s="1" t="str">
        <x:f>'Лист1'!B131</x:f>
        <x:v>Москва Восток</x:v>
      </x:c>
      <x:c r="C131" s="1" t="n">
        <x:f>'Лист1'!C131</x:f>
        <x:v>209415</x:v>
      </x:c>
      <x:c r="D131" s="6" t="n">
        <x:f>'Лист1'!D131</x:f>
        <x:v>21463023</x:v>
      </x:c>
      <x:c r="E131" s="6" t="n">
        <x:f>'Лист1'!E131</x:f>
        <x:v>15847839.739</x:v>
      </x:c>
      <x:c r="F131" s="6" t="n">
        <x:f>'Лист1'!F131</x:f>
        <x:v>521163.8769230769</x:v>
      </x:c>
      <x:c r="G131" s="1" t="n">
        <x:f>IF(N131=1,SUMIFS('Лист2'!$C$2:$C$505,'Лист2'!$A$2:$A$505,A131,'Лист2'!$B$2:$B$505,B131),NA())</x:f>
        <x:v>54</x:v>
      </x:c>
      <x:c r="H131" s="1" t="n">
        <x:f>IF(N131=1,SUMIFS('Лист2'!$D$2:$D$505,'Лист2'!$A$2:$A$505,A131,'Лист2'!$B$2:$B$505,B131),NA())</x:f>
        <x:v>12743</x:v>
      </x:c>
      <x:c r="I131" s="1" t="n">
        <x:f>IF(N131=1,SUMIFS('Лист2'!$E$2:$E$505,'Лист2'!$A$2:$A$505,A131,'Лист2'!$B$2:$B$505,B131),NA())</x:f>
        <x:v>11858</x:v>
      </x:c>
      <x:c r="J131" s="5" t="n">
        <x:f>A131-WEEKDAY(A131,2)+1</x:f>
        <x:v>43955</x:v>
      </x:c>
      <x:c r="K131" s="1" t="n">
        <x:f>YEAR(J131+3)</x:f>
        <x:v>2020</x:v>
      </x:c>
      <x:c r="L131" s="1" t="n">
        <x:f>INT((J131-DATE(K131,1,4)+WEEKDAY(DATE(K131,1,4),2)-1)/7)+1</x:f>
        <x:v>19</x:v>
      </x:c>
      <x:c r="M131" s="1" t="str">
        <x:f>A131&amp;"|"&amp;B131</x:f>
        <x:v>43958|Москва Восток</x:v>
      </x:c>
      <x:c r="N131" s="1" t="n">
        <x:f>COUNTIFS('Лист2'!$F$2:$F$505,M131)</x:f>
        <x:v>1</x:v>
      </x:c>
      <x:c r="O131" s="1"/>
      <x:c r="P131" s="1"/>
      <x:c r="Q131" s="1"/>
    </x:row>
    <x:row r="132" ht="21" customHeight="1">
      <x:c r="A132" s="5" t="n">
        <x:f>'Лист1'!A132</x:f>
        <x:v>43958</x:v>
      </x:c>
      <x:c r="B132" s="1" t="str">
        <x:f>'Лист1'!B132</x:f>
        <x:v>Москва Запад</x:v>
      </x:c>
      <x:c r="C132" s="1" t="n">
        <x:f>'Лист1'!C132</x:f>
        <x:v>219411</x:v>
      </x:c>
      <x:c r="D132" s="6" t="n">
        <x:f>'Лист1'!D132</x:f>
        <x:v>22460130</x:v>
      </x:c>
      <x:c r="E132" s="6" t="n">
        <x:f>'Лист1'!E132</x:f>
        <x:v>16627687.641</x:v>
      </x:c>
      <x:c r="F132" s="6" t="n">
        <x:f>'Лист1'!F132</x:f>
        <x:v>518998.75384615385</x:v>
      </x:c>
      <x:c r="G132" s="1" t="n">
        <x:f>IF(N132=1,SUMIFS('Лист2'!$C$2:$C$505,'Лист2'!$A$2:$A$505,A132,'Лист2'!$B$2:$B$505,B132),NA())</x:f>
        <x:v>59</x:v>
      </x:c>
      <x:c r="H132" s="1" t="n">
        <x:f>IF(N132=1,SUMIFS('Лист2'!$D$2:$D$505,'Лист2'!$A$2:$A$505,A132,'Лист2'!$B$2:$B$505,B132),NA())</x:f>
        <x:v>13495</x:v>
      </x:c>
      <x:c r="I132" s="1" t="n">
        <x:f>IF(N132=1,SUMIFS('Лист2'!$E$2:$E$505,'Лист2'!$A$2:$A$505,A132,'Лист2'!$B$2:$B$505,B132),NA())</x:f>
        <x:v>12517</x:v>
      </x:c>
      <x:c r="J132" s="5" t="n">
        <x:f>A132-WEEKDAY(A132,2)+1</x:f>
        <x:v>43955</x:v>
      </x:c>
      <x:c r="K132" s="1" t="n">
        <x:f>YEAR(J132+3)</x:f>
        <x:v>2020</x:v>
      </x:c>
      <x:c r="L132" s="1" t="n">
        <x:f>INT((J132-DATE(K132,1,4)+WEEKDAY(DATE(K132,1,4),2)-1)/7)+1</x:f>
        <x:v>19</x:v>
      </x:c>
      <x:c r="M132" s="1" t="str">
        <x:f>A132&amp;"|"&amp;B132</x:f>
        <x:v>43958|Москва Запад</x:v>
      </x:c>
      <x:c r="N132" s="1" t="n">
        <x:f>COUNTIFS('Лист2'!$F$2:$F$505,M132)</x:f>
        <x:v>1</x:v>
      </x:c>
      <x:c r="O132" s="1"/>
      <x:c r="P132" s="1"/>
      <x:c r="Q132" s="1"/>
    </x:row>
    <x:row r="133" ht="21" customHeight="1">
      <x:c r="A133" s="5" t="n">
        <x:f>'Лист1'!A133</x:f>
        <x:v>43958</x:v>
      </x:c>
      <x:c r="B133" s="1" t="str">
        <x:f>'Лист1'!B133</x:f>
        <x:v>Нижний Новгород</x:v>
      </x:c>
      <x:c r="C133" s="1" t="n">
        <x:f>'Лист1'!C133</x:f>
        <x:v>25468.5</x:v>
      </x:c>
      <x:c r="D133" s="6" t="n">
        <x:f>'Лист1'!D133</x:f>
        <x:v>2350672.5</x:v>
      </x:c>
      <x:c r="E133" s="6" t="n">
        <x:f>'Лист1'!E133</x:f>
        <x:v>1875294.65</x:v>
      </x:c>
      <x:c r="F133" s="6" t="n">
        <x:f>'Лист1'!F133</x:f>
        <x:v>221739.45623076922</x:v>
      </x:c>
      <x:c r="G133" s="1" t="n">
        <x:f>IF(N133=1,SUMIFS('Лист2'!$C$2:$C$505,'Лист2'!$A$2:$A$505,A133,'Лист2'!$B$2:$B$505,B133),NA())</x:f>
        <x:v>19</x:v>
      </x:c>
      <x:c r="H133" s="1" t="n">
        <x:f>IF(N133=1,SUMIFS('Лист2'!$D$2:$D$505,'Лист2'!$A$2:$A$505,A133,'Лист2'!$B$2:$B$505,B133),NA())</x:f>
        <x:v>1530</x:v>
      </x:c>
      <x:c r="I133" s="1" t="n">
        <x:f>IF(N133=1,SUMIFS('Лист2'!$E$2:$E$505,'Лист2'!$A$2:$A$505,A133,'Лист2'!$B$2:$B$505,B133),NA())</x:f>
        <x:v>1338</x:v>
      </x:c>
      <x:c r="J133" s="5" t="n">
        <x:f>A133-WEEKDAY(A133,2)+1</x:f>
        <x:v>43955</x:v>
      </x:c>
      <x:c r="K133" s="1" t="n">
        <x:f>YEAR(J133+3)</x:f>
        <x:v>2020</x:v>
      </x:c>
      <x:c r="L133" s="1" t="n">
        <x:f>INT((J133-DATE(K133,1,4)+WEEKDAY(DATE(K133,1,4),2)-1)/7)+1</x:f>
        <x:v>19</x:v>
      </x:c>
      <x:c r="M133" s="1" t="str">
        <x:f>A133&amp;"|"&amp;B133</x:f>
        <x:v>43958|Нижний Новгород</x:v>
      </x:c>
      <x:c r="N133" s="1" t="n">
        <x:f>COUNTIFS('Лист2'!$F$2:$F$505,M133)</x:f>
        <x:v>1</x:v>
      </x:c>
      <x:c r="O133" s="1"/>
      <x:c r="P133" s="1"/>
      <x:c r="Q133" s="1"/>
    </x:row>
    <x:row r="134" ht="21" customHeight="1">
      <x:c r="A134" s="5" t="n">
        <x:f>'Лист1'!A134</x:f>
        <x:v>43958</x:v>
      </x:c>
      <x:c r="B134" s="1" t="str">
        <x:f>'Лист1'!B134</x:f>
        <x:v>Новосибирск</x:v>
      </x:c>
      <x:c r="C134" s="1" t="n">
        <x:f>'Лист1'!C134</x:f>
        <x:v>11719.5</x:v>
      </x:c>
      <x:c r="D134" s="6" t="n">
        <x:f>'Лист1'!D134</x:f>
        <x:v>965880</x:v>
      </x:c>
      <x:c r="E134" s="6" t="n">
        <x:f>'Лист1'!E134</x:f>
        <x:v>809986.386</x:v>
      </x:c>
      <x:c r="F134" s="6" t="n">
        <x:f>'Лист1'!F134</x:f>
        <x:v>106745.03623846154</x:v>
      </x:c>
      <x:c r="G134" s="1" t="n">
        <x:f>IF(N134=1,SUMIFS('Лист2'!$C$2:$C$505,'Лист2'!$A$2:$A$505,A134,'Лист2'!$B$2:$B$505,B134),NA())</x:f>
        <x:v>15</x:v>
      </x:c>
      <x:c r="H134" s="1" t="n">
        <x:f>IF(N134=1,SUMIFS('Лист2'!$D$2:$D$505,'Лист2'!$A$2:$A$505,A134,'Лист2'!$B$2:$B$505,B134),NA())</x:f>
        <x:v>676</x:v>
      </x:c>
      <x:c r="I134" s="1" t="n">
        <x:f>IF(N134=1,SUMIFS('Лист2'!$E$2:$E$505,'Лист2'!$A$2:$A$505,A134,'Лист2'!$B$2:$B$505,B134),NA())</x:f>
        <x:v>591</x:v>
      </x:c>
      <x:c r="J134" s="5" t="n">
        <x:f>A134-WEEKDAY(A134,2)+1</x:f>
        <x:v>43955</x:v>
      </x:c>
      <x:c r="K134" s="1" t="n">
        <x:f>YEAR(J134+3)</x:f>
        <x:v>2020</x:v>
      </x:c>
      <x:c r="L134" s="1" t="n">
        <x:f>INT((J134-DATE(K134,1,4)+WEEKDAY(DATE(K134,1,4),2)-1)/7)+1</x:f>
        <x:v>19</x:v>
      </x:c>
      <x:c r="M134" s="1" t="str">
        <x:f>A134&amp;"|"&amp;B134</x:f>
        <x:v>43958|Новосибирск</x:v>
      </x:c>
      <x:c r="N134" s="1" t="n">
        <x:f>COUNTIFS('Лист2'!$F$2:$F$505,M134)</x:f>
        <x:v>1</x:v>
      </x:c>
      <x:c r="O134" s="1"/>
      <x:c r="P134" s="1"/>
      <x:c r="Q134" s="1"/>
    </x:row>
    <x:row r="135" ht="21" customHeight="1">
      <x:c r="A135" s="5" t="n">
        <x:f>'Лист1'!A135</x:f>
        <x:v>43958</x:v>
      </x:c>
      <x:c r="B135" s="1" t="str">
        <x:f>'Лист1'!B135</x:f>
        <x:v>Пермь</x:v>
      </x:c>
      <x:c r="C135" s="1" t="n">
        <x:f>'Лист1'!C135</x:f>
        <x:v>12705</x:v>
      </x:c>
      <x:c r="D135" s="6" t="n">
        <x:f>'Лист1'!D135</x:f>
        <x:v>1123894.5</x:v>
      </x:c>
      <x:c r="E135" s="6" t="n">
        <x:f>'Лист1'!E135</x:f>
        <x:v>898508.497</x:v>
      </x:c>
      <x:c r="F135" s="6" t="n">
        <x:f>'Лист1'!F135</x:f>
        <x:v>273904.8153076923</x:v>
      </x:c>
      <x:c r="G135" s="1" t="n">
        <x:f>IF(N135=1,SUMIFS('Лист2'!$C$2:$C$505,'Лист2'!$A$2:$A$505,A135,'Лист2'!$B$2:$B$505,B135),NA())</x:f>
        <x:v>15</x:v>
      </x:c>
      <x:c r="H135" s="1" t="n">
        <x:f>IF(N135=1,SUMIFS('Лист2'!$D$2:$D$505,'Лист2'!$A$2:$A$505,A135,'Лист2'!$B$2:$B$505,B135),NA())</x:f>
        <x:v>805</x:v>
      </x:c>
      <x:c r="I135" s="1" t="n">
        <x:f>IF(N135=1,SUMIFS('Лист2'!$E$2:$E$505,'Лист2'!$A$2:$A$505,A135,'Лист2'!$B$2:$B$505,B135),NA())</x:f>
        <x:v>703</x:v>
      </x:c>
      <x:c r="J135" s="5" t="n">
        <x:f>A135-WEEKDAY(A135,2)+1</x:f>
        <x:v>43955</x:v>
      </x:c>
      <x:c r="K135" s="1" t="n">
        <x:f>YEAR(J135+3)</x:f>
        <x:v>2020</x:v>
      </x:c>
      <x:c r="L135" s="1" t="n">
        <x:f>INT((J135-DATE(K135,1,4)+WEEKDAY(DATE(K135,1,4),2)-1)/7)+1</x:f>
        <x:v>19</x:v>
      </x:c>
      <x:c r="M135" s="1" t="str">
        <x:f>A135&amp;"|"&amp;B135</x:f>
        <x:v>43958|Пермь</x:v>
      </x:c>
      <x:c r="N135" s="1" t="n">
        <x:f>COUNTIFS('Лист2'!$F$2:$F$505,M135)</x:f>
        <x:v>1</x:v>
      </x:c>
      <x:c r="O135" s="1"/>
      <x:c r="P135" s="1"/>
      <x:c r="Q135" s="1"/>
    </x:row>
    <x:row r="136" ht="21" customHeight="1">
      <x:c r="A136" s="5" t="n">
        <x:f>'Лист1'!A136</x:f>
        <x:v>43958</x:v>
      </x:c>
      <x:c r="B136" s="1" t="str">
        <x:f>'Лист1'!B136</x:f>
        <x:v>Ростов-на-Дону</x:v>
      </x:c>
      <x:c r="C136" s="1" t="n">
        <x:f>'Лист1'!C136</x:f>
        <x:v>8719.5</x:v>
      </x:c>
      <x:c r="D136" s="6" t="n">
        <x:f>'Лист1'!D136</x:f>
        <x:v>769276.5</x:v>
      </x:c>
      <x:c r="E136" s="6" t="n">
        <x:f>'Лист1'!E136</x:f>
        <x:v>654599.977</x:v>
      </x:c>
      <x:c r="F136" s="6" t="n">
        <x:f>'Лист1'!F136</x:f>
        <x:v>184385.1884923077</x:v>
      </x:c>
      <x:c r="G136" s="1" t="n">
        <x:f>IF(N136=1,SUMIFS('Лист2'!$C$2:$C$505,'Лист2'!$A$2:$A$505,A136,'Лист2'!$B$2:$B$505,B136),NA())</x:f>
        <x:v>15</x:v>
      </x:c>
      <x:c r="H136" s="1" t="n">
        <x:f>IF(N136=1,SUMIFS('Лист2'!$D$2:$D$505,'Лист2'!$A$2:$A$505,A136,'Лист2'!$B$2:$B$505,B136),NA())</x:f>
        <x:v>480</x:v>
      </x:c>
      <x:c r="I136" s="1" t="n">
        <x:f>IF(N136=1,SUMIFS('Лист2'!$E$2:$E$505,'Лист2'!$A$2:$A$505,A136,'Лист2'!$B$2:$B$505,B136),NA())</x:f>
        <x:v>398</x:v>
      </x:c>
      <x:c r="J136" s="5" t="n">
        <x:f>A136-WEEKDAY(A136,2)+1</x:f>
        <x:v>43955</x:v>
      </x:c>
      <x:c r="K136" s="1" t="n">
        <x:f>YEAR(J136+3)</x:f>
        <x:v>2020</x:v>
      </x:c>
      <x:c r="L136" s="1" t="n">
        <x:f>INT((J136-DATE(K136,1,4)+WEEKDAY(DATE(K136,1,4),2)-1)/7)+1</x:f>
        <x:v>19</x:v>
      </x:c>
      <x:c r="M136" s="1" t="str">
        <x:f>A136&amp;"|"&amp;B136</x:f>
        <x:v>43958|Ростов-на-Дону</x:v>
      </x:c>
      <x:c r="N136" s="1" t="n">
        <x:f>COUNTIFS('Лист2'!$F$2:$F$505,M136)</x:f>
        <x:v>1</x:v>
      </x:c>
      <x:c r="O136" s="1"/>
      <x:c r="P136" s="1"/>
      <x:c r="Q136" s="1"/>
    </x:row>
    <x:row r="137" ht="21" customHeight="1">
      <x:c r="A137" s="5" t="n">
        <x:f>'Лист1'!A137</x:f>
        <x:v>43958</x:v>
      </x:c>
      <x:c r="B137" s="1" t="str">
        <x:f>'Лист1'!B137</x:f>
        <x:v>Санкт-Петербург Север</x:v>
      </x:c>
      <x:c r="C137" s="1" t="n">
        <x:f>'Лист1'!C137</x:f>
        <x:v>319110</x:v>
      </x:c>
      <x:c r="D137" s="6" t="n">
        <x:f>'Лист1'!D137</x:f>
        <x:v>33763989</x:v>
      </x:c>
      <x:c r="E137" s="6" t="n">
        <x:f>'Лист1'!E137</x:f>
        <x:v>24610757.489</x:v>
      </x:c>
      <x:c r="F137" s="6" t="n">
        <x:f>'Лист1'!F137</x:f>
        <x:v>1101833.447230769</x:v>
      </x:c>
      <x:c r="G137" s="1" t="n">
        <x:f>IF(N137=1,SUMIFS('Лист2'!$C$2:$C$505,'Лист2'!$A$2:$A$505,A137,'Лист2'!$B$2:$B$505,B137),NA())</x:f>
        <x:v>125</x:v>
      </x:c>
      <x:c r="H137" s="1" t="n">
        <x:f>IF(N137=1,SUMIFS('Лист2'!$D$2:$D$505,'Лист2'!$A$2:$A$505,A137,'Лист2'!$B$2:$B$505,B137),NA())</x:f>
        <x:v>18014</x:v>
      </x:c>
      <x:c r="I137" s="1" t="n">
        <x:f>IF(N137=1,SUMIFS('Лист2'!$E$2:$E$505,'Лист2'!$A$2:$A$505,A137,'Лист2'!$B$2:$B$505,B137),NA())</x:f>
        <x:v>16675</x:v>
      </x:c>
      <x:c r="J137" s="5" t="n">
        <x:f>A137-WEEKDAY(A137,2)+1</x:f>
        <x:v>43955</x:v>
      </x:c>
      <x:c r="K137" s="1" t="n">
        <x:f>YEAR(J137+3)</x:f>
        <x:v>2020</x:v>
      </x:c>
      <x:c r="L137" s="1" t="n">
        <x:f>INT((J137-DATE(K137,1,4)+WEEKDAY(DATE(K137,1,4),2)-1)/7)+1</x:f>
        <x:v>19</x:v>
      </x:c>
      <x:c r="M137" s="1" t="str">
        <x:f>A137&amp;"|"&amp;B137</x:f>
        <x:v>43958|Санкт-Петербург Север</x:v>
      </x:c>
      <x:c r="N137" s="1" t="n">
        <x:f>COUNTIFS('Лист2'!$F$2:$F$505,M137)</x:f>
        <x:v>1</x:v>
      </x:c>
      <x:c r="O137" s="1"/>
      <x:c r="P137" s="1"/>
      <x:c r="Q137" s="1"/>
    </x:row>
    <x:row r="138" ht="21" customHeight="1">
      <x:c r="A138" s="5" t="n">
        <x:f>'Лист1'!A138</x:f>
        <x:v>43958</x:v>
      </x:c>
      <x:c r="B138" s="1" t="str">
        <x:f>'Лист1'!B138</x:f>
        <x:v>Санкт-Петербург Юг</x:v>
      </x:c>
      <x:c r="C138" s="1" t="n">
        <x:f>'Лист1'!C138</x:f>
        <x:v>247813.5</x:v>
      </x:c>
      <x:c r="D138" s="6" t="n">
        <x:f>'Лист1'!D138</x:f>
        <x:v>25325271</x:v>
      </x:c>
      <x:c r="E138" s="6" t="n">
        <x:f>'Лист1'!E138</x:f>
        <x:v>18582990.428</x:v>
      </x:c>
      <x:c r="F138" s="6" t="n">
        <x:f>'Лист1'!F138</x:f>
        <x:v>865201.878576923</x:v>
      </x:c>
      <x:c r="G138" s="1" t="n">
        <x:f>IF(N138=1,SUMIFS('Лист2'!$C$2:$C$505,'Лист2'!$A$2:$A$505,A138,'Лист2'!$B$2:$B$505,B138),NA())</x:f>
        <x:v>129</x:v>
      </x:c>
      <x:c r="H138" s="1" t="n">
        <x:f>IF(N138=1,SUMIFS('Лист2'!$D$2:$D$505,'Лист2'!$A$2:$A$505,A138,'Лист2'!$B$2:$B$505,B138),NA())</x:f>
        <x:v>14582</x:v>
      </x:c>
      <x:c r="I138" s="1" t="n">
        <x:f>IF(N138=1,SUMIFS('Лист2'!$E$2:$E$505,'Лист2'!$A$2:$A$505,A138,'Лист2'!$B$2:$B$505,B138),NA())</x:f>
        <x:v>13512</x:v>
      </x:c>
      <x:c r="J138" s="5" t="n">
        <x:f>A138-WEEKDAY(A138,2)+1</x:f>
        <x:v>43955</x:v>
      </x:c>
      <x:c r="K138" s="1" t="n">
        <x:f>YEAR(J138+3)</x:f>
        <x:v>2020</x:v>
      </x:c>
      <x:c r="L138" s="1" t="n">
        <x:f>INT((J138-DATE(K138,1,4)+WEEKDAY(DATE(K138,1,4),2)-1)/7)+1</x:f>
        <x:v>19</x:v>
      </x:c>
      <x:c r="M138" s="1" t="str">
        <x:f>A138&amp;"|"&amp;B138</x:f>
        <x:v>43958|Санкт-Петербург Юг</x:v>
      </x:c>
      <x:c r="N138" s="1" t="n">
        <x:f>COUNTIFS('Лист2'!$F$2:$F$505,M138)</x:f>
        <x:v>1</x:v>
      </x:c>
      <x:c r="O138" s="1"/>
      <x:c r="P138" s="1"/>
      <x:c r="Q138" s="1"/>
    </x:row>
    <x:row r="139" ht="21" customHeight="1">
      <x:c r="A139" s="5" t="n">
        <x:f>'Лист1'!A139</x:f>
        <x:v>43958</x:v>
      </x:c>
      <x:c r="B139" s="1" t="str">
        <x:f>'Лист1'!B139</x:f>
        <x:v>Тольятти</x:v>
      </x:c>
      <x:c r="C139" s="1" t="n">
        <x:f>'Лист1'!C139</x:f>
        <x:v>11029.5</x:v>
      </x:c>
      <x:c r="D139" s="6" t="n">
        <x:f>'Лист1'!D139</x:f>
        <x:v>863754</x:v>
      </x:c>
      <x:c r="E139" s="6" t="n">
        <x:f>'Лист1'!E139</x:f>
        <x:v>758428.735</x:v>
      </x:c>
      <x:c r="F139" s="6" t="n">
        <x:f>'Лист1'!F139</x:f>
        <x:v>86710.8045076923</x:v>
      </x:c>
      <x:c r="G139" s="1" t="n">
        <x:f>IF(N139=1,SUMIFS('Лист2'!$C$2:$C$505,'Лист2'!$A$2:$A$505,A139,'Лист2'!$B$2:$B$505,B139),NA())</x:f>
        <x:v>10</x:v>
      </x:c>
      <x:c r="H139" s="1" t="n">
        <x:f>IF(N139=1,SUMIFS('Лист2'!$D$2:$D$505,'Лист2'!$A$2:$A$505,A139,'Лист2'!$B$2:$B$505,B139),NA())</x:f>
        <x:v>563</x:v>
      </x:c>
      <x:c r="I139" s="1" t="n">
        <x:f>IF(N139=1,SUMIFS('Лист2'!$E$2:$E$505,'Лист2'!$A$2:$A$505,A139,'Лист2'!$B$2:$B$505,B139),NA())</x:f>
        <x:v>486</x:v>
      </x:c>
      <x:c r="J139" s="5" t="n">
        <x:f>A139-WEEKDAY(A139,2)+1</x:f>
        <x:v>43955</x:v>
      </x:c>
      <x:c r="K139" s="1" t="n">
        <x:f>YEAR(J139+3)</x:f>
        <x:v>2020</x:v>
      </x:c>
      <x:c r="L139" s="1" t="n">
        <x:f>INT((J139-DATE(K139,1,4)+WEEKDAY(DATE(K139,1,4),2)-1)/7)+1</x:f>
        <x:v>19</x:v>
      </x:c>
      <x:c r="M139" s="1" t="str">
        <x:f>A139&amp;"|"&amp;B139</x:f>
        <x:v>43958|Тольятти</x:v>
      </x:c>
      <x:c r="N139" s="1" t="n">
        <x:f>COUNTIFS('Лист2'!$F$2:$F$505,M139)</x:f>
        <x:v>1</x:v>
      </x:c>
      <x:c r="O139" s="1"/>
      <x:c r="P139" s="1"/>
      <x:c r="Q139" s="1"/>
    </x:row>
    <x:row r="140" ht="21" customHeight="1">
      <x:c r="A140" s="5" t="n">
        <x:f>'Лист1'!A140</x:f>
        <x:v>43959</x:v>
      </x:c>
      <x:c r="B140" s="1" t="str">
        <x:f>'Лист1'!B140</x:f>
        <x:v>Волгоград</x:v>
      </x:c>
      <x:c r="C140" s="1" t="n">
        <x:f>'Лист1'!C140</x:f>
        <x:v>61804.5</x:v>
      </x:c>
      <x:c r="D140" s="6" t="n">
        <x:f>'Лист1'!D140</x:f>
        <x:v>5365708.5</x:v>
      </x:c>
      <x:c r="E140" s="6" t="n">
        <x:f>'Лист1'!E140</x:f>
        <x:v>4091691.3249999997</x:v>
      </x:c>
      <x:c r="F140" s="6" t="n">
        <x:f>'Лист1'!F140</x:f>
        <x:v>232169.67161538458</x:v>
      </x:c>
      <x:c r="G140" s="1" t="n">
        <x:f>IF(N140=1,SUMIFS('Лист2'!$C$2:$C$505,'Лист2'!$A$2:$A$505,A140,'Лист2'!$B$2:$B$505,B140),NA())</x:f>
        <x:v>36</x:v>
      </x:c>
      <x:c r="H140" s="1" t="n">
        <x:f>IF(N140=1,SUMIFS('Лист2'!$D$2:$D$505,'Лист2'!$A$2:$A$505,A140,'Лист2'!$B$2:$B$505,B140),NA())</x:f>
        <x:v>4199</x:v>
      </x:c>
      <x:c r="I140" s="1" t="n">
        <x:f>IF(N140=1,SUMIFS('Лист2'!$E$2:$E$505,'Лист2'!$A$2:$A$505,A140,'Лист2'!$B$2:$B$505,B140),NA())</x:f>
        <x:v>3867</x:v>
      </x:c>
      <x:c r="J140" s="5" t="n">
        <x:f>A140-WEEKDAY(A140,2)+1</x:f>
        <x:v>43955</x:v>
      </x:c>
      <x:c r="K140" s="1" t="n">
        <x:f>YEAR(J140+3)</x:f>
        <x:v>2020</x:v>
      </x:c>
      <x:c r="L140" s="1" t="n">
        <x:f>INT((J140-DATE(K140,1,4)+WEEKDAY(DATE(K140,1,4),2)-1)/7)+1</x:f>
        <x:v>19</x:v>
      </x:c>
      <x:c r="M140" s="1" t="str">
        <x:f>A140&amp;"|"&amp;B140</x:f>
        <x:v>43959|Волгоград</x:v>
      </x:c>
      <x:c r="N140" s="1" t="n">
        <x:f>COUNTIFS('Лист2'!$F$2:$F$505,M140)</x:f>
        <x:v>1</x:v>
      </x:c>
      <x:c r="O140" s="1"/>
      <x:c r="P140" s="1"/>
      <x:c r="Q140" s="1"/>
    </x:row>
    <x:row r="141" ht="21" customHeight="1">
      <x:c r="A141" s="5" t="n">
        <x:f>'Лист1'!A141</x:f>
        <x:v>43959</x:v>
      </x:c>
      <x:c r="B141" s="1" t="str">
        <x:f>'Лист1'!B141</x:f>
        <x:v>Екатеринбург</x:v>
      </x:c>
      <x:c r="C141" s="1" t="n">
        <x:f>'Лист1'!C141</x:f>
        <x:v>69544.5</x:v>
      </x:c>
      <x:c r="D141" s="6" t="n">
        <x:f>'Лист1'!D141</x:f>
        <x:v>6293776.5</x:v>
      </x:c>
      <x:c r="E141" s="6" t="n">
        <x:f>'Лист1'!E141</x:f>
        <x:v>4773839.938</x:v>
      </x:c>
      <x:c r="F141" s="6" t="n">
        <x:f>'Лист1'!F141</x:f>
        <x:v>201777.4038153846</x:v>
      </x:c>
      <x:c r="G141" s="1" t="n">
        <x:f>IF(N141=1,SUMIFS('Лист2'!$C$2:$C$505,'Лист2'!$A$2:$A$505,A141,'Лист2'!$B$2:$B$505,B141),NA())</x:f>
        <x:v>31</x:v>
      </x:c>
      <x:c r="H141" s="1" t="n">
        <x:f>IF(N141=1,SUMIFS('Лист2'!$D$2:$D$505,'Лист2'!$A$2:$A$505,A141,'Лист2'!$B$2:$B$505,B141),NA())</x:f>
        <x:v>4635</x:v>
      </x:c>
      <x:c r="I141" s="1" t="n">
        <x:f>IF(N141=1,SUMIFS('Лист2'!$E$2:$E$505,'Лист2'!$A$2:$A$505,A141,'Лист2'!$B$2:$B$505,B141),NA())</x:f>
        <x:v>4266</x:v>
      </x:c>
      <x:c r="J141" s="5" t="n">
        <x:f>A141-WEEKDAY(A141,2)+1</x:f>
        <x:v>43955</x:v>
      </x:c>
      <x:c r="K141" s="1" t="n">
        <x:f>YEAR(J141+3)</x:f>
        <x:v>2020</x:v>
      </x:c>
      <x:c r="L141" s="1" t="n">
        <x:f>INT((J141-DATE(K141,1,4)+WEEKDAY(DATE(K141,1,4),2)-1)/7)+1</x:f>
        <x:v>19</x:v>
      </x:c>
      <x:c r="M141" s="1" t="str">
        <x:f>A141&amp;"|"&amp;B141</x:f>
        <x:v>43959|Екатеринбург</x:v>
      </x:c>
      <x:c r="N141" s="1" t="n">
        <x:f>COUNTIFS('Лист2'!$F$2:$F$505,M141)</x:f>
        <x:v>1</x:v>
      </x:c>
      <x:c r="O141" s="1"/>
      <x:c r="P141" s="1"/>
      <x:c r="Q141" s="1"/>
    </x:row>
    <x:row r="142" ht="21" customHeight="1">
      <x:c r="A142" s="5" t="n">
        <x:f>'Лист1'!A142</x:f>
        <x:v>43959</x:v>
      </x:c>
      <x:c r="B142" s="1" t="str">
        <x:f>'Лист1'!B142</x:f>
        <x:v>Казань</x:v>
      </x:c>
      <x:c r="C142" s="1" t="n">
        <x:f>'Лист1'!C142</x:f>
        <x:v>34399.5</x:v>
      </x:c>
      <x:c r="D142" s="6" t="n">
        <x:f>'Лист1'!D142</x:f>
        <x:v>3201358.5</x:v>
      </x:c>
      <x:c r="E142" s="6" t="n">
        <x:f>'Лист1'!E142</x:f>
        <x:v>2481896.334</x:v>
      </x:c>
      <x:c r="F142" s="6" t="n">
        <x:f>'Лист1'!F142</x:f>
        <x:v>156377.12456923077</x:v>
      </x:c>
      <x:c r="G142" s="1" t="n">
        <x:f>IF(N142=1,SUMIFS('Лист2'!$C$2:$C$505,'Лист2'!$A$2:$A$505,A142,'Лист2'!$B$2:$B$505,B142),NA())</x:f>
        <x:v>21</x:v>
      </x:c>
      <x:c r="H142" s="1" t="n">
        <x:f>IF(N142=1,SUMIFS('Лист2'!$D$2:$D$505,'Лист2'!$A$2:$A$505,A142,'Лист2'!$B$2:$B$505,B142),NA())</x:f>
        <x:v>1957</x:v>
      </x:c>
      <x:c r="I142" s="1" t="n">
        <x:f>IF(N142=1,SUMIFS('Лист2'!$E$2:$E$505,'Лист2'!$A$2:$A$505,A142,'Лист2'!$B$2:$B$505,B142),NA())</x:f>
        <x:v>1755</x:v>
      </x:c>
      <x:c r="J142" s="5" t="n">
        <x:f>A142-WEEKDAY(A142,2)+1</x:f>
        <x:v>43955</x:v>
      </x:c>
      <x:c r="K142" s="1" t="n">
        <x:f>YEAR(J142+3)</x:f>
        <x:v>2020</x:v>
      </x:c>
      <x:c r="L142" s="1" t="n">
        <x:f>INT((J142-DATE(K142,1,4)+WEEKDAY(DATE(K142,1,4),2)-1)/7)+1</x:f>
        <x:v>19</x:v>
      </x:c>
      <x:c r="M142" s="1" t="str">
        <x:f>A142&amp;"|"&amp;B142</x:f>
        <x:v>43959|Казань</x:v>
      </x:c>
      <x:c r="N142" s="1" t="n">
        <x:f>COUNTIFS('Лист2'!$F$2:$F$505,M142)</x:f>
        <x:v>1</x:v>
      </x:c>
      <x:c r="O142" s="1"/>
      <x:c r="P142" s="1"/>
      <x:c r="Q142" s="1"/>
    </x:row>
    <x:row r="143" ht="21" customHeight="1">
      <x:c r="A143" s="5" t="n">
        <x:f>'Лист1'!A143</x:f>
        <x:v>43959</x:v>
      </x:c>
      <x:c r="B143" s="1" t="str">
        <x:f>'Лист1'!B143</x:f>
        <x:v>Кемерово</x:v>
      </x:c>
      <x:c r="C143" s="1" t="n">
        <x:f>'Лист1'!C143</x:f>
        <x:v>29409</x:v>
      </x:c>
      <x:c r="D143" s="6" t="n">
        <x:f>'Лист1'!D143</x:f>
        <x:v>2645160</x:v>
      </x:c>
      <x:c r="E143" s="6" t="n">
        <x:f>'Лист1'!E143</x:f>
        <x:v>2133443.3049999997</x:v>
      </x:c>
      <x:c r="F143" s="6" t="n">
        <x:f>'Лист1'!F143</x:f>
        <x:v>355537.44449230767</x:v>
      </x:c>
      <x:c r="G143" s="1" t="n">
        <x:f>IF(N143=1,SUMIFS('Лист2'!$C$2:$C$505,'Лист2'!$A$2:$A$505,A143,'Лист2'!$B$2:$B$505,B143),NA())</x:f>
        <x:v>21</x:v>
      </x:c>
      <x:c r="H143" s="1" t="n">
        <x:f>IF(N143=1,SUMIFS('Лист2'!$D$2:$D$505,'Лист2'!$A$2:$A$505,A143,'Лист2'!$B$2:$B$505,B143),NA())</x:f>
        <x:v>1646</x:v>
      </x:c>
      <x:c r="I143" s="1" t="n">
        <x:f>IF(N143=1,SUMIFS('Лист2'!$E$2:$E$505,'Лист2'!$A$2:$A$505,A143,'Лист2'!$B$2:$B$505,B143),NA())</x:f>
        <x:v>1492</x:v>
      </x:c>
      <x:c r="J143" s="5" t="n">
        <x:f>A143-WEEKDAY(A143,2)+1</x:f>
        <x:v>43955</x:v>
      </x:c>
      <x:c r="K143" s="1" t="n">
        <x:f>YEAR(J143+3)</x:f>
        <x:v>2020</x:v>
      </x:c>
      <x:c r="L143" s="1" t="n">
        <x:f>INT((J143-DATE(K143,1,4)+WEEKDAY(DATE(K143,1,4),2)-1)/7)+1</x:f>
        <x:v>19</x:v>
      </x:c>
      <x:c r="M143" s="1" t="str">
        <x:f>A143&amp;"|"&amp;B143</x:f>
        <x:v>43959|Кемерово</x:v>
      </x:c>
      <x:c r="N143" s="1" t="n">
        <x:f>COUNTIFS('Лист2'!$F$2:$F$505,M143)</x:f>
        <x:v>1</x:v>
      </x:c>
      <x:c r="O143" s="1"/>
      <x:c r="P143" s="1"/>
      <x:c r="Q143" s="1"/>
    </x:row>
    <x:row r="144" ht="21" customHeight="1">
      <x:c r="A144" s="5" t="n">
        <x:f>'Лист1'!A144</x:f>
        <x:v>43959</x:v>
      </x:c>
      <x:c r="B144" s="1" t="str">
        <x:f>'Лист1'!B144</x:f>
        <x:v>Краснодар</x:v>
      </x:c>
      <x:c r="C144" s="1" t="n">
        <x:f>'Лист1'!C144</x:f>
        <x:v>25020</x:v>
      </x:c>
      <x:c r="D144" s="6" t="n">
        <x:f>'Лист1'!D144</x:f>
        <x:v>2235960</x:v>
      </x:c>
      <x:c r="E144" s="6" t="n">
        <x:f>'Лист1'!E144</x:f>
        <x:v>1780335.608</x:v>
      </x:c>
      <x:c r="F144" s="6" t="n">
        <x:f>'Лист1'!F144</x:f>
        <x:v>140320.89928461539</x:v>
      </x:c>
      <x:c r="G144" s="1" t="n">
        <x:f>IF(N144=1,SUMIFS('Лист2'!$C$2:$C$505,'Лист2'!$A$2:$A$505,A144,'Лист2'!$B$2:$B$505,B144),NA())</x:f>
        <x:v>19</x:v>
      </x:c>
      <x:c r="H144" s="1" t="n">
        <x:f>IF(N144=1,SUMIFS('Лист2'!$D$2:$D$505,'Лист2'!$A$2:$A$505,A144,'Лист2'!$B$2:$B$505,B144),NA())</x:f>
        <x:v>1520</x:v>
      </x:c>
      <x:c r="I144" s="1" t="n">
        <x:f>IF(N144=1,SUMIFS('Лист2'!$E$2:$E$505,'Лист2'!$A$2:$A$505,A144,'Лист2'!$B$2:$B$505,B144),NA())</x:f>
        <x:v>1380</x:v>
      </x:c>
      <x:c r="J144" s="5" t="n">
        <x:f>A144-WEEKDAY(A144,2)+1</x:f>
        <x:v>43955</x:v>
      </x:c>
      <x:c r="K144" s="1" t="n">
        <x:f>YEAR(J144+3)</x:f>
        <x:v>2020</x:v>
      </x:c>
      <x:c r="L144" s="1" t="n">
        <x:f>INT((J144-DATE(K144,1,4)+WEEKDAY(DATE(K144,1,4),2)-1)/7)+1</x:f>
        <x:v>19</x:v>
      </x:c>
      <x:c r="M144" s="1" t="str">
        <x:f>A144&amp;"|"&amp;B144</x:f>
        <x:v>43959|Краснодар</x:v>
      </x:c>
      <x:c r="N144" s="1" t="n">
        <x:f>COUNTIFS('Лист2'!$F$2:$F$505,M144)</x:f>
        <x:v>1</x:v>
      </x:c>
      <x:c r="O144" s="1"/>
      <x:c r="P144" s="1"/>
      <x:c r="Q144" s="1"/>
    </x:row>
    <x:row r="145" ht="21" customHeight="1">
      <x:c r="A145" s="5" t="n">
        <x:f>'Лист1'!A145</x:f>
        <x:v>43959</x:v>
      </x:c>
      <x:c r="B145" s="1" t="str">
        <x:f>'Лист1'!B145</x:f>
        <x:v>Москва Восток</x:v>
      </x:c>
      <x:c r="C145" s="1" t="n">
        <x:f>'Лист1'!C145</x:f>
        <x:v>225076.5</x:v>
      </x:c>
      <x:c r="D145" s="6" t="n">
        <x:f>'Лист1'!D145</x:f>
        <x:v>22846078.5</x:v>
      </x:c>
      <x:c r="E145" s="6" t="n">
        <x:f>'Лист1'!E145</x:f>
        <x:v>16722171.227</x:v>
      </x:c>
      <x:c r="F145" s="6" t="n">
        <x:f>'Лист1'!F145</x:f>
        <x:v>479024.68461538455</x:v>
      </x:c>
      <x:c r="G145" s="1" t="n">
        <x:f>IF(N145=1,SUMIFS('Лист2'!$C$2:$C$505,'Лист2'!$A$2:$A$505,A145,'Лист2'!$B$2:$B$505,B145),NA())</x:f>
        <x:v>54</x:v>
      </x:c>
      <x:c r="H145" s="1" t="n">
        <x:f>IF(N145=1,SUMIFS('Лист2'!$D$2:$D$505,'Лист2'!$A$2:$A$505,A145,'Лист2'!$B$2:$B$505,B145),NA())</x:f>
        <x:v>13563</x:v>
      </x:c>
      <x:c r="I145" s="1" t="n">
        <x:f>IF(N145=1,SUMIFS('Лист2'!$E$2:$E$505,'Лист2'!$A$2:$A$505,A145,'Лист2'!$B$2:$B$505,B145),NA())</x:f>
        <x:v>12604</x:v>
      </x:c>
      <x:c r="J145" s="5" t="n">
        <x:f>A145-WEEKDAY(A145,2)+1</x:f>
        <x:v>43955</x:v>
      </x:c>
      <x:c r="K145" s="1" t="n">
        <x:f>YEAR(J145+3)</x:f>
        <x:v>2020</x:v>
      </x:c>
      <x:c r="L145" s="1" t="n">
        <x:f>INT((J145-DATE(K145,1,4)+WEEKDAY(DATE(K145,1,4),2)-1)/7)+1</x:f>
        <x:v>19</x:v>
      </x:c>
      <x:c r="M145" s="1" t="str">
        <x:f>A145&amp;"|"&amp;B145</x:f>
        <x:v>43959|Москва Восток</x:v>
      </x:c>
      <x:c r="N145" s="1" t="n">
        <x:f>COUNTIFS('Лист2'!$F$2:$F$505,M145)</x:f>
        <x:v>1</x:v>
      </x:c>
      <x:c r="O145" s="1"/>
      <x:c r="P145" s="1"/>
      <x:c r="Q145" s="1"/>
    </x:row>
    <x:row r="146" ht="21" customHeight="1">
      <x:c r="A146" s="5" t="n">
        <x:f>'Лист1'!A146</x:f>
        <x:v>43959</x:v>
      </x:c>
      <x:c r="B146" s="1" t="str">
        <x:f>'Лист1'!B146</x:f>
        <x:v>Москва Запад</x:v>
      </x:c>
      <x:c r="C146" s="1" t="n">
        <x:f>'Лист1'!C146</x:f>
        <x:v>232701</x:v>
      </x:c>
      <x:c r="D146" s="6" t="n">
        <x:f>'Лист1'!D146</x:f>
        <x:v>23881948.5</x:v>
      </x:c>
      <x:c r="E146" s="6" t="n">
        <x:f>'Лист1'!E146</x:f>
        <x:v>17462223.404</x:v>
      </x:c>
      <x:c r="F146" s="6" t="n">
        <x:f>'Лист1'!F146</x:f>
        <x:v>512464.9846153846</x:v>
      </x:c>
      <x:c r="G146" s="1" t="n">
        <x:f>IF(N146=1,SUMIFS('Лист2'!$C$2:$C$505,'Лист2'!$A$2:$A$505,A146,'Лист2'!$B$2:$B$505,B146),NA())</x:f>
        <x:v>59</x:v>
      </x:c>
      <x:c r="H146" s="1" t="n">
        <x:f>IF(N146=1,SUMIFS('Лист2'!$D$2:$D$505,'Лист2'!$A$2:$A$505,A146,'Лист2'!$B$2:$B$505,B146),NA())</x:f>
        <x:v>14098</x:v>
      </x:c>
      <x:c r="I146" s="1" t="n">
        <x:f>IF(N146=1,SUMIFS('Лист2'!$E$2:$E$505,'Лист2'!$A$2:$A$505,A146,'Лист2'!$B$2:$B$505,B146),NA())</x:f>
        <x:v>13106</x:v>
      </x:c>
      <x:c r="J146" s="5" t="n">
        <x:f>A146-WEEKDAY(A146,2)+1</x:f>
        <x:v>43955</x:v>
      </x:c>
      <x:c r="K146" s="1" t="n">
        <x:f>YEAR(J146+3)</x:f>
        <x:v>2020</x:v>
      </x:c>
      <x:c r="L146" s="1" t="n">
        <x:f>INT((J146-DATE(K146,1,4)+WEEKDAY(DATE(K146,1,4),2)-1)/7)+1</x:f>
        <x:v>19</x:v>
      </x:c>
      <x:c r="M146" s="1" t="str">
        <x:f>A146&amp;"|"&amp;B146</x:f>
        <x:v>43959|Москва Запад</x:v>
      </x:c>
      <x:c r="N146" s="1" t="n">
        <x:f>COUNTIFS('Лист2'!$F$2:$F$505,M146)</x:f>
        <x:v>1</x:v>
      </x:c>
      <x:c r="O146" s="1"/>
      <x:c r="P146" s="1"/>
      <x:c r="Q146" s="1"/>
    </x:row>
    <x:row r="147" ht="21" customHeight="1">
      <x:c r="A147" s="5" t="n">
        <x:f>'Лист1'!A147</x:f>
        <x:v>43959</x:v>
      </x:c>
      <x:c r="B147" s="1" t="str">
        <x:f>'Лист1'!B147</x:f>
        <x:v>Нижний Новгород</x:v>
      </x:c>
      <x:c r="C147" s="1" t="n">
        <x:f>'Лист1'!C147</x:f>
        <x:v>25294.5</x:v>
      </x:c>
      <x:c r="D147" s="6" t="n">
        <x:f>'Лист1'!D147</x:f>
        <x:v>2271454.5</x:v>
      </x:c>
      <x:c r="E147" s="6" t="n">
        <x:f>'Лист1'!E147</x:f>
        <x:v>1811009.8979999998</x:v>
      </x:c>
      <x:c r="F147" s="6" t="n">
        <x:f>'Лист1'!F147</x:f>
        <x:v>151659.17713846153</x:v>
      </x:c>
      <x:c r="G147" s="1" t="n">
        <x:f>IF(N147=1,SUMIFS('Лист2'!$C$2:$C$505,'Лист2'!$A$2:$A$505,A147,'Лист2'!$B$2:$B$505,B147),NA())</x:f>
        <x:v>19</x:v>
      </x:c>
      <x:c r="H147" s="1" t="n">
        <x:f>IF(N147=1,SUMIFS('Лист2'!$D$2:$D$505,'Лист2'!$A$2:$A$505,A147,'Лист2'!$B$2:$B$505,B147),NA())</x:f>
        <x:v>1522</x:v>
      </x:c>
      <x:c r="I147" s="1" t="n">
        <x:f>IF(N147=1,SUMIFS('Лист2'!$E$2:$E$505,'Лист2'!$A$2:$A$505,A147,'Лист2'!$B$2:$B$505,B147),NA())</x:f>
        <x:v>1340</x:v>
      </x:c>
      <x:c r="J147" s="5" t="n">
        <x:f>A147-WEEKDAY(A147,2)+1</x:f>
        <x:v>43955</x:v>
      </x:c>
      <x:c r="K147" s="1" t="n">
        <x:f>YEAR(J147+3)</x:f>
        <x:v>2020</x:v>
      </x:c>
      <x:c r="L147" s="1" t="n">
        <x:f>INT((J147-DATE(K147,1,4)+WEEKDAY(DATE(K147,1,4),2)-1)/7)+1</x:f>
        <x:v>19</x:v>
      </x:c>
      <x:c r="M147" s="1" t="str">
        <x:f>A147&amp;"|"&amp;B147</x:f>
        <x:v>43959|Нижний Новгород</x:v>
      </x:c>
      <x:c r="N147" s="1" t="n">
        <x:f>COUNTIFS('Лист2'!$F$2:$F$505,M147)</x:f>
        <x:v>1</x:v>
      </x:c>
      <x:c r="O147" s="1"/>
      <x:c r="P147" s="1"/>
      <x:c r="Q147" s="1"/>
    </x:row>
    <x:row r="148" ht="21" customHeight="1">
      <x:c r="A148" s="5" t="n">
        <x:f>'Лист1'!A148</x:f>
        <x:v>43959</x:v>
      </x:c>
      <x:c r="B148" s="1" t="str">
        <x:f>'Лист1'!B148</x:f>
        <x:v>Новосибирск</x:v>
      </x:c>
      <x:c r="C148" s="1" t="n">
        <x:f>'Лист1'!C148</x:f>
        <x:v>12976.5</x:v>
      </x:c>
      <x:c r="D148" s="6" t="n">
        <x:f>'Лист1'!D148</x:f>
        <x:v>1046848.5</x:v>
      </x:c>
      <x:c r="E148" s="6" t="n">
        <x:f>'Лист1'!E148</x:f>
        <x:v>892743.7459999999</x:v>
      </x:c>
      <x:c r="F148" s="6" t="n">
        <x:f>'Лист1'!F148</x:f>
        <x:v>396844.24095384614</x:v>
      </x:c>
      <x:c r="G148" s="1" t="n">
        <x:f>IF(N148=1,SUMIFS('Лист2'!$C$2:$C$505,'Лист2'!$A$2:$A$505,A148,'Лист2'!$B$2:$B$505,B148),NA())</x:f>
        <x:v>15</x:v>
      </x:c>
      <x:c r="H148" s="1" t="n">
        <x:f>IF(N148=1,SUMIFS('Лист2'!$D$2:$D$505,'Лист2'!$A$2:$A$505,A148,'Лист2'!$B$2:$B$505,B148),NA())</x:f>
        <x:v>703</x:v>
      </x:c>
      <x:c r="I148" s="1" t="n">
        <x:f>IF(N148=1,SUMIFS('Лист2'!$E$2:$E$505,'Лист2'!$A$2:$A$505,A148,'Лист2'!$B$2:$B$505,B148),NA())</x:f>
        <x:v>609</x:v>
      </x:c>
      <x:c r="J148" s="5" t="n">
        <x:f>A148-WEEKDAY(A148,2)+1</x:f>
        <x:v>43955</x:v>
      </x:c>
      <x:c r="K148" s="1" t="n">
        <x:f>YEAR(J148+3)</x:f>
        <x:v>2020</x:v>
      </x:c>
      <x:c r="L148" s="1" t="n">
        <x:f>INT((J148-DATE(K148,1,4)+WEEKDAY(DATE(K148,1,4),2)-1)/7)+1</x:f>
        <x:v>19</x:v>
      </x:c>
      <x:c r="M148" s="1" t="str">
        <x:f>A148&amp;"|"&amp;B148</x:f>
        <x:v>43959|Новосибирск</x:v>
      </x:c>
      <x:c r="N148" s="1" t="n">
        <x:f>COUNTIFS('Лист2'!$F$2:$F$505,M148)</x:f>
        <x:v>1</x:v>
      </x:c>
      <x:c r="O148" s="1"/>
      <x:c r="P148" s="1"/>
      <x:c r="Q148" s="1"/>
    </x:row>
    <x:row r="149" ht="21" customHeight="1">
      <x:c r="A149" s="5" t="n">
        <x:f>'Лист1'!A149</x:f>
        <x:v>43959</x:v>
      </x:c>
      <x:c r="B149" s="1" t="str">
        <x:f>'Лист1'!B149</x:f>
        <x:v>Пермь</x:v>
      </x:c>
      <x:c r="C149" s="1" t="n">
        <x:f>'Лист1'!C149</x:f>
        <x:v>14494.5</x:v>
      </x:c>
      <x:c r="D149" s="6" t="n">
        <x:f>'Лист1'!D149</x:f>
        <x:v>1269786</x:v>
      </x:c>
      <x:c r="E149" s="6" t="n">
        <x:f>'Лист1'!E149</x:f>
        <x:v>1018857.6680000001</x:v>
      </x:c>
      <x:c r="F149" s="6" t="n">
        <x:f>'Лист1'!F149</x:f>
        <x:v>197493.53076923077</x:v>
      </x:c>
      <x:c r="G149" s="1" t="n">
        <x:f>IF(N149=1,SUMIFS('Лист2'!$C$2:$C$505,'Лист2'!$A$2:$A$505,A149,'Лист2'!$B$2:$B$505,B149),NA())</x:f>
        <x:v>15</x:v>
      </x:c>
      <x:c r="H149" s="1" t="n">
        <x:f>IF(N149=1,SUMIFS('Лист2'!$D$2:$D$505,'Лист2'!$A$2:$A$505,A149,'Лист2'!$B$2:$B$505,B149),NA())</x:f>
        <x:v>879</x:v>
      </x:c>
      <x:c r="I149" s="1" t="n">
        <x:f>IF(N149=1,SUMIFS('Лист2'!$E$2:$E$505,'Лист2'!$A$2:$A$505,A149,'Лист2'!$B$2:$B$505,B149),NA())</x:f>
        <x:v>768</x:v>
      </x:c>
      <x:c r="J149" s="5" t="n">
        <x:f>A149-WEEKDAY(A149,2)+1</x:f>
        <x:v>43955</x:v>
      </x:c>
      <x:c r="K149" s="1" t="n">
        <x:f>YEAR(J149+3)</x:f>
        <x:v>2020</x:v>
      </x:c>
      <x:c r="L149" s="1" t="n">
        <x:f>INT((J149-DATE(K149,1,4)+WEEKDAY(DATE(K149,1,4),2)-1)/7)+1</x:f>
        <x:v>19</x:v>
      </x:c>
      <x:c r="M149" s="1" t="str">
        <x:f>A149&amp;"|"&amp;B149</x:f>
        <x:v>43959|Пермь</x:v>
      </x:c>
      <x:c r="N149" s="1" t="n">
        <x:f>COUNTIFS('Лист2'!$F$2:$F$505,M149)</x:f>
        <x:v>1</x:v>
      </x:c>
      <x:c r="O149" s="1"/>
      <x:c r="P149" s="1"/>
      <x:c r="Q149" s="1"/>
    </x:row>
    <x:row r="150" ht="21" customHeight="1">
      <x:c r="A150" s="5" t="n">
        <x:f>'Лист1'!A150</x:f>
        <x:v>43959</x:v>
      </x:c>
      <x:c r="B150" s="1" t="str">
        <x:f>'Лист1'!B150</x:f>
        <x:v>Ростов-на-Дону</x:v>
      </x:c>
      <x:c r="C150" s="1" t="n">
        <x:f>'Лист1'!C150</x:f>
        <x:v>9058.5</x:v>
      </x:c>
      <x:c r="D150" s="6" t="n">
        <x:f>'Лист1'!D150</x:f>
        <x:v>798759</x:v>
      </x:c>
      <x:c r="E150" s="6" t="n">
        <x:f>'Лист1'!E150</x:f>
        <x:v>669115.9369999999</x:v>
      </x:c>
      <x:c r="F150" s="6" t="n">
        <x:f>'Лист1'!F150</x:f>
        <x:v>171987.47030000002</x:v>
      </x:c>
      <x:c r="G150" s="1" t="n">
        <x:f>IF(N150=1,SUMIFS('Лист2'!$C$2:$C$505,'Лист2'!$A$2:$A$505,A150,'Лист2'!$B$2:$B$505,B150),NA())</x:f>
        <x:v>15</x:v>
      </x:c>
      <x:c r="H150" s="1" t="n">
        <x:f>IF(N150=1,SUMIFS('Лист2'!$D$2:$D$505,'Лист2'!$A$2:$A$505,A150,'Лист2'!$B$2:$B$505,B150),NA())</x:f>
        <x:v>492</x:v>
      </x:c>
      <x:c r="I150" s="1" t="n">
        <x:f>IF(N150=1,SUMIFS('Лист2'!$E$2:$E$505,'Лист2'!$A$2:$A$505,A150,'Лист2'!$B$2:$B$505,B150),NA())</x:f>
        <x:v>412</x:v>
      </x:c>
      <x:c r="J150" s="5" t="n">
        <x:f>A150-WEEKDAY(A150,2)+1</x:f>
        <x:v>43955</x:v>
      </x:c>
      <x:c r="K150" s="1" t="n">
        <x:f>YEAR(J150+3)</x:f>
        <x:v>2020</x:v>
      </x:c>
      <x:c r="L150" s="1" t="n">
        <x:f>INT((J150-DATE(K150,1,4)+WEEKDAY(DATE(K150,1,4),2)-1)/7)+1</x:f>
        <x:v>19</x:v>
      </x:c>
      <x:c r="M150" s="1" t="str">
        <x:f>A150&amp;"|"&amp;B150</x:f>
        <x:v>43959|Ростов-на-Дону</x:v>
      </x:c>
      <x:c r="N150" s="1" t="n">
        <x:f>COUNTIFS('Лист2'!$F$2:$F$505,M150)</x:f>
        <x:v>1</x:v>
      </x:c>
      <x:c r="O150" s="1"/>
      <x:c r="P150" s="1"/>
      <x:c r="Q150" s="1"/>
    </x:row>
    <x:row r="151" ht="21" customHeight="1">
      <x:c r="A151" s="5" t="n">
        <x:f>'Лист1'!A151</x:f>
        <x:v>43959</x:v>
      </x:c>
      <x:c r="B151" s="1" t="str">
        <x:f>'Лист1'!B151</x:f>
        <x:v>Санкт-Петербург Север</x:v>
      </x:c>
      <x:c r="C151" s="1" t="n">
        <x:f>'Лист1'!C151</x:f>
        <x:v>463530</x:v>
      </x:c>
      <x:c r="D151" s="6" t="n">
        <x:f>'Лист1'!D151</x:f>
        <x:v>49123180.5</x:v>
      </x:c>
      <x:c r="E151" s="6" t="n">
        <x:f>'Лист1'!E151</x:f>
        <x:v>36012087.989</x:v>
      </x:c>
      <x:c r="F151" s="6" t="n">
        <x:f>'Лист1'!F151</x:f>
        <x:v>700442.1153769231</x:v>
      </x:c>
      <x:c r="G151" s="1" t="n">
        <x:f>IF(N151=1,SUMIFS('Лист2'!$C$2:$C$505,'Лист2'!$A$2:$A$505,A151,'Лист2'!$B$2:$B$505,B151),NA())</x:f>
        <x:v>125</x:v>
      </x:c>
      <x:c r="H151" s="1" t="n">
        <x:f>IF(N151=1,SUMIFS('Лист2'!$D$2:$D$505,'Лист2'!$A$2:$A$505,A151,'Лист2'!$B$2:$B$505,B151),NA())</x:f>
        <x:v>24620</x:v>
      </x:c>
      <x:c r="I151" s="1" t="n">
        <x:f>IF(N151=1,SUMIFS('Лист2'!$E$2:$E$505,'Лист2'!$A$2:$A$505,A151,'Лист2'!$B$2:$B$505,B151),NA())</x:f>
        <x:v>22641</x:v>
      </x:c>
      <x:c r="J151" s="5" t="n">
        <x:f>A151-WEEKDAY(A151,2)+1</x:f>
        <x:v>43955</x:v>
      </x:c>
      <x:c r="K151" s="1" t="n">
        <x:f>YEAR(J151+3)</x:f>
        <x:v>2020</x:v>
      </x:c>
      <x:c r="L151" s="1" t="n">
        <x:f>INT((J151-DATE(K151,1,4)+WEEKDAY(DATE(K151,1,4),2)-1)/7)+1</x:f>
        <x:v>19</x:v>
      </x:c>
      <x:c r="M151" s="1" t="str">
        <x:f>A151&amp;"|"&amp;B151</x:f>
        <x:v>43959|Санкт-Петербург Север</x:v>
      </x:c>
      <x:c r="N151" s="1" t="n">
        <x:f>COUNTIFS('Лист2'!$F$2:$F$505,M151)</x:f>
        <x:v>1</x:v>
      </x:c>
      <x:c r="O151" s="1"/>
      <x:c r="P151" s="1"/>
      <x:c r="Q151" s="1"/>
    </x:row>
    <x:row r="152" ht="21" customHeight="1">
      <x:c r="A152" s="5" t="n">
        <x:f>'Лист1'!A152</x:f>
        <x:v>43959</x:v>
      </x:c>
      <x:c r="B152" s="1" t="str">
        <x:f>'Лист1'!B152</x:f>
        <x:v>Санкт-Петербург Юг</x:v>
      </x:c>
      <x:c r="C152" s="1" t="n">
        <x:f>'Лист1'!C152</x:f>
        <x:v>370092</x:v>
      </x:c>
      <x:c r="D152" s="6" t="n">
        <x:f>'Лист1'!D152</x:f>
        <x:v>38091556.5</x:v>
      </x:c>
      <x:c r="E152" s="6" t="n">
        <x:f>'Лист1'!E152</x:f>
        <x:v>28012065.349999998</x:v>
      </x:c>
      <x:c r="F152" s="6" t="n">
        <x:f>'Лист1'!F152</x:f>
        <x:v>725212.9959230769</x:v>
      </x:c>
      <x:c r="G152" s="1" t="n">
        <x:f>IF(N152=1,SUMIFS('Лист2'!$C$2:$C$505,'Лист2'!$A$2:$A$505,A152,'Лист2'!$B$2:$B$505,B152),NA())</x:f>
        <x:v>129</x:v>
      </x:c>
      <x:c r="H152" s="1" t="n">
        <x:f>IF(N152=1,SUMIFS('Лист2'!$D$2:$D$505,'Лист2'!$A$2:$A$505,A152,'Лист2'!$B$2:$B$505,B152),NA())</x:f>
        <x:v>20452</x:v>
      </x:c>
      <x:c r="I152" s="1" t="n">
        <x:f>IF(N152=1,SUMIFS('Лист2'!$E$2:$E$505,'Лист2'!$A$2:$A$505,A152,'Лист2'!$B$2:$B$505,B152),NA())</x:f>
        <x:v>18857</x:v>
      </x:c>
      <x:c r="J152" s="5" t="n">
        <x:f>A152-WEEKDAY(A152,2)+1</x:f>
        <x:v>43955</x:v>
      </x:c>
      <x:c r="K152" s="1" t="n">
        <x:f>YEAR(J152+3)</x:f>
        <x:v>2020</x:v>
      </x:c>
      <x:c r="L152" s="1" t="n">
        <x:f>INT((J152-DATE(K152,1,4)+WEEKDAY(DATE(K152,1,4),2)-1)/7)+1</x:f>
        <x:v>19</x:v>
      </x:c>
      <x:c r="M152" s="1" t="str">
        <x:f>A152&amp;"|"&amp;B152</x:f>
        <x:v>43959|Санкт-Петербург Юг</x:v>
      </x:c>
      <x:c r="N152" s="1" t="n">
        <x:f>COUNTIFS('Лист2'!$F$2:$F$505,M152)</x:f>
        <x:v>1</x:v>
      </x:c>
      <x:c r="O152" s="1"/>
      <x:c r="P152" s="1"/>
      <x:c r="Q152" s="1"/>
    </x:row>
    <x:row r="153" ht="21" customHeight="1">
      <x:c r="A153" s="5" t="n">
        <x:f>'Лист1'!A153</x:f>
        <x:v>43959</x:v>
      </x:c>
      <x:c r="B153" s="1" t="str">
        <x:f>'Лист1'!B153</x:f>
        <x:v>Тольятти</x:v>
      </x:c>
      <x:c r="C153" s="1" t="n">
        <x:f>'Лист1'!C153</x:f>
        <x:v>12528</x:v>
      </x:c>
      <x:c r="D153" s="6" t="n">
        <x:f>'Лист1'!D153</x:f>
        <x:v>959703</x:v>
      </x:c>
      <x:c r="E153" s="6" t="n">
        <x:f>'Лист1'!E153</x:f>
        <x:v>861486.475</x:v>
      </x:c>
      <x:c r="F153" s="6" t="n">
        <x:f>'Лист1'!F153</x:f>
        <x:v>87212.13076923077</x:v>
      </x:c>
      <x:c r="G153" s="1" t="n">
        <x:f>IF(N153=1,SUMIFS('Лист2'!$C$2:$C$505,'Лист2'!$A$2:$A$505,A153,'Лист2'!$B$2:$B$505,B153),NA())</x:f>
        <x:v>10</x:v>
      </x:c>
      <x:c r="H153" s="1" t="n">
        <x:f>IF(N153=1,SUMIFS('Лист2'!$D$2:$D$505,'Лист2'!$A$2:$A$505,A153,'Лист2'!$B$2:$B$505,B153),NA())</x:f>
        <x:v>638</x:v>
      </x:c>
      <x:c r="I153" s="1" t="n">
        <x:f>IF(N153=1,SUMIFS('Лист2'!$E$2:$E$505,'Лист2'!$A$2:$A$505,A153,'Лист2'!$B$2:$B$505,B153),NA())</x:f>
        <x:v>547</x:v>
      </x:c>
      <x:c r="J153" s="5" t="n">
        <x:f>A153-WEEKDAY(A153,2)+1</x:f>
        <x:v>43955</x:v>
      </x:c>
      <x:c r="K153" s="1" t="n">
        <x:f>YEAR(J153+3)</x:f>
        <x:v>2020</x:v>
      </x:c>
      <x:c r="L153" s="1" t="n">
        <x:f>INT((J153-DATE(K153,1,4)+WEEKDAY(DATE(K153,1,4),2)-1)/7)+1</x:f>
        <x:v>19</x:v>
      </x:c>
      <x:c r="M153" s="1" t="str">
        <x:f>A153&amp;"|"&amp;B153</x:f>
        <x:v>43959|Тольятти</x:v>
      </x:c>
      <x:c r="N153" s="1" t="n">
        <x:f>COUNTIFS('Лист2'!$F$2:$F$505,M153)</x:f>
        <x:v>1</x:v>
      </x:c>
      <x:c r="O153" s="1"/>
      <x:c r="P153" s="1"/>
      <x:c r="Q153" s="1"/>
    </x:row>
    <x:row r="154" ht="21" customHeight="1">
      <x:c r="A154" s="5" t="n">
        <x:f>'Лист1'!A154</x:f>
        <x:v>43960</x:v>
      </x:c>
      <x:c r="B154" s="1" t="str">
        <x:f>'Лист1'!B154</x:f>
        <x:v>Волгоград</x:v>
      </x:c>
      <x:c r="C154" s="1" t="n">
        <x:f>'Лист1'!C154</x:f>
        <x:v>83373</x:v>
      </x:c>
      <x:c r="D154" s="6" t="n">
        <x:f>'Лист1'!D154</x:f>
        <x:v>7253427</x:v>
      </x:c>
      <x:c r="E154" s="6" t="n">
        <x:f>'Лист1'!E154</x:f>
        <x:v>5531366.381</x:v>
      </x:c>
      <x:c r="F154" s="6" t="n">
        <x:f>'Лист1'!F154</x:f>
        <x:v>221053.87967692307</x:v>
      </x:c>
      <x:c r="G154" s="1" t="n">
        <x:f>IF(N154=1,SUMIFS('Лист2'!$C$2:$C$505,'Лист2'!$A$2:$A$505,A154,'Лист2'!$B$2:$B$505,B154),NA())</x:f>
        <x:v>36</x:v>
      </x:c>
      <x:c r="H154" s="1" t="n">
        <x:f>IF(N154=1,SUMIFS('Лист2'!$D$2:$D$505,'Лист2'!$A$2:$A$505,A154,'Лист2'!$B$2:$B$505,B154),NA())</x:f>
        <x:v>5413</x:v>
      </x:c>
      <x:c r="I154" s="1" t="n">
        <x:f>IF(N154=1,SUMIFS('Лист2'!$E$2:$E$505,'Лист2'!$A$2:$A$505,A154,'Лист2'!$B$2:$B$505,B154),NA())</x:f>
        <x:v>4959</x:v>
      </x:c>
      <x:c r="J154" s="5" t="n">
        <x:f>A154-WEEKDAY(A154,2)+1</x:f>
        <x:v>43955</x:v>
      </x:c>
      <x:c r="K154" s="1" t="n">
        <x:f>YEAR(J154+3)</x:f>
        <x:v>2020</x:v>
      </x:c>
      <x:c r="L154" s="1" t="n">
        <x:f>INT((J154-DATE(K154,1,4)+WEEKDAY(DATE(K154,1,4),2)-1)/7)+1</x:f>
        <x:v>19</x:v>
      </x:c>
      <x:c r="M154" s="1" t="str">
        <x:f>A154&amp;"|"&amp;B154</x:f>
        <x:v>43960|Волгоград</x:v>
      </x:c>
      <x:c r="N154" s="1" t="n">
        <x:f>COUNTIFS('Лист2'!$F$2:$F$505,M154)</x:f>
        <x:v>1</x:v>
      </x:c>
      <x:c r="O154" s="1"/>
      <x:c r="P154" s="1"/>
      <x:c r="Q154" s="1"/>
    </x:row>
    <x:row r="155" ht="21" customHeight="1">
      <x:c r="A155" s="5" t="n">
        <x:f>'Лист1'!A155</x:f>
        <x:v>43960</x:v>
      </x:c>
      <x:c r="B155" s="1" t="str">
        <x:f>'Лист1'!B155</x:f>
        <x:v>Екатеринбург</x:v>
      </x:c>
      <x:c r="C155" s="1" t="n">
        <x:f>'Лист1'!C155</x:f>
        <x:v>69720</x:v>
      </x:c>
      <x:c r="D155" s="6" t="n">
        <x:f>'Лист1'!D155</x:f>
        <x:v>6264933</x:v>
      </x:c>
      <x:c r="E155" s="6" t="n">
        <x:f>'Лист1'!E155</x:f>
        <x:v>4726931.9569999995</x:v>
      </x:c>
      <x:c r="F155" s="6" t="n">
        <x:f>'Лист1'!F155</x:f>
        <x:v>294634.3553076923</x:v>
      </x:c>
      <x:c r="G155" s="1" t="n">
        <x:f>IF(N155=1,SUMIFS('Лист2'!$C$2:$C$505,'Лист2'!$A$2:$A$505,A155,'Лист2'!$B$2:$B$505,B155),NA())</x:f>
        <x:v>31</x:v>
      </x:c>
      <x:c r="H155" s="1" t="n">
        <x:f>IF(N155=1,SUMIFS('Лист2'!$D$2:$D$505,'Лист2'!$A$2:$A$505,A155,'Лист2'!$B$2:$B$505,B155),NA())</x:f>
        <x:v>4556</x:v>
      </x:c>
      <x:c r="I155" s="1" t="n">
        <x:f>IF(N155=1,SUMIFS('Лист2'!$E$2:$E$505,'Лист2'!$A$2:$A$505,A155,'Лист2'!$B$2:$B$505,B155),NA())</x:f>
        <x:v>4220</x:v>
      </x:c>
      <x:c r="J155" s="5" t="n">
        <x:f>A155-WEEKDAY(A155,2)+1</x:f>
        <x:v>43955</x:v>
      </x:c>
      <x:c r="K155" s="1" t="n">
        <x:f>YEAR(J155+3)</x:f>
        <x:v>2020</x:v>
      </x:c>
      <x:c r="L155" s="1" t="n">
        <x:f>INT((J155-DATE(K155,1,4)+WEEKDAY(DATE(K155,1,4),2)-1)/7)+1</x:f>
        <x:v>19</x:v>
      </x:c>
      <x:c r="M155" s="1" t="str">
        <x:f>A155&amp;"|"&amp;B155</x:f>
        <x:v>43960|Екатеринбург</x:v>
      </x:c>
      <x:c r="N155" s="1" t="n">
        <x:f>COUNTIFS('Лист2'!$F$2:$F$505,M155)</x:f>
        <x:v>1</x:v>
      </x:c>
      <x:c r="O155" s="1"/>
      <x:c r="P155" s="1"/>
      <x:c r="Q155" s="1"/>
    </x:row>
    <x:row r="156" ht="21" customHeight="1">
      <x:c r="A156" s="5" t="n">
        <x:f>'Лист1'!A156</x:f>
        <x:v>43960</x:v>
      </x:c>
      <x:c r="B156" s="1" t="str">
        <x:f>'Лист1'!B156</x:f>
        <x:v>Казань</x:v>
      </x:c>
      <x:c r="C156" s="1" t="n">
        <x:f>'Лист1'!C156</x:f>
        <x:v>32239.5</x:v>
      </x:c>
      <x:c r="D156" s="6" t="n">
        <x:f>'Лист1'!D156</x:f>
        <x:v>3084892.5</x:v>
      </x:c>
      <x:c r="E156" s="6" t="n">
        <x:f>'Лист1'!E156</x:f>
        <x:v>2384575.363</x:v>
      </x:c>
      <x:c r="F156" s="6" t="n">
        <x:f>'Лист1'!F156</x:f>
        <x:v>184346.05176923078</x:v>
      </x:c>
      <x:c r="G156" s="1" t="n">
        <x:f>IF(N156=1,SUMIFS('Лист2'!$C$2:$C$505,'Лист2'!$A$2:$A$505,A156,'Лист2'!$B$2:$B$505,B156),NA())</x:f>
        <x:v>21</x:v>
      </x:c>
      <x:c r="H156" s="1" t="n">
        <x:f>IF(N156=1,SUMIFS('Лист2'!$D$2:$D$505,'Лист2'!$A$2:$A$505,A156,'Лист2'!$B$2:$B$505,B156),NA())</x:f>
        <x:v>1891</x:v>
      </x:c>
      <x:c r="I156" s="1" t="n">
        <x:f>IF(N156=1,SUMIFS('Лист2'!$E$2:$E$505,'Лист2'!$A$2:$A$505,A156,'Лист2'!$B$2:$B$505,B156),NA())</x:f>
        <x:v>1709</x:v>
      </x:c>
      <x:c r="J156" s="5" t="n">
        <x:f>A156-WEEKDAY(A156,2)+1</x:f>
        <x:v>43955</x:v>
      </x:c>
      <x:c r="K156" s="1" t="n">
        <x:f>YEAR(J156+3)</x:f>
        <x:v>2020</x:v>
      </x:c>
      <x:c r="L156" s="1" t="n">
        <x:f>INT((J156-DATE(K156,1,4)+WEEKDAY(DATE(K156,1,4),2)-1)/7)+1</x:f>
        <x:v>19</x:v>
      </x:c>
      <x:c r="M156" s="1" t="str">
        <x:f>A156&amp;"|"&amp;B156</x:f>
        <x:v>43960|Казань</x:v>
      </x:c>
      <x:c r="N156" s="1" t="n">
        <x:f>COUNTIFS('Лист2'!$F$2:$F$505,M156)</x:f>
        <x:v>1</x:v>
      </x:c>
      <x:c r="O156" s="1"/>
      <x:c r="P156" s="1"/>
      <x:c r="Q156" s="1"/>
    </x:row>
    <x:row r="157" ht="21" customHeight="1">
      <x:c r="A157" s="5" t="n">
        <x:f>'Лист1'!A157</x:f>
        <x:v>43960</x:v>
      </x:c>
      <x:c r="B157" s="1" t="str">
        <x:f>'Лист1'!B157</x:f>
        <x:v>Кемерово</x:v>
      </x:c>
      <x:c r="C157" s="1" t="n">
        <x:f>'Лист1'!C157</x:f>
        <x:v>31147.5</x:v>
      </x:c>
      <x:c r="D157" s="6" t="n">
        <x:f>'Лист1'!D157</x:f>
        <x:v>2831019</x:v>
      </x:c>
      <x:c r="E157" s="6" t="n">
        <x:f>'Лист1'!E157</x:f>
        <x:v>2261296.276</x:v>
      </x:c>
      <x:c r="F157" s="6" t="n">
        <x:f>'Лист1'!F157</x:f>
        <x:v>225845</x:v>
      </x:c>
      <x:c r="G157" s="1" t="n">
        <x:f>IF(N157=1,SUMIFS('Лист2'!$C$2:$C$505,'Лист2'!$A$2:$A$505,A157,'Лист2'!$B$2:$B$505,B157),NA())</x:f>
        <x:v>21</x:v>
      </x:c>
      <x:c r="H157" s="1" t="n">
        <x:f>IF(N157=1,SUMIFS('Лист2'!$D$2:$D$505,'Лист2'!$A$2:$A$505,A157,'Лист2'!$B$2:$B$505,B157),NA())</x:f>
        <x:v>1735</x:v>
      </x:c>
      <x:c r="I157" s="1" t="n">
        <x:f>IF(N157=1,SUMIFS('Лист2'!$E$2:$E$505,'Лист2'!$A$2:$A$505,A157,'Лист2'!$B$2:$B$505,B157),NA())</x:f>
        <x:v>1568</x:v>
      </x:c>
      <x:c r="J157" s="5" t="n">
        <x:f>A157-WEEKDAY(A157,2)+1</x:f>
        <x:v>43955</x:v>
      </x:c>
      <x:c r="K157" s="1" t="n">
        <x:f>YEAR(J157+3)</x:f>
        <x:v>2020</x:v>
      </x:c>
      <x:c r="L157" s="1" t="n">
        <x:f>INT((J157-DATE(K157,1,4)+WEEKDAY(DATE(K157,1,4),2)-1)/7)+1</x:f>
        <x:v>19</x:v>
      </x:c>
      <x:c r="M157" s="1" t="str">
        <x:f>A157&amp;"|"&amp;B157</x:f>
        <x:v>43960|Кемерово</x:v>
      </x:c>
      <x:c r="N157" s="1" t="n">
        <x:f>COUNTIFS('Лист2'!$F$2:$F$505,M157)</x:f>
        <x:v>1</x:v>
      </x:c>
      <x:c r="O157" s="1"/>
      <x:c r="P157" s="1"/>
      <x:c r="Q157" s="1"/>
    </x:row>
    <x:row r="158" ht="21" customHeight="1">
      <x:c r="A158" s="5" t="n">
        <x:f>'Лист1'!A158</x:f>
        <x:v>43960</x:v>
      </x:c>
      <x:c r="B158" s="1" t="str">
        <x:f>'Лист1'!B158</x:f>
        <x:v>Краснодар</x:v>
      </x:c>
      <x:c r="C158" s="1" t="n">
        <x:f>'Лист1'!C158</x:f>
        <x:v>26271</x:v>
      </x:c>
      <x:c r="D158" s="6" t="n">
        <x:f>'Лист1'!D158</x:f>
        <x:v>2384937</x:v>
      </x:c>
      <x:c r="E158" s="6" t="n">
        <x:f>'Лист1'!E158</x:f>
        <x:v>1880070.5110000002</x:v>
      </x:c>
      <x:c r="F158" s="6" t="n">
        <x:f>'Лист1'!F158</x:f>
        <x:v>141472.14615384614</x:v>
      </x:c>
      <x:c r="G158" s="1" t="n">
        <x:f>IF(N158=1,SUMIFS('Лист2'!$C$2:$C$505,'Лист2'!$A$2:$A$505,A158,'Лист2'!$B$2:$B$505,B158),NA())</x:f>
        <x:v>19</x:v>
      </x:c>
      <x:c r="H158" s="1" t="n">
        <x:f>IF(N158=1,SUMIFS('Лист2'!$D$2:$D$505,'Лист2'!$A$2:$A$505,A158,'Лист2'!$B$2:$B$505,B158),NA())</x:f>
        <x:v>1542</x:v>
      </x:c>
      <x:c r="I158" s="1" t="n">
        <x:f>IF(N158=1,SUMIFS('Лист2'!$E$2:$E$505,'Лист2'!$A$2:$A$505,A158,'Лист2'!$B$2:$B$505,B158),NA())</x:f>
        <x:v>1412</x:v>
      </x:c>
      <x:c r="J158" s="5" t="n">
        <x:f>A158-WEEKDAY(A158,2)+1</x:f>
        <x:v>43955</x:v>
      </x:c>
      <x:c r="K158" s="1" t="n">
        <x:f>YEAR(J158+3)</x:f>
        <x:v>2020</x:v>
      </x:c>
      <x:c r="L158" s="1" t="n">
        <x:f>INT((J158-DATE(K158,1,4)+WEEKDAY(DATE(K158,1,4),2)-1)/7)+1</x:f>
        <x:v>19</x:v>
      </x:c>
      <x:c r="M158" s="1" t="str">
        <x:f>A158&amp;"|"&amp;B158</x:f>
        <x:v>43960|Краснодар</x:v>
      </x:c>
      <x:c r="N158" s="1" t="n">
        <x:f>COUNTIFS('Лист2'!$F$2:$F$505,M158)</x:f>
        <x:v>1</x:v>
      </x:c>
      <x:c r="O158" s="1"/>
      <x:c r="P158" s="1"/>
      <x:c r="Q158" s="1"/>
    </x:row>
    <x:row r="159" ht="21" customHeight="1">
      <x:c r="A159" s="5" t="n">
        <x:f>'Лист1'!A159</x:f>
        <x:v>43960</x:v>
      </x:c>
      <x:c r="B159" s="1" t="str">
        <x:f>'Лист1'!B159</x:f>
        <x:v>Москва Восток</x:v>
      </x:c>
      <x:c r="C159" s="1" t="n">
        <x:f>'Лист1'!C159</x:f>
        <x:v>177976.5</x:v>
      </x:c>
      <x:c r="D159" s="6" t="n">
        <x:f>'Лист1'!D159</x:f>
        <x:v>18085798.5</x:v>
      </x:c>
      <x:c r="E159" s="6" t="n">
        <x:f>'Лист1'!E159</x:f>
        <x:v>13150397.668</x:v>
      </x:c>
      <x:c r="F159" s="6" t="n">
        <x:f>'Лист1'!F159</x:f>
        <x:v>444057.733476923</x:v>
      </x:c>
      <x:c r="G159" s="1" t="n">
        <x:f>IF(N159=1,SUMIFS('Лист2'!$C$2:$C$505,'Лист2'!$A$2:$A$505,A159,'Лист2'!$B$2:$B$505,B159),NA())</x:f>
        <x:v>54</x:v>
      </x:c>
      <x:c r="H159" s="1" t="n">
        <x:f>IF(N159=1,SUMIFS('Лист2'!$D$2:$D$505,'Лист2'!$A$2:$A$505,A159,'Лист2'!$B$2:$B$505,B159),NA())</x:f>
        <x:v>11288</x:v>
      </x:c>
      <x:c r="I159" s="1" t="n">
        <x:f>IF(N159=1,SUMIFS('Лист2'!$E$2:$E$505,'Лист2'!$A$2:$A$505,A159,'Лист2'!$B$2:$B$505,B159),NA())</x:f>
        <x:v>10492</x:v>
      </x:c>
      <x:c r="J159" s="5" t="n">
        <x:f>A159-WEEKDAY(A159,2)+1</x:f>
        <x:v>43955</x:v>
      </x:c>
      <x:c r="K159" s="1" t="n">
        <x:f>YEAR(J159+3)</x:f>
        <x:v>2020</x:v>
      </x:c>
      <x:c r="L159" s="1" t="n">
        <x:f>INT((J159-DATE(K159,1,4)+WEEKDAY(DATE(K159,1,4),2)-1)/7)+1</x:f>
        <x:v>19</x:v>
      </x:c>
      <x:c r="M159" s="1" t="str">
        <x:f>A159&amp;"|"&amp;B159</x:f>
        <x:v>43960|Москва Восток</x:v>
      </x:c>
      <x:c r="N159" s="1" t="n">
        <x:f>COUNTIFS('Лист2'!$F$2:$F$505,M159)</x:f>
        <x:v>1</x:v>
      </x:c>
      <x:c r="O159" s="1"/>
      <x:c r="P159" s="1"/>
      <x:c r="Q159" s="1"/>
    </x:row>
    <x:row r="160" ht="21" customHeight="1">
      <x:c r="A160" s="5" t="n">
        <x:f>'Лист1'!A160</x:f>
        <x:v>43960</x:v>
      </x:c>
      <x:c r="B160" s="1" t="str">
        <x:f>'Лист1'!B160</x:f>
        <x:v>Москва Запад</x:v>
      </x:c>
      <x:c r="C160" s="1" t="n">
        <x:f>'Лист1'!C160</x:f>
        <x:v>188319</x:v>
      </x:c>
      <x:c r="D160" s="6" t="n">
        <x:f>'Лист1'!D160</x:f>
        <x:v>19218631.5</x:v>
      </x:c>
      <x:c r="E160" s="6" t="n">
        <x:f>'Лист1'!E160</x:f>
        <x:v>13973128.512</x:v>
      </x:c>
      <x:c r="F160" s="6" t="n">
        <x:f>'Лист1'!F160</x:f>
        <x:v>403874.8839461538</x:v>
      </x:c>
      <x:c r="G160" s="1" t="n">
        <x:f>IF(N160=1,SUMIFS('Лист2'!$C$2:$C$505,'Лист2'!$A$2:$A$505,A160,'Лист2'!$B$2:$B$505,B160),NA())</x:f>
        <x:v>59</x:v>
      </x:c>
      <x:c r="H160" s="1" t="n">
        <x:f>IF(N160=1,SUMIFS('Лист2'!$D$2:$D$505,'Лист2'!$A$2:$A$505,A160,'Лист2'!$B$2:$B$505,B160),NA())</x:f>
        <x:v>12016</x:v>
      </x:c>
      <x:c r="I160" s="1" t="n">
        <x:f>IF(N160=1,SUMIFS('Лист2'!$E$2:$E$505,'Лист2'!$A$2:$A$505,A160,'Лист2'!$B$2:$B$505,B160),NA())</x:f>
        <x:v>11137</x:v>
      </x:c>
      <x:c r="J160" s="5" t="n">
        <x:f>A160-WEEKDAY(A160,2)+1</x:f>
        <x:v>43955</x:v>
      </x:c>
      <x:c r="K160" s="1" t="n">
        <x:f>YEAR(J160+3)</x:f>
        <x:v>2020</x:v>
      </x:c>
      <x:c r="L160" s="1" t="n">
        <x:f>INT((J160-DATE(K160,1,4)+WEEKDAY(DATE(K160,1,4),2)-1)/7)+1</x:f>
        <x:v>19</x:v>
      </x:c>
      <x:c r="M160" s="1" t="str">
        <x:f>A160&amp;"|"&amp;B160</x:f>
        <x:v>43960|Москва Запад</x:v>
      </x:c>
      <x:c r="N160" s="1" t="n">
        <x:f>COUNTIFS('Лист2'!$F$2:$F$505,M160)</x:f>
        <x:v>1</x:v>
      </x:c>
      <x:c r="O160" s="1"/>
      <x:c r="P160" s="1"/>
      <x:c r="Q160" s="1"/>
    </x:row>
    <x:row r="161" ht="21" customHeight="1">
      <x:c r="A161" s="5" t="n">
        <x:f>'Лист1'!A161</x:f>
        <x:v>43960</x:v>
      </x:c>
      <x:c r="B161" s="1" t="str">
        <x:f>'Лист1'!B161</x:f>
        <x:v>Нижний Новгород</x:v>
      </x:c>
      <x:c r="C161" s="1" t="n">
        <x:f>'Лист1'!C161</x:f>
        <x:v>32079</x:v>
      </x:c>
      <x:c r="D161" s="6" t="n">
        <x:f>'Лист1'!D161</x:f>
        <x:v>2902167</x:v>
      </x:c>
      <x:c r="E161" s="6" t="n">
        <x:f>'Лист1'!E161</x:f>
        <x:v>2319890.346</x:v>
      </x:c>
      <x:c r="F161" s="6" t="n">
        <x:f>'Лист1'!F161</x:f>
        <x:v>194963.39216923076</x:v>
      </x:c>
      <x:c r="G161" s="1" t="n">
        <x:f>IF(N161=1,SUMIFS('Лист2'!$C$2:$C$505,'Лист2'!$A$2:$A$505,A161,'Лист2'!$B$2:$B$505,B161),NA())</x:f>
        <x:v>19</x:v>
      </x:c>
      <x:c r="H161" s="1" t="n">
        <x:f>IF(N161=1,SUMIFS('Лист2'!$D$2:$D$505,'Лист2'!$A$2:$A$505,A161,'Лист2'!$B$2:$B$505,B161),NA())</x:f>
        <x:v>1851</x:v>
      </x:c>
      <x:c r="I161" s="1" t="n">
        <x:f>IF(N161=1,SUMIFS('Лист2'!$E$2:$E$505,'Лист2'!$A$2:$A$505,A161,'Лист2'!$B$2:$B$505,B161),NA())</x:f>
        <x:v>1635</x:v>
      </x:c>
      <x:c r="J161" s="5" t="n">
        <x:f>A161-WEEKDAY(A161,2)+1</x:f>
        <x:v>43955</x:v>
      </x:c>
      <x:c r="K161" s="1" t="n">
        <x:f>YEAR(J161+3)</x:f>
        <x:v>2020</x:v>
      </x:c>
      <x:c r="L161" s="1" t="n">
        <x:f>INT((J161-DATE(K161,1,4)+WEEKDAY(DATE(K161,1,4),2)-1)/7)+1</x:f>
        <x:v>19</x:v>
      </x:c>
      <x:c r="M161" s="1" t="str">
        <x:f>A161&amp;"|"&amp;B161</x:f>
        <x:v>43960|Нижний Новгород</x:v>
      </x:c>
      <x:c r="N161" s="1" t="n">
        <x:f>COUNTIFS('Лист2'!$F$2:$F$505,M161)</x:f>
        <x:v>1</x:v>
      </x:c>
      <x:c r="O161" s="1"/>
      <x:c r="P161" s="1"/>
      <x:c r="Q161" s="1"/>
    </x:row>
    <x:row r="162" ht="21" customHeight="1">
      <x:c r="A162" s="5" t="n">
        <x:f>'Лист1'!A162</x:f>
        <x:v>43960</x:v>
      </x:c>
      <x:c r="B162" s="1" t="str">
        <x:f>'Лист1'!B162</x:f>
        <x:v>Новосибирск</x:v>
      </x:c>
      <x:c r="C162" s="1" t="n">
        <x:f>'Лист1'!C162</x:f>
        <x:v>11745</x:v>
      </x:c>
      <x:c r="D162" s="6" t="n">
        <x:f>'Лист1'!D162</x:f>
        <x:v>955801.5</x:v>
      </x:c>
      <x:c r="E162" s="6" t="n">
        <x:f>'Лист1'!E162</x:f>
        <x:v>795942.652</x:v>
      </x:c>
      <x:c r="F162" s="6" t="n">
        <x:f>'Лист1'!F162</x:f>
        <x:v>165952.05877692305</x:v>
      </x:c>
      <x:c r="G162" s="1" t="n">
        <x:f>IF(N162=1,SUMIFS('Лист2'!$C$2:$C$505,'Лист2'!$A$2:$A$505,A162,'Лист2'!$B$2:$B$505,B162),NA())</x:f>
        <x:v>15</x:v>
      </x:c>
      <x:c r="H162" s="1" t="n">
        <x:f>IF(N162=1,SUMIFS('Лист2'!$D$2:$D$505,'Лист2'!$A$2:$A$505,A162,'Лист2'!$B$2:$B$505,B162),NA())</x:f>
        <x:v>654</x:v>
      </x:c>
      <x:c r="I162" s="1" t="n">
        <x:f>IF(N162=1,SUMIFS('Лист2'!$E$2:$E$505,'Лист2'!$A$2:$A$505,A162,'Лист2'!$B$2:$B$505,B162),NA())</x:f>
        <x:v>570</x:v>
      </x:c>
      <x:c r="J162" s="5" t="n">
        <x:f>A162-WEEKDAY(A162,2)+1</x:f>
        <x:v>43955</x:v>
      </x:c>
      <x:c r="K162" s="1" t="n">
        <x:f>YEAR(J162+3)</x:f>
        <x:v>2020</x:v>
      </x:c>
      <x:c r="L162" s="1" t="n">
        <x:f>INT((J162-DATE(K162,1,4)+WEEKDAY(DATE(K162,1,4),2)-1)/7)+1</x:f>
        <x:v>19</x:v>
      </x:c>
      <x:c r="M162" s="1" t="str">
        <x:f>A162&amp;"|"&amp;B162</x:f>
        <x:v>43960|Новосибирск</x:v>
      </x:c>
      <x:c r="N162" s="1" t="n">
        <x:f>COUNTIFS('Лист2'!$F$2:$F$505,M162)</x:f>
        <x:v>1</x:v>
      </x:c>
      <x:c r="O162" s="1"/>
      <x:c r="P162" s="1"/>
      <x:c r="Q162" s="1"/>
    </x:row>
    <x:row r="163" ht="21" customHeight="1">
      <x:c r="A163" s="5" t="n">
        <x:f>'Лист1'!A163</x:f>
        <x:v>43960</x:v>
      </x:c>
      <x:c r="B163" s="1" t="str">
        <x:f>'Лист1'!B163</x:f>
        <x:v>Пермь</x:v>
      </x:c>
      <x:c r="C163" s="1" t="n">
        <x:f>'Лист1'!C163</x:f>
        <x:v>13948.5</x:v>
      </x:c>
      <x:c r="D163" s="6" t="n">
        <x:f>'Лист1'!D163</x:f>
        <x:v>1222932</x:v>
      </x:c>
      <x:c r="E163" s="6" t="n">
        <x:f>'Лист1'!E163</x:f>
        <x:v>974409.1449999999</x:v>
      </x:c>
      <x:c r="F163" s="6" t="n">
        <x:f>'Лист1'!F163</x:f>
        <x:v>299208.26923076925</x:v>
      </x:c>
      <x:c r="G163" s="1" t="n">
        <x:f>IF(N163=1,SUMIFS('Лист2'!$C$2:$C$505,'Лист2'!$A$2:$A$505,A163,'Лист2'!$B$2:$B$505,B163),NA())</x:f>
        <x:v>15</x:v>
      </x:c>
      <x:c r="H163" s="1" t="n">
        <x:f>IF(N163=1,SUMIFS('Лист2'!$D$2:$D$505,'Лист2'!$A$2:$A$505,A163,'Лист2'!$B$2:$B$505,B163),NA())</x:f>
        <x:v>849</x:v>
      </x:c>
      <x:c r="I163" s="1" t="n">
        <x:f>IF(N163=1,SUMIFS('Лист2'!$E$2:$E$505,'Лист2'!$A$2:$A$505,A163,'Лист2'!$B$2:$B$505,B163),NA())</x:f>
        <x:v>740</x:v>
      </x:c>
      <x:c r="J163" s="5" t="n">
        <x:f>A163-WEEKDAY(A163,2)+1</x:f>
        <x:v>43955</x:v>
      </x:c>
      <x:c r="K163" s="1" t="n">
        <x:f>YEAR(J163+3)</x:f>
        <x:v>2020</x:v>
      </x:c>
      <x:c r="L163" s="1" t="n">
        <x:f>INT((J163-DATE(K163,1,4)+WEEKDAY(DATE(K163,1,4),2)-1)/7)+1</x:f>
        <x:v>19</x:v>
      </x:c>
      <x:c r="M163" s="1" t="str">
        <x:f>A163&amp;"|"&amp;B163</x:f>
        <x:v>43960|Пермь</x:v>
      </x:c>
      <x:c r="N163" s="1" t="n">
        <x:f>COUNTIFS('Лист2'!$F$2:$F$505,M163)</x:f>
        <x:v>1</x:v>
      </x:c>
      <x:c r="O163" s="1"/>
      <x:c r="P163" s="1"/>
      <x:c r="Q163" s="1"/>
    </x:row>
    <x:row r="164" ht="21" customHeight="1">
      <x:c r="A164" s="5" t="n">
        <x:f>'Лист1'!A164</x:f>
        <x:v>43960</x:v>
      </x:c>
      <x:c r="B164" s="1" t="str">
        <x:f>'Лист1'!B164</x:f>
        <x:v>Ростов-на-Дону</x:v>
      </x:c>
      <x:c r="C164" s="1" t="n">
        <x:f>'Лист1'!C164</x:f>
        <x:v>12037.5</x:v>
      </x:c>
      <x:c r="D164" s="6" t="n">
        <x:f>'Лист1'!D164</x:f>
        <x:v>1081216.5</x:v>
      </x:c>
      <x:c r="E164" s="6" t="n">
        <x:f>'Лист1'!E164</x:f>
        <x:v>910141.155</x:v>
      </x:c>
      <x:c r="F164" s="6" t="n">
        <x:f>'Лист1'!F164</x:f>
        <x:v>143296.04318461538</x:v>
      </x:c>
      <x:c r="G164" s="1" t="n">
        <x:f>IF(N164=1,SUMIFS('Лист2'!$C$2:$C$505,'Лист2'!$A$2:$A$505,A164,'Лист2'!$B$2:$B$505,B164),NA())</x:f>
        <x:v>15</x:v>
      </x:c>
      <x:c r="H164" s="1" t="n">
        <x:f>IF(N164=1,SUMIFS('Лист2'!$D$2:$D$505,'Лист2'!$A$2:$A$505,A164,'Лист2'!$B$2:$B$505,B164),NA())</x:f>
        <x:v>623</x:v>
      </x:c>
      <x:c r="I164" s="1" t="n">
        <x:f>IF(N164=1,SUMIFS('Лист2'!$E$2:$E$505,'Лист2'!$A$2:$A$505,A164,'Лист2'!$B$2:$B$505,B164),NA())</x:f>
        <x:v>535</x:v>
      </x:c>
      <x:c r="J164" s="5" t="n">
        <x:f>A164-WEEKDAY(A164,2)+1</x:f>
        <x:v>43955</x:v>
      </x:c>
      <x:c r="K164" s="1" t="n">
        <x:f>YEAR(J164+3)</x:f>
        <x:v>2020</x:v>
      </x:c>
      <x:c r="L164" s="1" t="n">
        <x:f>INT((J164-DATE(K164,1,4)+WEEKDAY(DATE(K164,1,4),2)-1)/7)+1</x:f>
        <x:v>19</x:v>
      </x:c>
      <x:c r="M164" s="1" t="str">
        <x:f>A164&amp;"|"&amp;B164</x:f>
        <x:v>43960|Ростов-на-Дону</x:v>
      </x:c>
      <x:c r="N164" s="1" t="n">
        <x:f>COUNTIFS('Лист2'!$F$2:$F$505,M164)</x:f>
        <x:v>1</x:v>
      </x:c>
      <x:c r="O164" s="1"/>
      <x:c r="P164" s="1"/>
      <x:c r="Q164" s="1"/>
    </x:row>
    <x:row r="165" ht="21" customHeight="1">
      <x:c r="A165" s="5" t="n">
        <x:f>'Лист1'!A165</x:f>
        <x:v>43960</x:v>
      </x:c>
      <x:c r="B165" s="1" t="str">
        <x:f>'Лист1'!B165</x:f>
        <x:v>Санкт-Петербург Север</x:v>
      </x:c>
      <x:c r="C165" s="1" t="n">
        <x:f>'Лист1'!C165</x:f>
        <x:v>359214</x:v>
      </x:c>
      <x:c r="D165" s="6" t="n">
        <x:f>'Лист1'!D165</x:f>
        <x:v>38693427</x:v>
      </x:c>
      <x:c r="E165" s="6" t="n">
        <x:f>'Лист1'!E165</x:f>
        <x:v>27863789.055</x:v>
      </x:c>
      <x:c r="F165" s="6" t="n">
        <x:f>'Лист1'!F165</x:f>
        <x:v>582268.7261538461</x:v>
      </x:c>
      <x:c r="G165" s="1" t="n">
        <x:f>IF(N165=1,SUMIFS('Лист2'!$C$2:$C$505,'Лист2'!$A$2:$A$505,A165,'Лист2'!$B$2:$B$505,B165),NA())</x:f>
        <x:v>125</x:v>
      </x:c>
      <x:c r="H165" s="1" t="n">
        <x:f>IF(N165=1,SUMIFS('Лист2'!$D$2:$D$505,'Лист2'!$A$2:$A$505,A165,'Лист2'!$B$2:$B$505,B165),NA())</x:f>
        <x:v>20132</x:v>
      </x:c>
      <x:c r="I165" s="1" t="n">
        <x:f>IF(N165=1,SUMIFS('Лист2'!$E$2:$E$505,'Лист2'!$A$2:$A$505,A165,'Лист2'!$B$2:$B$505,B165),NA())</x:f>
        <x:v>18617</x:v>
      </x:c>
      <x:c r="J165" s="5" t="n">
        <x:f>A165-WEEKDAY(A165,2)+1</x:f>
        <x:v>43955</x:v>
      </x:c>
      <x:c r="K165" s="1" t="n">
        <x:f>YEAR(J165+3)</x:f>
        <x:v>2020</x:v>
      </x:c>
      <x:c r="L165" s="1" t="n">
        <x:f>INT((J165-DATE(K165,1,4)+WEEKDAY(DATE(K165,1,4),2)-1)/7)+1</x:f>
        <x:v>19</x:v>
      </x:c>
      <x:c r="M165" s="1" t="str">
        <x:f>A165&amp;"|"&amp;B165</x:f>
        <x:v>43960|Санкт-Петербург Север</x:v>
      </x:c>
      <x:c r="N165" s="1" t="n">
        <x:f>COUNTIFS('Лист2'!$F$2:$F$505,M165)</x:f>
        <x:v>1</x:v>
      </x:c>
      <x:c r="O165" s="1"/>
      <x:c r="P165" s="1"/>
      <x:c r="Q165" s="1"/>
    </x:row>
    <x:row r="166" ht="21" customHeight="1">
      <x:c r="A166" s="5" t="n">
        <x:f>'Лист1'!A166</x:f>
        <x:v>43960</x:v>
      </x:c>
      <x:c r="B166" s="1" t="str">
        <x:f>'Лист1'!B166</x:f>
        <x:v>Санкт-Петербург Юг</x:v>
      </x:c>
      <x:c r="C166" s="1" t="n">
        <x:f>'Лист1'!C166</x:f>
        <x:v>285972</x:v>
      </x:c>
      <x:c r="D166" s="6" t="n">
        <x:f>'Лист1'!D166</x:f>
        <x:v>29768199</x:v>
      </x:c>
      <x:c r="E166" s="6" t="n">
        <x:f>'Лист1'!E166</x:f>
        <x:v>21483666.921</x:v>
      </x:c>
      <x:c r="F166" s="6" t="n">
        <x:f>'Лист1'!F166</x:f>
        <x:v>549316.9501538462</x:v>
      </x:c>
      <x:c r="G166" s="1" t="n">
        <x:f>IF(N166=1,SUMIFS('Лист2'!$C$2:$C$505,'Лист2'!$A$2:$A$505,A166,'Лист2'!$B$2:$B$505,B166),NA())</x:f>
        <x:v>129</x:v>
      </x:c>
      <x:c r="H166" s="1" t="n">
        <x:f>IF(N166=1,SUMIFS('Лист2'!$D$2:$D$505,'Лист2'!$A$2:$A$505,A166,'Лист2'!$B$2:$B$505,B166),NA())</x:f>
        <x:v>16420</x:v>
      </x:c>
      <x:c r="I166" s="1" t="n">
        <x:f>IF(N166=1,SUMIFS('Лист2'!$E$2:$E$505,'Лист2'!$A$2:$A$505,A166,'Лист2'!$B$2:$B$505,B166),NA())</x:f>
        <x:v>15169</x:v>
      </x:c>
      <x:c r="J166" s="5" t="n">
        <x:f>A166-WEEKDAY(A166,2)+1</x:f>
        <x:v>43955</x:v>
      </x:c>
      <x:c r="K166" s="1" t="n">
        <x:f>YEAR(J166+3)</x:f>
        <x:v>2020</x:v>
      </x:c>
      <x:c r="L166" s="1" t="n">
        <x:f>INT((J166-DATE(K166,1,4)+WEEKDAY(DATE(K166,1,4),2)-1)/7)+1</x:f>
        <x:v>19</x:v>
      </x:c>
      <x:c r="M166" s="1" t="str">
        <x:f>A166&amp;"|"&amp;B166</x:f>
        <x:v>43960|Санкт-Петербург Юг</x:v>
      </x:c>
      <x:c r="N166" s="1" t="n">
        <x:f>COUNTIFS('Лист2'!$F$2:$F$505,M166)</x:f>
        <x:v>1</x:v>
      </x:c>
      <x:c r="O166" s="1"/>
      <x:c r="P166" s="1"/>
      <x:c r="Q166" s="1"/>
    </x:row>
    <x:row r="167" ht="21" customHeight="1">
      <x:c r="A167" s="5" t="n">
        <x:f>'Лист1'!A167</x:f>
        <x:v>43960</x:v>
      </x:c>
      <x:c r="B167" s="1" t="str">
        <x:f>'Лист1'!B167</x:f>
        <x:v>Тольятти</x:v>
      </x:c>
      <x:c r="C167" s="1" t="n">
        <x:f>'Лист1'!C167</x:f>
        <x:v>13216.5</x:v>
      </x:c>
      <x:c r="D167" s="6" t="n">
        <x:f>'Лист1'!D167</x:f>
        <x:v>1046400</x:v>
      </x:c>
      <x:c r="E167" s="6" t="n">
        <x:f>'Лист1'!E167</x:f>
        <x:v>937716.1579999999</x:v>
      </x:c>
      <x:c r="F167" s="6" t="n">
        <x:f>'Лист1'!F167</x:f>
        <x:v>61387.77692307692</x:v>
      </x:c>
      <x:c r="G167" s="1" t="n">
        <x:f>IF(N167=1,SUMIFS('Лист2'!$C$2:$C$505,'Лист2'!$A$2:$A$505,A167,'Лист2'!$B$2:$B$505,B167),NA())</x:f>
        <x:v>10</x:v>
      </x:c>
      <x:c r="H167" s="1" t="n">
        <x:f>IF(N167=1,SUMIFS('Лист2'!$D$2:$D$505,'Лист2'!$A$2:$A$505,A167,'Лист2'!$B$2:$B$505,B167),NA())</x:f>
        <x:v>644</x:v>
      </x:c>
      <x:c r="I167" s="1" t="n">
        <x:f>IF(N167=1,SUMIFS('Лист2'!$E$2:$E$505,'Лист2'!$A$2:$A$505,A167,'Лист2'!$B$2:$B$505,B167),NA())</x:f>
        <x:v>559</x:v>
      </x:c>
      <x:c r="J167" s="5" t="n">
        <x:f>A167-WEEKDAY(A167,2)+1</x:f>
        <x:v>43955</x:v>
      </x:c>
      <x:c r="K167" s="1" t="n">
        <x:f>YEAR(J167+3)</x:f>
        <x:v>2020</x:v>
      </x:c>
      <x:c r="L167" s="1" t="n">
        <x:f>INT((J167-DATE(K167,1,4)+WEEKDAY(DATE(K167,1,4),2)-1)/7)+1</x:f>
        <x:v>19</x:v>
      </x:c>
      <x:c r="M167" s="1" t="str">
        <x:f>A167&amp;"|"&amp;B167</x:f>
        <x:v>43960|Тольятти</x:v>
      </x:c>
      <x:c r="N167" s="1" t="n">
        <x:f>COUNTIFS('Лист2'!$F$2:$F$505,M167)</x:f>
        <x:v>1</x:v>
      </x:c>
      <x:c r="O167" s="1"/>
      <x:c r="P167" s="1"/>
      <x:c r="Q167" s="1"/>
    </x:row>
    <x:row r="168" ht="21" customHeight="1">
      <x:c r="A168" s="5" t="n">
        <x:f>'Лист1'!A168</x:f>
        <x:v>43961</x:v>
      </x:c>
      <x:c r="B168" s="1" t="str">
        <x:f>'Лист1'!B168</x:f>
        <x:v>Волгоград</x:v>
      </x:c>
      <x:c r="C168" s="1" t="n">
        <x:f>'Лист1'!C168</x:f>
        <x:v>88311</x:v>
      </x:c>
      <x:c r="D168" s="6" t="n">
        <x:f>'Лист1'!D168</x:f>
        <x:v>7726069.5</x:v>
      </x:c>
      <x:c r="E168" s="6" t="n">
        <x:f>'Лист1'!E168</x:f>
        <x:v>5922893.721</x:v>
      </x:c>
      <x:c r="F168" s="6" t="n">
        <x:f>'Лист1'!F168</x:f>
        <x:v>161614.12454615385</x:v>
      </x:c>
      <x:c r="G168" s="1" t="n">
        <x:f>IF(N168=1,SUMIFS('Лист2'!$C$2:$C$505,'Лист2'!$A$2:$A$505,A168,'Лист2'!$B$2:$B$505,B168),NA())</x:f>
        <x:v>36</x:v>
      </x:c>
      <x:c r="H168" s="1" t="n">
        <x:f>IF(N168=1,SUMIFS('Лист2'!$D$2:$D$505,'Лист2'!$A$2:$A$505,A168,'Лист2'!$B$2:$B$505,B168),NA())</x:f>
        <x:v>5746</x:v>
      </x:c>
      <x:c r="I168" s="1" t="n">
        <x:f>IF(N168=1,SUMIFS('Лист2'!$E$2:$E$505,'Лист2'!$A$2:$A$505,A168,'Лист2'!$B$2:$B$505,B168),NA())</x:f>
        <x:v>5277</x:v>
      </x:c>
      <x:c r="J168" s="5" t="n">
        <x:f>A168-WEEKDAY(A168,2)+1</x:f>
        <x:v>43955</x:v>
      </x:c>
      <x:c r="K168" s="1" t="n">
        <x:f>YEAR(J168+3)</x:f>
        <x:v>2020</x:v>
      </x:c>
      <x:c r="L168" s="1" t="n">
        <x:f>INT((J168-DATE(K168,1,4)+WEEKDAY(DATE(K168,1,4),2)-1)/7)+1</x:f>
        <x:v>19</x:v>
      </x:c>
      <x:c r="M168" s="1" t="str">
        <x:f>A168&amp;"|"&amp;B168</x:f>
        <x:v>43961|Волгоград</x:v>
      </x:c>
      <x:c r="N168" s="1" t="n">
        <x:f>COUNTIFS('Лист2'!$F$2:$F$505,M168)</x:f>
        <x:v>1</x:v>
      </x:c>
      <x:c r="O168" s="1"/>
      <x:c r="P168" s="1"/>
      <x:c r="Q168" s="1"/>
    </x:row>
    <x:row r="169" ht="21" customHeight="1">
      <x:c r="A169" s="5" t="n">
        <x:f>'Лист1'!A169</x:f>
        <x:v>43961</x:v>
      </x:c>
      <x:c r="B169" s="1" t="str">
        <x:f>'Лист1'!B169</x:f>
        <x:v>Екатеринбург</x:v>
      </x:c>
      <x:c r="C169" s="1" t="n">
        <x:f>'Лист1'!C169</x:f>
        <x:v>84132</x:v>
      </x:c>
      <x:c r="D169" s="6" t="n">
        <x:f>'Лист1'!D169</x:f>
        <x:v>7483194</x:v>
      </x:c>
      <x:c r="E169" s="6" t="n">
        <x:f>'Лист1'!E169</x:f>
        <x:v>5637882.125</x:v>
      </x:c>
      <x:c r="F169" s="6" t="n">
        <x:f>'Лист1'!F169</x:f>
        <x:v>126673.26923076922</x:v>
      </x:c>
      <x:c r="G169" s="1" t="n">
        <x:f>IF(N169=1,SUMIFS('Лист2'!$C$2:$C$505,'Лист2'!$A$2:$A$505,A169,'Лист2'!$B$2:$B$505,B169),NA())</x:f>
        <x:v>31</x:v>
      </x:c>
      <x:c r="H169" s="1" t="n">
        <x:f>IF(N169=1,SUMIFS('Лист2'!$D$2:$D$505,'Лист2'!$A$2:$A$505,A169,'Лист2'!$B$2:$B$505,B169),NA())</x:f>
        <x:v>5495</x:v>
      </x:c>
      <x:c r="I169" s="1" t="n">
        <x:f>IF(N169=1,SUMIFS('Лист2'!$E$2:$E$505,'Лист2'!$A$2:$A$505,A169,'Лист2'!$B$2:$B$505,B169),NA())</x:f>
        <x:v>5093</x:v>
      </x:c>
      <x:c r="J169" s="5" t="n">
        <x:f>A169-WEEKDAY(A169,2)+1</x:f>
        <x:v>43955</x:v>
      </x:c>
      <x:c r="K169" s="1" t="n">
        <x:f>YEAR(J169+3)</x:f>
        <x:v>2020</x:v>
      </x:c>
      <x:c r="L169" s="1" t="n">
        <x:f>INT((J169-DATE(K169,1,4)+WEEKDAY(DATE(K169,1,4),2)-1)/7)+1</x:f>
        <x:v>19</x:v>
      </x:c>
      <x:c r="M169" s="1" t="str">
        <x:f>A169&amp;"|"&amp;B169</x:f>
        <x:v>43961|Екатеринбург</x:v>
      </x:c>
      <x:c r="N169" s="1" t="n">
        <x:f>COUNTIFS('Лист2'!$F$2:$F$505,M169)</x:f>
        <x:v>1</x:v>
      </x:c>
      <x:c r="O169" s="1"/>
      <x:c r="P169" s="1"/>
      <x:c r="Q169" s="1"/>
    </x:row>
    <x:row r="170" ht="21" customHeight="1">
      <x:c r="A170" s="5" t="n">
        <x:f>'Лист1'!A170</x:f>
        <x:v>43961</x:v>
      </x:c>
      <x:c r="B170" s="1" t="str">
        <x:f>'Лист1'!B170</x:f>
        <x:v>Казань</x:v>
      </x:c>
      <x:c r="C170" s="1" t="n">
        <x:f>'Лист1'!C170</x:f>
        <x:v>37489.5</x:v>
      </x:c>
      <x:c r="D170" s="6" t="n">
        <x:f>'Лист1'!D170</x:f>
        <x:v>3549097.5</x:v>
      </x:c>
      <x:c r="E170" s="6" t="n">
        <x:f>'Лист1'!E170</x:f>
        <x:v>2745646.948</x:v>
      </x:c>
      <x:c r="F170" s="6" t="n">
        <x:f>'Лист1'!F170</x:f>
        <x:v>258287.05384615384</x:v>
      </x:c>
      <x:c r="G170" s="1" t="n">
        <x:f>IF(N170=1,SUMIFS('Лист2'!$C$2:$C$505,'Лист2'!$A$2:$A$505,A170,'Лист2'!$B$2:$B$505,B170),NA())</x:f>
        <x:v>21</x:v>
      </x:c>
      <x:c r="H170" s="1" t="n">
        <x:f>IF(N170=1,SUMIFS('Лист2'!$D$2:$D$505,'Лист2'!$A$2:$A$505,A170,'Лист2'!$B$2:$B$505,B170),NA())</x:f>
        <x:v>2120</x:v>
      </x:c>
      <x:c r="I170" s="1" t="n">
        <x:f>IF(N170=1,SUMIFS('Лист2'!$E$2:$E$505,'Лист2'!$A$2:$A$505,A170,'Лист2'!$B$2:$B$505,B170),NA())</x:f>
        <x:v>1921</x:v>
      </x:c>
      <x:c r="J170" s="5" t="n">
        <x:f>A170-WEEKDAY(A170,2)+1</x:f>
        <x:v>43955</x:v>
      </x:c>
      <x:c r="K170" s="1" t="n">
        <x:f>YEAR(J170+3)</x:f>
        <x:v>2020</x:v>
      </x:c>
      <x:c r="L170" s="1" t="n">
        <x:f>INT((J170-DATE(K170,1,4)+WEEKDAY(DATE(K170,1,4),2)-1)/7)+1</x:f>
        <x:v>19</x:v>
      </x:c>
      <x:c r="M170" s="1" t="str">
        <x:f>A170&amp;"|"&amp;B170</x:f>
        <x:v>43961|Казань</x:v>
      </x:c>
      <x:c r="N170" s="1" t="n">
        <x:f>COUNTIFS('Лист2'!$F$2:$F$505,M170)</x:f>
        <x:v>1</x:v>
      </x:c>
      <x:c r="O170" s="1"/>
      <x:c r="P170" s="1"/>
      <x:c r="Q170" s="1"/>
    </x:row>
    <x:row r="171" ht="21" customHeight="1">
      <x:c r="A171" s="5" t="n">
        <x:f>'Лист1'!A171</x:f>
        <x:v>43961</x:v>
      </x:c>
      <x:c r="B171" s="1" t="str">
        <x:f>'Лист1'!B171</x:f>
        <x:v>Кемерово</x:v>
      </x:c>
      <x:c r="C171" s="1" t="n">
        <x:f>'Лист1'!C171</x:f>
        <x:v>36619.5</x:v>
      </x:c>
      <x:c r="D171" s="6" t="n">
        <x:f>'Лист1'!D171</x:f>
        <x:v>3312967.5</x:v>
      </x:c>
      <x:c r="E171" s="6" t="n">
        <x:f>'Лист1'!E171</x:f>
        <x:v>2647972.343</x:v>
      </x:c>
      <x:c r="F171" s="6" t="n">
        <x:f>'Лист1'!F171</x:f>
        <x:v>371661.6538461539</x:v>
      </x:c>
      <x:c r="G171" s="1" t="n">
        <x:f>IF(N171=1,SUMIFS('Лист2'!$C$2:$C$505,'Лист2'!$A$2:$A$505,A171,'Лист2'!$B$2:$B$505,B171),NA())</x:f>
        <x:v>21</x:v>
      </x:c>
      <x:c r="H171" s="1" t="n">
        <x:f>IF(N171=1,SUMIFS('Лист2'!$D$2:$D$505,'Лист2'!$A$2:$A$505,A171,'Лист2'!$B$2:$B$505,B171),NA())</x:f>
        <x:v>2016</x:v>
      </x:c>
      <x:c r="I171" s="1" t="n">
        <x:f>IF(N171=1,SUMIFS('Лист2'!$E$2:$E$505,'Лист2'!$A$2:$A$505,A171,'Лист2'!$B$2:$B$505,B171),NA())</x:f>
        <x:v>1846</x:v>
      </x:c>
      <x:c r="J171" s="5" t="n">
        <x:f>A171-WEEKDAY(A171,2)+1</x:f>
        <x:v>43955</x:v>
      </x:c>
      <x:c r="K171" s="1" t="n">
        <x:f>YEAR(J171+3)</x:f>
        <x:v>2020</x:v>
      </x:c>
      <x:c r="L171" s="1" t="n">
        <x:f>INT((J171-DATE(K171,1,4)+WEEKDAY(DATE(K171,1,4),2)-1)/7)+1</x:f>
        <x:v>19</x:v>
      </x:c>
      <x:c r="M171" s="1" t="str">
        <x:f>A171&amp;"|"&amp;B171</x:f>
        <x:v>43961|Кемерово</x:v>
      </x:c>
      <x:c r="N171" s="1" t="n">
        <x:f>COUNTIFS('Лист2'!$F$2:$F$505,M171)</x:f>
        <x:v>1</x:v>
      </x:c>
      <x:c r="O171" s="1"/>
      <x:c r="P171" s="1"/>
      <x:c r="Q171" s="1"/>
    </x:row>
    <x:row r="172" ht="21" customHeight="1">
      <x:c r="A172" s="5" t="n">
        <x:f>'Лист1'!A172</x:f>
        <x:v>43961</x:v>
      </x:c>
      <x:c r="B172" s="1" t="str">
        <x:f>'Лист1'!B172</x:f>
        <x:v>Краснодар</x:v>
      </x:c>
      <x:c r="C172" s="1" t="n">
        <x:f>'Лист1'!C172</x:f>
        <x:v>31224</x:v>
      </x:c>
      <x:c r="D172" s="6" t="n">
        <x:f>'Лист1'!D172</x:f>
        <x:v>2767270.5</x:v>
      </x:c>
      <x:c r="E172" s="6" t="n">
        <x:f>'Лист1'!E172</x:f>
        <x:v>2174380.5969999996</x:v>
      </x:c>
      <x:c r="F172" s="6" t="n">
        <x:f>'Лист1'!F172</x:f>
        <x:v>80170.9809076923</x:v>
      </x:c>
      <x:c r="G172" s="1" t="n">
        <x:f>IF(N172=1,SUMIFS('Лист2'!$C$2:$C$505,'Лист2'!$A$2:$A$505,A172,'Лист2'!$B$2:$B$505,B172),NA())</x:f>
        <x:v>19</x:v>
      </x:c>
      <x:c r="H172" s="1" t="n">
        <x:f>IF(N172=1,SUMIFS('Лист2'!$D$2:$D$505,'Лист2'!$A$2:$A$505,A172,'Лист2'!$B$2:$B$505,B172),NA())</x:f>
        <x:v>1836</x:v>
      </x:c>
      <x:c r="I172" s="1" t="n">
        <x:f>IF(N172=1,SUMIFS('Лист2'!$E$2:$E$505,'Лист2'!$A$2:$A$505,A172,'Лист2'!$B$2:$B$505,B172),NA())</x:f>
        <x:v>1680</x:v>
      </x:c>
      <x:c r="J172" s="5" t="n">
        <x:f>A172-WEEKDAY(A172,2)+1</x:f>
        <x:v>43955</x:v>
      </x:c>
      <x:c r="K172" s="1" t="n">
        <x:f>YEAR(J172+3)</x:f>
        <x:v>2020</x:v>
      </x:c>
      <x:c r="L172" s="1" t="n">
        <x:f>INT((J172-DATE(K172,1,4)+WEEKDAY(DATE(K172,1,4),2)-1)/7)+1</x:f>
        <x:v>19</x:v>
      </x:c>
      <x:c r="M172" s="1" t="str">
        <x:f>A172&amp;"|"&amp;B172</x:f>
        <x:v>43961|Краснодар</x:v>
      </x:c>
      <x:c r="N172" s="1" t="n">
        <x:f>COUNTIFS('Лист2'!$F$2:$F$505,M172)</x:f>
        <x:v>1</x:v>
      </x:c>
      <x:c r="O172" s="1"/>
      <x:c r="P172" s="1"/>
      <x:c r="Q172" s="1"/>
    </x:row>
    <x:row r="173" ht="21" customHeight="1">
      <x:c r="A173" s="5" t="n">
        <x:f>'Лист1'!A173</x:f>
        <x:v>43961</x:v>
      </x:c>
      <x:c r="B173" s="1" t="str">
        <x:f>'Лист1'!B173</x:f>
        <x:v>Москва Восток</x:v>
      </x:c>
      <x:c r="C173" s="1" t="n">
        <x:f>'Лист1'!C173</x:f>
        <x:v>231559.5</x:v>
      </x:c>
      <x:c r="D173" s="6" t="n">
        <x:f>'Лист1'!D173</x:f>
        <x:v>23443725</x:v>
      </x:c>
      <x:c r="E173" s="6" t="n">
        <x:f>'Лист1'!E173</x:f>
        <x:v>17121204.866</x:v>
      </x:c>
      <x:c r="F173" s="6" t="n">
        <x:f>'Лист1'!F173</x:f>
        <x:v>269535.7253846154</x:v>
      </x:c>
      <x:c r="G173" s="1" t="n">
        <x:f>IF(N173=1,SUMIFS('Лист2'!$C$2:$C$505,'Лист2'!$A$2:$A$505,A173,'Лист2'!$B$2:$B$505,B173),NA())</x:f>
        <x:v>54</x:v>
      </x:c>
      <x:c r="H173" s="1" t="n">
        <x:f>IF(N173=1,SUMIFS('Лист2'!$D$2:$D$505,'Лист2'!$A$2:$A$505,A173,'Лист2'!$B$2:$B$505,B173),NA())</x:f>
        <x:v>13832</x:v>
      </x:c>
      <x:c r="I173" s="1" t="n">
        <x:f>IF(N173=1,SUMIFS('Лист2'!$E$2:$E$505,'Лист2'!$A$2:$A$505,A173,'Лист2'!$B$2:$B$505,B173),NA())</x:f>
        <x:v>12864</x:v>
      </x:c>
      <x:c r="J173" s="5" t="n">
        <x:f>A173-WEEKDAY(A173,2)+1</x:f>
        <x:v>43955</x:v>
      </x:c>
      <x:c r="K173" s="1" t="n">
        <x:f>YEAR(J173+3)</x:f>
        <x:v>2020</x:v>
      </x:c>
      <x:c r="L173" s="1" t="n">
        <x:f>INT((J173-DATE(K173,1,4)+WEEKDAY(DATE(K173,1,4),2)-1)/7)+1</x:f>
        <x:v>19</x:v>
      </x:c>
      <x:c r="M173" s="1" t="str">
        <x:f>A173&amp;"|"&amp;B173</x:f>
        <x:v>43961|Москва Восток</x:v>
      </x:c>
      <x:c r="N173" s="1" t="n">
        <x:f>COUNTIFS('Лист2'!$F$2:$F$505,M173)</x:f>
        <x:v>1</x:v>
      </x:c>
      <x:c r="O173" s="1"/>
      <x:c r="P173" s="1"/>
      <x:c r="Q173" s="1"/>
    </x:row>
    <x:row r="174" ht="21" customHeight="1">
      <x:c r="A174" s="5" t="n">
        <x:f>'Лист1'!A174</x:f>
        <x:v>43961</x:v>
      </x:c>
      <x:c r="B174" s="1" t="str">
        <x:f>'Лист1'!B174</x:f>
        <x:v>Москва Запад</x:v>
      </x:c>
      <x:c r="C174" s="1" t="n">
        <x:f>'Лист1'!C174</x:f>
        <x:v>243825</x:v>
      </x:c>
      <x:c r="D174" s="6" t="n">
        <x:f>'Лист1'!D174</x:f>
        <x:v>24890404.5</x:v>
      </x:c>
      <x:c r="E174" s="6" t="n">
        <x:f>'Лист1'!E174</x:f>
        <x:v>18159589.108</x:v>
      </x:c>
      <x:c r="F174" s="6" t="n">
        <x:f>'Лист1'!F174</x:f>
        <x:v>258558.49999999997</x:v>
      </x:c>
      <x:c r="G174" s="1" t="n">
        <x:f>IF(N174=1,SUMIFS('Лист2'!$C$2:$C$505,'Лист2'!$A$2:$A$505,A174,'Лист2'!$B$2:$B$505,B174),NA())</x:f>
        <x:v>59</x:v>
      </x:c>
      <x:c r="H174" s="1" t="n">
        <x:f>IF(N174=1,SUMIFS('Лист2'!$D$2:$D$505,'Лист2'!$A$2:$A$505,A174,'Лист2'!$B$2:$B$505,B174),NA())</x:f>
        <x:v>14569</x:v>
      </x:c>
      <x:c r="I174" s="1" t="n">
        <x:f>IF(N174=1,SUMIFS('Лист2'!$E$2:$E$505,'Лист2'!$A$2:$A$505,A174,'Лист2'!$B$2:$B$505,B174),NA())</x:f>
        <x:v>13566</x:v>
      </x:c>
      <x:c r="J174" s="5" t="n">
        <x:f>A174-WEEKDAY(A174,2)+1</x:f>
        <x:v>43955</x:v>
      </x:c>
      <x:c r="K174" s="1" t="n">
        <x:f>YEAR(J174+3)</x:f>
        <x:v>2020</x:v>
      </x:c>
      <x:c r="L174" s="1" t="n">
        <x:f>INT((J174-DATE(K174,1,4)+WEEKDAY(DATE(K174,1,4),2)-1)/7)+1</x:f>
        <x:v>19</x:v>
      </x:c>
      <x:c r="M174" s="1" t="str">
        <x:f>A174&amp;"|"&amp;B174</x:f>
        <x:v>43961|Москва Запад</x:v>
      </x:c>
      <x:c r="N174" s="1" t="n">
        <x:f>COUNTIFS('Лист2'!$F$2:$F$505,M174)</x:f>
        <x:v>1</x:v>
      </x:c>
      <x:c r="O174" s="1"/>
      <x:c r="P174" s="1"/>
      <x:c r="Q174" s="1"/>
    </x:row>
    <x:row r="175" ht="21" customHeight="1">
      <x:c r="A175" s="5" t="n">
        <x:f>'Лист1'!A175</x:f>
        <x:v>43961</x:v>
      </x:c>
      <x:c r="B175" s="1" t="str">
        <x:f>'Лист1'!B175</x:f>
        <x:v>Нижний Новгород</x:v>
      </x:c>
      <x:c r="C175" s="1" t="n">
        <x:f>'Лист1'!C175</x:f>
        <x:v>31399.5</x:v>
      </x:c>
      <x:c r="D175" s="6" t="n">
        <x:f>'Лист1'!D175</x:f>
        <x:v>2862298.5</x:v>
      </x:c>
      <x:c r="E175" s="6" t="n">
        <x:f>'Лист1'!E175</x:f>
        <x:v>2267667.519</x:v>
      </x:c>
      <x:c r="F175" s="6" t="n">
        <x:f>'Лист1'!F175</x:f>
        <x:v>169650.86923076923</x:v>
      </x:c>
      <x:c r="G175" s="1" t="n">
        <x:f>IF(N175=1,SUMIFS('Лист2'!$C$2:$C$505,'Лист2'!$A$2:$A$505,A175,'Лист2'!$B$2:$B$505,B175),NA())</x:f>
        <x:v>19</x:v>
      </x:c>
      <x:c r="H175" s="1" t="n">
        <x:f>IF(N175=1,SUMIFS('Лист2'!$D$2:$D$505,'Лист2'!$A$2:$A$505,A175,'Лист2'!$B$2:$B$505,B175),NA())</x:f>
        <x:v>1848</x:v>
      </x:c>
      <x:c r="I175" s="1" t="n">
        <x:f>IF(N175=1,SUMIFS('Лист2'!$E$2:$E$505,'Лист2'!$A$2:$A$505,A175,'Лист2'!$B$2:$B$505,B175),NA())</x:f>
        <x:v>1649</x:v>
      </x:c>
      <x:c r="J175" s="5" t="n">
        <x:f>A175-WEEKDAY(A175,2)+1</x:f>
        <x:v>43955</x:v>
      </x:c>
      <x:c r="K175" s="1" t="n">
        <x:f>YEAR(J175+3)</x:f>
        <x:v>2020</x:v>
      </x:c>
      <x:c r="L175" s="1" t="n">
        <x:f>INT((J175-DATE(K175,1,4)+WEEKDAY(DATE(K175,1,4),2)-1)/7)+1</x:f>
        <x:v>19</x:v>
      </x:c>
      <x:c r="M175" s="1" t="str">
        <x:f>A175&amp;"|"&amp;B175</x:f>
        <x:v>43961|Нижний Новгород</x:v>
      </x:c>
      <x:c r="N175" s="1" t="n">
        <x:f>COUNTIFS('Лист2'!$F$2:$F$505,M175)</x:f>
        <x:v>1</x:v>
      </x:c>
      <x:c r="O175" s="1"/>
      <x:c r="P175" s="1"/>
      <x:c r="Q175" s="1"/>
    </x:row>
    <x:row r="176" ht="21" customHeight="1">
      <x:c r="A176" s="5" t="n">
        <x:f>'Лист1'!A176</x:f>
        <x:v>43961</x:v>
      </x:c>
      <x:c r="B176" s="1" t="str">
        <x:f>'Лист1'!B176</x:f>
        <x:v>Новосибирск</x:v>
      </x:c>
      <x:c r="C176" s="1" t="n">
        <x:f>'Лист1'!C176</x:f>
        <x:v>14566.5</x:v>
      </x:c>
      <x:c r="D176" s="6" t="n">
        <x:f>'Лист1'!D176</x:f>
        <x:v>1216557</x:v>
      </x:c>
      <x:c r="E176" s="6" t="n">
        <x:f>'Лист1'!E176</x:f>
        <x:v>1013050.3829999999</x:v>
      </x:c>
      <x:c r="F176" s="6" t="n">
        <x:f>'Лист1'!F176</x:f>
        <x:v>102510.4018923077</x:v>
      </x:c>
      <x:c r="G176" s="1" t="n">
        <x:f>IF(N176=1,SUMIFS('Лист2'!$C$2:$C$505,'Лист2'!$A$2:$A$505,A176,'Лист2'!$B$2:$B$505,B176),NA())</x:f>
        <x:v>15</x:v>
      </x:c>
      <x:c r="H176" s="1" t="n">
        <x:f>IF(N176=1,SUMIFS('Лист2'!$D$2:$D$505,'Лист2'!$A$2:$A$505,A176,'Лист2'!$B$2:$B$505,B176),NA())</x:f>
        <x:v>792</x:v>
      </x:c>
      <x:c r="I176" s="1" t="n">
        <x:f>IF(N176=1,SUMIFS('Лист2'!$E$2:$E$505,'Лист2'!$A$2:$A$505,A176,'Лист2'!$B$2:$B$505,B176),NA())</x:f>
        <x:v>695</x:v>
      </x:c>
      <x:c r="J176" s="5" t="n">
        <x:f>A176-WEEKDAY(A176,2)+1</x:f>
        <x:v>43955</x:v>
      </x:c>
      <x:c r="K176" s="1" t="n">
        <x:f>YEAR(J176+3)</x:f>
        <x:v>2020</x:v>
      </x:c>
      <x:c r="L176" s="1" t="n">
        <x:f>INT((J176-DATE(K176,1,4)+WEEKDAY(DATE(K176,1,4),2)-1)/7)+1</x:f>
        <x:v>19</x:v>
      </x:c>
      <x:c r="M176" s="1" t="str">
        <x:f>A176&amp;"|"&amp;B176</x:f>
        <x:v>43961|Новосибирск</x:v>
      </x:c>
      <x:c r="N176" s="1" t="n">
        <x:f>COUNTIFS('Лист2'!$F$2:$F$505,M176)</x:f>
        <x:v>1</x:v>
      </x:c>
      <x:c r="O176" s="1"/>
      <x:c r="P176" s="1"/>
      <x:c r="Q176" s="1"/>
    </x:row>
    <x:row r="177" ht="21" customHeight="1">
      <x:c r="A177" s="5" t="n">
        <x:f>'Лист1'!A177</x:f>
        <x:v>43961</x:v>
      </x:c>
      <x:c r="B177" s="1" t="str">
        <x:f>'Лист1'!B177</x:f>
        <x:v>Пермь</x:v>
      </x:c>
      <x:c r="C177" s="1" t="n">
        <x:f>'Лист1'!C177</x:f>
        <x:v>16435.5</x:v>
      </x:c>
      <x:c r="D177" s="6" t="n">
        <x:f>'Лист1'!D177</x:f>
        <x:v>1471537.5</x:v>
      </x:c>
      <x:c r="E177" s="6" t="n">
        <x:f>'Лист1'!E177</x:f>
        <x:v>1176721.164</x:v>
      </x:c>
      <x:c r="F177" s="6" t="n">
        <x:f>'Лист1'!F177</x:f>
        <x:v>252262.82307692306</x:v>
      </x:c>
      <x:c r="G177" s="1" t="n">
        <x:f>IF(N177=1,SUMIFS('Лист2'!$C$2:$C$505,'Лист2'!$A$2:$A$505,A177,'Лист2'!$B$2:$B$505,B177),NA())</x:f>
        <x:v>15</x:v>
      </x:c>
      <x:c r="H177" s="1" t="n">
        <x:f>IF(N177=1,SUMIFS('Лист2'!$D$2:$D$505,'Лист2'!$A$2:$A$505,A177,'Лист2'!$B$2:$B$505,B177),NA())</x:f>
        <x:v>950</x:v>
      </x:c>
      <x:c r="I177" s="1" t="n">
        <x:f>IF(N177=1,SUMIFS('Лист2'!$E$2:$E$505,'Лист2'!$A$2:$A$505,A177,'Лист2'!$B$2:$B$505,B177),NA())</x:f>
        <x:v>848</x:v>
      </x:c>
      <x:c r="J177" s="5" t="n">
        <x:f>A177-WEEKDAY(A177,2)+1</x:f>
        <x:v>43955</x:v>
      </x:c>
      <x:c r="K177" s="1" t="n">
        <x:f>YEAR(J177+3)</x:f>
        <x:v>2020</x:v>
      </x:c>
      <x:c r="L177" s="1" t="n">
        <x:f>INT((J177-DATE(K177,1,4)+WEEKDAY(DATE(K177,1,4),2)-1)/7)+1</x:f>
        <x:v>19</x:v>
      </x:c>
      <x:c r="M177" s="1" t="str">
        <x:f>A177&amp;"|"&amp;B177</x:f>
        <x:v>43961|Пермь</x:v>
      </x:c>
      <x:c r="N177" s="1" t="n">
        <x:f>COUNTIFS('Лист2'!$F$2:$F$505,M177)</x:f>
        <x:v>1</x:v>
      </x:c>
      <x:c r="O177" s="1"/>
      <x:c r="P177" s="1"/>
      <x:c r="Q177" s="1"/>
    </x:row>
    <x:row r="178" ht="21" customHeight="1">
      <x:c r="A178" s="5" t="n">
        <x:f>'Лист1'!A178</x:f>
        <x:v>43961</x:v>
      </x:c>
      <x:c r="B178" s="1" t="str">
        <x:f>'Лист1'!B178</x:f>
        <x:v>Ростов-на-Дону</x:v>
      </x:c>
      <x:c r="C178" s="1" t="n">
        <x:f>'Лист1'!C178</x:f>
        <x:v>13440</x:v>
      </x:c>
      <x:c r="D178" s="6" t="n">
        <x:f>'Лист1'!D178</x:f>
        <x:v>1198285.5</x:v>
      </x:c>
      <x:c r="E178" s="6" t="n">
        <x:f>'Лист1'!E178</x:f>
        <x:v>1018063.802</x:v>
      </x:c>
      <x:c r="F178" s="6" t="n">
        <x:f>'Лист1'!F178</x:f>
        <x:v>178012.59307692308</x:v>
      </x:c>
      <x:c r="G178" s="1" t="n">
        <x:f>IF(N178=1,SUMIFS('Лист2'!$C$2:$C$505,'Лист2'!$A$2:$A$505,A178,'Лист2'!$B$2:$B$505,B178),NA())</x:f>
        <x:v>15</x:v>
      </x:c>
      <x:c r="H178" s="1" t="n">
        <x:f>IF(N178=1,SUMIFS('Лист2'!$D$2:$D$505,'Лист2'!$A$2:$A$505,A178,'Лист2'!$B$2:$B$505,B178),NA())</x:f>
        <x:v>706</x:v>
      </x:c>
      <x:c r="I178" s="1" t="n">
        <x:f>IF(N178=1,SUMIFS('Лист2'!$E$2:$E$505,'Лист2'!$A$2:$A$505,A178,'Лист2'!$B$2:$B$505,B178),NA())</x:f>
        <x:v>608</x:v>
      </x:c>
      <x:c r="J178" s="5" t="n">
        <x:f>A178-WEEKDAY(A178,2)+1</x:f>
        <x:v>43955</x:v>
      </x:c>
      <x:c r="K178" s="1" t="n">
        <x:f>YEAR(J178+3)</x:f>
        <x:v>2020</x:v>
      </x:c>
      <x:c r="L178" s="1" t="n">
        <x:f>INT((J178-DATE(K178,1,4)+WEEKDAY(DATE(K178,1,4),2)-1)/7)+1</x:f>
        <x:v>19</x:v>
      </x:c>
      <x:c r="M178" s="1" t="str">
        <x:f>A178&amp;"|"&amp;B178</x:f>
        <x:v>43961|Ростов-на-Дону</x:v>
      </x:c>
      <x:c r="N178" s="1" t="n">
        <x:f>COUNTIFS('Лист2'!$F$2:$F$505,M178)</x:f>
        <x:v>1</x:v>
      </x:c>
      <x:c r="O178" s="1"/>
      <x:c r="P178" s="1"/>
      <x:c r="Q178" s="1"/>
    </x:row>
    <x:row r="179" ht="21" customHeight="1">
      <x:c r="A179" s="5" t="n">
        <x:f>'Лист1'!A179</x:f>
        <x:v>43961</x:v>
      </x:c>
      <x:c r="B179" s="1" t="str">
        <x:f>'Лист1'!B179</x:f>
        <x:v>Санкт-Петербург Север</x:v>
      </x:c>
      <x:c r="C179" s="1" t="n">
        <x:f>'Лист1'!C179</x:f>
        <x:v>368649</x:v>
      </x:c>
      <x:c r="D179" s="6" t="n">
        <x:f>'Лист1'!D179</x:f>
        <x:v>39010875</x:v>
      </x:c>
      <x:c r="E179" s="6" t="n">
        <x:f>'Лист1'!E179</x:f>
        <x:v>28090230.959</x:v>
      </x:c>
      <x:c r="F179" s="6" t="n">
        <x:f>'Лист1'!F179</x:f>
        <x:v>532663.1615384615</x:v>
      </x:c>
      <x:c r="G179" s="1" t="n">
        <x:f>IF(N179=1,SUMIFS('Лист2'!$C$2:$C$505,'Лист2'!$A$2:$A$505,A179,'Лист2'!$B$2:$B$505,B179),NA())</x:f>
        <x:v>125</x:v>
      </x:c>
      <x:c r="H179" s="1" t="n">
        <x:f>IF(N179=1,SUMIFS('Лист2'!$D$2:$D$505,'Лист2'!$A$2:$A$505,A179,'Лист2'!$B$2:$B$505,B179),NA())</x:f>
        <x:v>20368</x:v>
      </x:c>
      <x:c r="I179" s="1" t="n">
        <x:f>IF(N179=1,SUMIFS('Лист2'!$E$2:$E$505,'Лист2'!$A$2:$A$505,A179,'Лист2'!$B$2:$B$505,B179),NA())</x:f>
        <x:v>18884</x:v>
      </x:c>
      <x:c r="J179" s="5" t="n">
        <x:f>A179-WEEKDAY(A179,2)+1</x:f>
        <x:v>43955</x:v>
      </x:c>
      <x:c r="K179" s="1" t="n">
        <x:f>YEAR(J179+3)</x:f>
        <x:v>2020</x:v>
      </x:c>
      <x:c r="L179" s="1" t="n">
        <x:f>INT((J179-DATE(K179,1,4)+WEEKDAY(DATE(K179,1,4),2)-1)/7)+1</x:f>
        <x:v>19</x:v>
      </x:c>
      <x:c r="M179" s="1" t="str">
        <x:f>A179&amp;"|"&amp;B179</x:f>
        <x:v>43961|Санкт-Петербург Север</x:v>
      </x:c>
      <x:c r="N179" s="1" t="n">
        <x:f>COUNTIFS('Лист2'!$F$2:$F$505,M179)</x:f>
        <x:v>1</x:v>
      </x:c>
      <x:c r="O179" s="1"/>
      <x:c r="P179" s="1"/>
      <x:c r="Q179" s="1"/>
    </x:row>
    <x:row r="180" ht="21" customHeight="1">
      <x:c r="A180" s="5" t="n">
        <x:f>'Лист1'!A180</x:f>
        <x:v>43961</x:v>
      </x:c>
      <x:c r="B180" s="1" t="str">
        <x:f>'Лист1'!B180</x:f>
        <x:v>Санкт-Петербург Юг</x:v>
      </x:c>
      <x:c r="C180" s="1" t="n">
        <x:f>'Лист1'!C180</x:f>
        <x:v>287206.5</x:v>
      </x:c>
      <x:c r="D180" s="6" t="n">
        <x:f>'Лист1'!D180</x:f>
        <x:v>29536176.10605</x:v>
      </x:c>
      <x:c r="E180" s="6" t="n">
        <x:f>'Лист1'!E180</x:f>
        <x:v>21276357.106</x:v>
      </x:c>
      <x:c r="F180" s="6" t="n">
        <x:f>'Лист1'!F180</x:f>
        <x:v>541588.8935615384</x:v>
      </x:c>
      <x:c r="G180" s="1" t="n">
        <x:f>IF(N180=1,SUMIFS('Лист2'!$C$2:$C$505,'Лист2'!$A$2:$A$505,A180,'Лист2'!$B$2:$B$505,B180),NA())</x:f>
        <x:v>129</x:v>
      </x:c>
      <x:c r="H180" s="1" t="n">
        <x:f>IF(N180=1,SUMIFS('Лист2'!$D$2:$D$505,'Лист2'!$A$2:$A$505,A180,'Лист2'!$B$2:$B$505,B180),NA())</x:f>
        <x:v>16437</x:v>
      </x:c>
      <x:c r="I180" s="1" t="n">
        <x:f>IF(N180=1,SUMIFS('Лист2'!$E$2:$E$505,'Лист2'!$A$2:$A$505,A180,'Лист2'!$B$2:$B$505,B180),NA())</x:f>
        <x:v>15285</x:v>
      </x:c>
      <x:c r="J180" s="5" t="n">
        <x:f>A180-WEEKDAY(A180,2)+1</x:f>
        <x:v>43955</x:v>
      </x:c>
      <x:c r="K180" s="1" t="n">
        <x:f>YEAR(J180+3)</x:f>
        <x:v>2020</x:v>
      </x:c>
      <x:c r="L180" s="1" t="n">
        <x:f>INT((J180-DATE(K180,1,4)+WEEKDAY(DATE(K180,1,4),2)-1)/7)+1</x:f>
        <x:v>19</x:v>
      </x:c>
      <x:c r="M180" s="1" t="str">
        <x:f>A180&amp;"|"&amp;B180</x:f>
        <x:v>43961|Санкт-Петербург Юг</x:v>
      </x:c>
      <x:c r="N180" s="1" t="n">
        <x:f>COUNTIFS('Лист2'!$F$2:$F$505,M180)</x:f>
        <x:v>1</x:v>
      </x:c>
      <x:c r="O180" s="1"/>
      <x:c r="P180" s="1"/>
      <x:c r="Q180" s="1"/>
    </x:row>
    <x:row r="181" ht="21" customHeight="1">
      <x:c r="A181" s="5" t="n">
        <x:f>'Лист1'!A181</x:f>
        <x:v>43961</x:v>
      </x:c>
      <x:c r="B181" s="1" t="str">
        <x:f>'Лист1'!B181</x:f>
        <x:v>Тольятти</x:v>
      </x:c>
      <x:c r="C181" s="1" t="n">
        <x:f>'Лист1'!C181</x:f>
        <x:v>12918</x:v>
      </x:c>
      <x:c r="D181" s="6" t="n">
        <x:f>'Лист1'!D181</x:f>
        <x:v>1004788.5</x:v>
      </x:c>
      <x:c r="E181" s="6" t="n">
        <x:f>'Лист1'!E181</x:f>
        <x:v>896111.803</x:v>
      </x:c>
      <x:c r="F181" s="6" t="n">
        <x:f>'Лист1'!F181</x:f>
        <x:v>99729.92307692306</x:v>
      </x:c>
      <x:c r="G181" s="1" t="n">
        <x:f>IF(N181=1,SUMIFS('Лист2'!$C$2:$C$505,'Лист2'!$A$2:$A$505,A181,'Лист2'!$B$2:$B$505,B181),NA())</x:f>
        <x:v>10</x:v>
      </x:c>
      <x:c r="H181" s="1" t="n">
        <x:f>IF(N181=1,SUMIFS('Лист2'!$D$2:$D$505,'Лист2'!$A$2:$A$505,A181,'Лист2'!$B$2:$B$505,B181),NA())</x:f>
        <x:v>642</x:v>
      </x:c>
      <x:c r="I181" s="1" t="n">
        <x:f>IF(N181=1,SUMIFS('Лист2'!$E$2:$E$505,'Лист2'!$A$2:$A$505,A181,'Лист2'!$B$2:$B$505,B181),NA())</x:f>
        <x:v>556</x:v>
      </x:c>
      <x:c r="J181" s="5" t="n">
        <x:f>A181-WEEKDAY(A181,2)+1</x:f>
        <x:v>43955</x:v>
      </x:c>
      <x:c r="K181" s="1" t="n">
        <x:f>YEAR(J181+3)</x:f>
        <x:v>2020</x:v>
      </x:c>
      <x:c r="L181" s="1" t="n">
        <x:f>INT((J181-DATE(K181,1,4)+WEEKDAY(DATE(K181,1,4),2)-1)/7)+1</x:f>
        <x:v>19</x:v>
      </x:c>
      <x:c r="M181" s="1" t="str">
        <x:f>A181&amp;"|"&amp;B181</x:f>
        <x:v>43961|Тольятти</x:v>
      </x:c>
      <x:c r="N181" s="1" t="n">
        <x:f>COUNTIFS('Лист2'!$F$2:$F$505,M181)</x:f>
        <x:v>1</x:v>
      </x:c>
      <x:c r="O181" s="1"/>
      <x:c r="P181" s="1"/>
      <x:c r="Q181" s="1"/>
    </x:row>
    <x:row r="182" ht="21" customHeight="1">
      <x:c r="A182" s="5" t="n">
        <x:f>'Лист1'!A182</x:f>
        <x:v>43962</x:v>
      </x:c>
      <x:c r="B182" s="1" t="str">
        <x:f>'Лист1'!B182</x:f>
        <x:v>Волгоград</x:v>
      </x:c>
      <x:c r="C182" s="1" t="n">
        <x:f>'Лист1'!C182</x:f>
        <x:v>59574</x:v>
      </x:c>
      <x:c r="D182" s="6" t="n">
        <x:f>'Лист1'!D182</x:f>
        <x:v>5178169.5</x:v>
      </x:c>
      <x:c r="E182" s="6" t="n">
        <x:f>'Лист1'!E182</x:f>
        <x:v>3929032.265</x:v>
      </x:c>
      <x:c r="F182" s="6" t="n">
        <x:f>'Лист1'!F182</x:f>
        <x:v>208822.3307692308</x:v>
      </x:c>
      <x:c r="G182" s="1" t="n">
        <x:f>IF(N182=1,SUMIFS('Лист2'!$C$2:$C$505,'Лист2'!$A$2:$A$505,A182,'Лист2'!$B$2:$B$505,B182),NA())</x:f>
        <x:v>36</x:v>
      </x:c>
      <x:c r="H182" s="1" t="n">
        <x:f>IF(N182=1,SUMIFS('Лист2'!$D$2:$D$505,'Лист2'!$A$2:$A$505,A182,'Лист2'!$B$2:$B$505,B182),NA())</x:f>
        <x:v>4150</x:v>
      </x:c>
      <x:c r="I182" s="1" t="n">
        <x:f>IF(N182=1,SUMIFS('Лист2'!$E$2:$E$505,'Лист2'!$A$2:$A$505,A182,'Лист2'!$B$2:$B$505,B182),NA())</x:f>
        <x:v>3838</x:v>
      </x:c>
      <x:c r="J182" s="5" t="n">
        <x:f>A182-WEEKDAY(A182,2)+1</x:f>
        <x:v>43962</x:v>
      </x:c>
      <x:c r="K182" s="1" t="n">
        <x:f>YEAR(J182+3)</x:f>
        <x:v>2020</x:v>
      </x:c>
      <x:c r="L182" s="1" t="n">
        <x:f>INT((J182-DATE(K182,1,4)+WEEKDAY(DATE(K182,1,4),2)-1)/7)+1</x:f>
        <x:v>20</x:v>
      </x:c>
      <x:c r="M182" s="1" t="str">
        <x:f>A182&amp;"|"&amp;B182</x:f>
        <x:v>43962|Волгоград</x:v>
      </x:c>
      <x:c r="N182" s="1" t="n">
        <x:f>COUNTIFS('Лист2'!$F$2:$F$505,M182)</x:f>
        <x:v>1</x:v>
      </x:c>
      <x:c r="O182" s="1"/>
      <x:c r="P182" s="1"/>
      <x:c r="Q182" s="1"/>
    </x:row>
    <x:row r="183" ht="21" customHeight="1">
      <x:c r="A183" s="5" t="n">
        <x:f>'Лист1'!A183</x:f>
        <x:v>43962</x:v>
      </x:c>
      <x:c r="B183" s="1" t="str">
        <x:f>'Лист1'!B183</x:f>
        <x:v>Екатеринбург</x:v>
      </x:c>
      <x:c r="C183" s="1" t="n">
        <x:f>'Лист1'!C183</x:f>
        <x:v>72220.5</x:v>
      </x:c>
      <x:c r="D183" s="6" t="n">
        <x:f>'Лист1'!D183</x:f>
        <x:v>6398719.5</x:v>
      </x:c>
      <x:c r="E183" s="6" t="n">
        <x:f>'Лист1'!E183</x:f>
        <x:v>4782829.606000001</x:v>
      </x:c>
      <x:c r="F183" s="6" t="n">
        <x:f>'Лист1'!F183</x:f>
        <x:v>186502.14615384614</x:v>
      </x:c>
      <x:c r="G183" s="1" t="n">
        <x:f>IF(N183=1,SUMIFS('Лист2'!$C$2:$C$505,'Лист2'!$A$2:$A$505,A183,'Лист2'!$B$2:$B$505,B183),NA())</x:f>
        <x:v>31</x:v>
      </x:c>
      <x:c r="H183" s="1" t="n">
        <x:f>IF(N183=1,SUMIFS('Лист2'!$D$2:$D$505,'Лист2'!$A$2:$A$505,A183,'Лист2'!$B$2:$B$505,B183),NA())</x:f>
        <x:v>4826</x:v>
      </x:c>
      <x:c r="I183" s="1" t="n">
        <x:f>IF(N183=1,SUMIFS('Лист2'!$E$2:$E$505,'Лист2'!$A$2:$A$505,A183,'Лист2'!$B$2:$B$505,B183),NA())</x:f>
        <x:v>4483</x:v>
      </x:c>
      <x:c r="J183" s="5" t="n">
        <x:f>A183-WEEKDAY(A183,2)+1</x:f>
        <x:v>43962</x:v>
      </x:c>
      <x:c r="K183" s="1" t="n">
        <x:f>YEAR(J183+3)</x:f>
        <x:v>2020</x:v>
      </x:c>
      <x:c r="L183" s="1" t="n">
        <x:f>INT((J183-DATE(K183,1,4)+WEEKDAY(DATE(K183,1,4),2)-1)/7)+1</x:f>
        <x:v>20</x:v>
      </x:c>
      <x:c r="M183" s="1" t="str">
        <x:f>A183&amp;"|"&amp;B183</x:f>
        <x:v>43962|Екатеринбург</x:v>
      </x:c>
      <x:c r="N183" s="1" t="n">
        <x:f>COUNTIFS('Лист2'!$F$2:$F$505,M183)</x:f>
        <x:v>1</x:v>
      </x:c>
      <x:c r="O183" s="1"/>
      <x:c r="P183" s="1"/>
      <x:c r="Q183" s="1"/>
    </x:row>
    <x:row r="184" ht="21" customHeight="1">
      <x:c r="A184" s="5" t="n">
        <x:f>'Лист1'!A184</x:f>
        <x:v>43962</x:v>
      </x:c>
      <x:c r="B184" s="1" t="str">
        <x:f>'Лист1'!B184</x:f>
        <x:v>Казань</x:v>
      </x:c>
      <x:c r="C184" s="1" t="n">
        <x:f>'Лист1'!C184</x:f>
        <x:v>32733</x:v>
      </x:c>
      <x:c r="D184" s="6" t="n">
        <x:f>'Лист1'!D184</x:f>
        <x:v>3079630.5</x:v>
      </x:c>
      <x:c r="E184" s="6" t="n">
        <x:f>'Лист1'!E184</x:f>
        <x:v>2364369.401</x:v>
      </x:c>
      <x:c r="F184" s="6" t="n">
        <x:f>'Лист1'!F184</x:f>
        <x:v>281373.5702153846</x:v>
      </x:c>
      <x:c r="G184" s="1" t="n">
        <x:f>IF(N184=1,SUMIFS('Лист2'!$C$2:$C$505,'Лист2'!$A$2:$A$505,A184,'Лист2'!$B$2:$B$505,B184),NA())</x:f>
        <x:v>21</x:v>
      </x:c>
      <x:c r="H184" s="1" t="n">
        <x:f>IF(N184=1,SUMIFS('Лист2'!$D$2:$D$505,'Лист2'!$A$2:$A$505,A184,'Лист2'!$B$2:$B$505,B184),NA())</x:f>
        <x:v>1916</x:v>
      </x:c>
      <x:c r="I184" s="1" t="n">
        <x:f>IF(N184=1,SUMIFS('Лист2'!$E$2:$E$505,'Лист2'!$A$2:$A$505,A184,'Лист2'!$B$2:$B$505,B184),NA())</x:f>
        <x:v>1733</x:v>
      </x:c>
      <x:c r="J184" s="5" t="n">
        <x:f>A184-WEEKDAY(A184,2)+1</x:f>
        <x:v>43962</x:v>
      </x:c>
      <x:c r="K184" s="1" t="n">
        <x:f>YEAR(J184+3)</x:f>
        <x:v>2020</x:v>
      </x:c>
      <x:c r="L184" s="1" t="n">
        <x:f>INT((J184-DATE(K184,1,4)+WEEKDAY(DATE(K184,1,4),2)-1)/7)+1</x:f>
        <x:v>20</x:v>
      </x:c>
      <x:c r="M184" s="1" t="str">
        <x:f>A184&amp;"|"&amp;B184</x:f>
        <x:v>43962|Казань</x:v>
      </x:c>
      <x:c r="N184" s="1" t="n">
        <x:f>COUNTIFS('Лист2'!$F$2:$F$505,M184)</x:f>
        <x:v>1</x:v>
      </x:c>
      <x:c r="O184" s="1"/>
      <x:c r="P184" s="1"/>
      <x:c r="Q184" s="1"/>
    </x:row>
    <x:row r="185" ht="21" customHeight="1">
      <x:c r="A185" s="5" t="n">
        <x:f>'Лист1'!A185</x:f>
        <x:v>43962</x:v>
      </x:c>
      <x:c r="B185" s="1" t="str">
        <x:f>'Лист1'!B185</x:f>
        <x:v>Кемерово</x:v>
      </x:c>
      <x:c r="C185" s="1" t="n">
        <x:f>'Лист1'!C185</x:f>
        <x:v>27187.5</x:v>
      </x:c>
      <x:c r="D185" s="6" t="n">
        <x:f>'Лист1'!D185</x:f>
        <x:v>2479396.5</x:v>
      </x:c>
      <x:c r="E185" s="6" t="n">
        <x:f>'Лист1'!E185</x:f>
        <x:v>1950422.9030000002</x:v>
      </x:c>
      <x:c r="F185" s="6" t="n">
        <x:f>'Лист1'!F185</x:f>
        <x:v>381635.95355384616</x:v>
      </x:c>
      <x:c r="G185" s="1" t="n">
        <x:f>IF(N185=1,SUMIFS('Лист2'!$C$2:$C$505,'Лист2'!$A$2:$A$505,A185,'Лист2'!$B$2:$B$505,B185),NA())</x:f>
        <x:v>21</x:v>
      </x:c>
      <x:c r="H185" s="1" t="n">
        <x:f>IF(N185=1,SUMIFS('Лист2'!$D$2:$D$505,'Лист2'!$A$2:$A$505,A185,'Лист2'!$B$2:$B$505,B185),NA())</x:f>
        <x:v>1597</x:v>
      </x:c>
      <x:c r="I185" s="1" t="n">
        <x:f>IF(N185=1,SUMIFS('Лист2'!$E$2:$E$505,'Лист2'!$A$2:$A$505,A185,'Лист2'!$B$2:$B$505,B185),NA())</x:f>
        <x:v>1457</x:v>
      </x:c>
      <x:c r="J185" s="5" t="n">
        <x:f>A185-WEEKDAY(A185,2)+1</x:f>
        <x:v>43962</x:v>
      </x:c>
      <x:c r="K185" s="1" t="n">
        <x:f>YEAR(J185+3)</x:f>
        <x:v>2020</x:v>
      </x:c>
      <x:c r="L185" s="1" t="n">
        <x:f>INT((J185-DATE(K185,1,4)+WEEKDAY(DATE(K185,1,4),2)-1)/7)+1</x:f>
        <x:v>20</x:v>
      </x:c>
      <x:c r="M185" s="1" t="str">
        <x:f>A185&amp;"|"&amp;B185</x:f>
        <x:v>43962|Кемерово</x:v>
      </x:c>
      <x:c r="N185" s="1" t="n">
        <x:f>COUNTIFS('Лист2'!$F$2:$F$505,M185)</x:f>
        <x:v>1</x:v>
      </x:c>
      <x:c r="O185" s="1"/>
      <x:c r="P185" s="1"/>
      <x:c r="Q185" s="1"/>
    </x:row>
    <x:row r="186" ht="21" customHeight="1">
      <x:c r="A186" s="5" t="n">
        <x:f>'Лист1'!A186</x:f>
        <x:v>43962</x:v>
      </x:c>
      <x:c r="B186" s="1" t="str">
        <x:f>'Лист1'!B186</x:f>
        <x:v>Краснодар</x:v>
      </x:c>
      <x:c r="C186" s="1" t="n">
        <x:f>'Лист1'!C186</x:f>
        <x:v>23629.5</x:v>
      </x:c>
      <x:c r="D186" s="6" t="n">
        <x:f>'Лист1'!D186</x:f>
        <x:v>2164365</x:v>
      </x:c>
      <x:c r="E186" s="6" t="n">
        <x:f>'Лист1'!E186</x:f>
        <x:v>1678039.859</x:v>
      </x:c>
      <x:c r="F186" s="6" t="n">
        <x:f>'Лист1'!F186</x:f>
        <x:v>151098.71538461538</x:v>
      </x:c>
      <x:c r="G186" s="1" t="n">
        <x:f>IF(N186=1,SUMIFS('Лист2'!$C$2:$C$505,'Лист2'!$A$2:$A$505,A186,'Лист2'!$B$2:$B$505,B186),NA())</x:f>
        <x:v>19</x:v>
      </x:c>
      <x:c r="H186" s="1" t="n">
        <x:f>IF(N186=1,SUMIFS('Лист2'!$D$2:$D$505,'Лист2'!$A$2:$A$505,A186,'Лист2'!$B$2:$B$505,B186),NA())</x:f>
        <x:v>1527</x:v>
      </x:c>
      <x:c r="I186" s="1" t="n">
        <x:f>IF(N186=1,SUMIFS('Лист2'!$E$2:$E$505,'Лист2'!$A$2:$A$505,A186,'Лист2'!$B$2:$B$505,B186),NA())</x:f>
        <x:v>1389</x:v>
      </x:c>
      <x:c r="J186" s="5" t="n">
        <x:f>A186-WEEKDAY(A186,2)+1</x:f>
        <x:v>43962</x:v>
      </x:c>
      <x:c r="K186" s="1" t="n">
        <x:f>YEAR(J186+3)</x:f>
        <x:v>2020</x:v>
      </x:c>
      <x:c r="L186" s="1" t="n">
        <x:f>INT((J186-DATE(K186,1,4)+WEEKDAY(DATE(K186,1,4),2)-1)/7)+1</x:f>
        <x:v>20</x:v>
      </x:c>
      <x:c r="M186" s="1" t="str">
        <x:f>A186&amp;"|"&amp;B186</x:f>
        <x:v>43962|Краснодар</x:v>
      </x:c>
      <x:c r="N186" s="1" t="n">
        <x:f>COUNTIFS('Лист2'!$F$2:$F$505,M186)</x:f>
        <x:v>1</x:v>
      </x:c>
      <x:c r="O186" s="1"/>
      <x:c r="P186" s="1"/>
      <x:c r="Q186" s="1"/>
    </x:row>
    <x:row r="187" ht="21" customHeight="1">
      <x:c r="A187" s="5" t="n">
        <x:f>'Лист1'!A187</x:f>
        <x:v>43962</x:v>
      </x:c>
      <x:c r="B187" s="1" t="str">
        <x:f>'Лист1'!B187</x:f>
        <x:v>Москва Восток</x:v>
      </x:c>
      <x:c r="C187" s="1" t="n">
        <x:f>'Лист1'!C187</x:f>
        <x:v>166948.5</x:v>
      </x:c>
      <x:c r="D187" s="6" t="n">
        <x:f>'Лист1'!D187</x:f>
        <x:v>16971231</x:v>
      </x:c>
      <x:c r="E187" s="6" t="n">
        <x:f>'Лист1'!E187</x:f>
        <x:v>12200989.641</x:v>
      </x:c>
      <x:c r="F187" s="6" t="n">
        <x:f>'Лист1'!F187</x:f>
        <x:v>416475.0769230769</x:v>
      </x:c>
      <x:c r="G187" s="1" t="n">
        <x:f>IF(N187=1,SUMIFS('Лист2'!$C$2:$C$505,'Лист2'!$A$2:$A$505,A187,'Лист2'!$B$2:$B$505,B187),NA())</x:f>
        <x:v>54</x:v>
      </x:c>
      <x:c r="H187" s="1" t="n">
        <x:f>IF(N187=1,SUMIFS('Лист2'!$D$2:$D$505,'Лист2'!$A$2:$A$505,A187,'Лист2'!$B$2:$B$505,B187),NA())</x:f>
        <x:v>10570</x:v>
      </x:c>
      <x:c r="I187" s="1" t="n">
        <x:f>IF(N187=1,SUMIFS('Лист2'!$E$2:$E$505,'Лист2'!$A$2:$A$505,A187,'Лист2'!$B$2:$B$505,B187),NA())</x:f>
        <x:v>9926</x:v>
      </x:c>
      <x:c r="J187" s="5" t="n">
        <x:f>A187-WEEKDAY(A187,2)+1</x:f>
        <x:v>43962</x:v>
      </x:c>
      <x:c r="K187" s="1" t="n">
        <x:f>YEAR(J187+3)</x:f>
        <x:v>2020</x:v>
      </x:c>
      <x:c r="L187" s="1" t="n">
        <x:f>INT((J187-DATE(K187,1,4)+WEEKDAY(DATE(K187,1,4),2)-1)/7)+1</x:f>
        <x:v>20</x:v>
      </x:c>
      <x:c r="M187" s="1" t="str">
        <x:f>A187&amp;"|"&amp;B187</x:f>
        <x:v>43962|Москва Восток</x:v>
      </x:c>
      <x:c r="N187" s="1" t="n">
        <x:f>COUNTIFS('Лист2'!$F$2:$F$505,M187)</x:f>
        <x:v>1</x:v>
      </x:c>
      <x:c r="O187" s="1"/>
      <x:c r="P187" s="1"/>
      <x:c r="Q187" s="1"/>
    </x:row>
    <x:row r="188" ht="21" customHeight="1">
      <x:c r="A188" s="5" t="n">
        <x:f>'Лист1'!A188</x:f>
        <x:v>43962</x:v>
      </x:c>
      <x:c r="B188" s="1" t="str">
        <x:f>'Лист1'!B188</x:f>
        <x:v>Москва Запад</x:v>
      </x:c>
      <x:c r="C188" s="1" t="n">
        <x:f>'Лист1'!C188</x:f>
        <x:v>175293</x:v>
      </x:c>
      <x:c r="D188" s="6" t="n">
        <x:f>'Лист1'!D188</x:f>
        <x:v>17919144</x:v>
      </x:c>
      <x:c r="E188" s="6" t="n">
        <x:f>'Лист1'!E188</x:f>
        <x:v>12903628.609</x:v>
      </x:c>
      <x:c r="F188" s="6" t="n">
        <x:f>'Лист1'!F188</x:f>
        <x:v>355401.6076923077</x:v>
      </x:c>
      <x:c r="G188" s="1" t="n">
        <x:f>IF(N188=1,SUMIFS('Лист2'!$C$2:$C$505,'Лист2'!$A$2:$A$505,A188,'Лист2'!$B$2:$B$505,B188),NA())</x:f>
        <x:v>60</x:v>
      </x:c>
      <x:c r="H188" s="1" t="n">
        <x:f>IF(N188=1,SUMIFS('Лист2'!$D$2:$D$505,'Лист2'!$A$2:$A$505,A188,'Лист2'!$B$2:$B$505,B188),NA())</x:f>
        <x:v>11100</x:v>
      </x:c>
      <x:c r="I188" s="1" t="n">
        <x:f>IF(N188=1,SUMIFS('Лист2'!$E$2:$E$505,'Лист2'!$A$2:$A$505,A188,'Лист2'!$B$2:$B$505,B188),NA())</x:f>
        <x:v>10407</x:v>
      </x:c>
      <x:c r="J188" s="5" t="n">
        <x:f>A188-WEEKDAY(A188,2)+1</x:f>
        <x:v>43962</x:v>
      </x:c>
      <x:c r="K188" s="1" t="n">
        <x:f>YEAR(J188+3)</x:f>
        <x:v>2020</x:v>
      </x:c>
      <x:c r="L188" s="1" t="n">
        <x:f>INT((J188-DATE(K188,1,4)+WEEKDAY(DATE(K188,1,4),2)-1)/7)+1</x:f>
        <x:v>20</x:v>
      </x:c>
      <x:c r="M188" s="1" t="str">
        <x:f>A188&amp;"|"&amp;B188</x:f>
        <x:v>43962|Москва Запад</x:v>
      </x:c>
      <x:c r="N188" s="1" t="n">
        <x:f>COUNTIFS('Лист2'!$F$2:$F$505,M188)</x:f>
        <x:v>1</x:v>
      </x:c>
      <x:c r="O188" s="1"/>
      <x:c r="P188" s="1"/>
      <x:c r="Q188" s="1"/>
    </x:row>
    <x:row r="189" ht="21" customHeight="1">
      <x:c r="A189" s="5" t="n">
        <x:f>'Лист1'!A189</x:f>
        <x:v>43962</x:v>
      </x:c>
      <x:c r="B189" s="1" t="str">
        <x:f>'Лист1'!B189</x:f>
        <x:v>Нижний Новгород</x:v>
      </x:c>
      <x:c r="C189" s="1" t="n">
        <x:f>'Лист1'!C189</x:f>
        <x:v>42397.5</x:v>
      </x:c>
      <x:c r="D189" s="6" t="n">
        <x:f>'Лист1'!D189</x:f>
        <x:v>3911979</x:v>
      </x:c>
      <x:c r="E189" s="6" t="n">
        <x:f>'Лист1'!E189</x:f>
        <x:v>3086459.8370000003</x:v>
      </x:c>
      <x:c r="F189" s="6" t="n">
        <x:f>'Лист1'!F189</x:f>
        <x:v>164514.63076923075</x:v>
      </x:c>
      <x:c r="G189" s="1" t="n">
        <x:f>IF(N189=1,SUMIFS('Лист2'!$C$2:$C$505,'Лист2'!$A$2:$A$505,A189,'Лист2'!$B$2:$B$505,B189),NA())</x:f>
        <x:v>19</x:v>
      </x:c>
      <x:c r="H189" s="1" t="n">
        <x:f>IF(N189=1,SUMIFS('Лист2'!$D$2:$D$505,'Лист2'!$A$2:$A$505,A189,'Лист2'!$B$2:$B$505,B189),NA())</x:f>
        <x:v>2530</x:v>
      </x:c>
      <x:c r="I189" s="1" t="n">
        <x:f>IF(N189=1,SUMIFS('Лист2'!$E$2:$E$505,'Лист2'!$A$2:$A$505,A189,'Лист2'!$B$2:$B$505,B189),NA())</x:f>
        <x:v>2270</x:v>
      </x:c>
      <x:c r="J189" s="5" t="n">
        <x:f>A189-WEEKDAY(A189,2)+1</x:f>
        <x:v>43962</x:v>
      </x:c>
      <x:c r="K189" s="1" t="n">
        <x:f>YEAR(J189+3)</x:f>
        <x:v>2020</x:v>
      </x:c>
      <x:c r="L189" s="1" t="n">
        <x:f>INT((J189-DATE(K189,1,4)+WEEKDAY(DATE(K189,1,4),2)-1)/7)+1</x:f>
        <x:v>20</x:v>
      </x:c>
      <x:c r="M189" s="1" t="str">
        <x:f>A189&amp;"|"&amp;B189</x:f>
        <x:v>43962|Нижний Новгород</x:v>
      </x:c>
      <x:c r="N189" s="1" t="n">
        <x:f>COUNTIFS('Лист2'!$F$2:$F$505,M189)</x:f>
        <x:v>1</x:v>
      </x:c>
      <x:c r="O189" s="1"/>
      <x:c r="P189" s="1"/>
      <x:c r="Q189" s="1"/>
    </x:row>
    <x:row r="190" ht="21" customHeight="1">
      <x:c r="A190" s="5" t="n">
        <x:f>'Лист1'!A190</x:f>
        <x:v>43962</x:v>
      </x:c>
      <x:c r="B190" s="1" t="str">
        <x:f>'Лист1'!B190</x:f>
        <x:v>Новосибирск</x:v>
      </x:c>
      <x:c r="C190" s="1" t="n">
        <x:f>'Лист1'!C190</x:f>
        <x:v>10941</x:v>
      </x:c>
      <x:c r="D190" s="6" t="n">
        <x:f>'Лист1'!D190</x:f>
        <x:v>880356</x:v>
      </x:c>
      <x:c r="E190" s="6" t="n">
        <x:f>'Лист1'!E190</x:f>
        <x:v>723289.055</x:v>
      </x:c>
      <x:c r="F190" s="6" t="n">
        <x:f>'Лист1'!F190</x:f>
        <x:v>166333.5736307692</x:v>
      </x:c>
      <x:c r="G190" s="1" t="n">
        <x:f>IF(N190=1,SUMIFS('Лист2'!$C$2:$C$505,'Лист2'!$A$2:$A$505,A190,'Лист2'!$B$2:$B$505,B190),NA())</x:f>
        <x:v>15</x:v>
      </x:c>
      <x:c r="H190" s="1" t="n">
        <x:f>IF(N190=1,SUMIFS('Лист2'!$D$2:$D$505,'Лист2'!$A$2:$A$505,A190,'Лист2'!$B$2:$B$505,B190),NA())</x:f>
        <x:v>654</x:v>
      </x:c>
      <x:c r="I190" s="1" t="n">
        <x:f>IF(N190=1,SUMIFS('Лист2'!$E$2:$E$505,'Лист2'!$A$2:$A$505,A190,'Лист2'!$B$2:$B$505,B190),NA())</x:f>
        <x:v>564</x:v>
      </x:c>
      <x:c r="J190" s="5" t="n">
        <x:f>A190-WEEKDAY(A190,2)+1</x:f>
        <x:v>43962</x:v>
      </x:c>
      <x:c r="K190" s="1" t="n">
        <x:f>YEAR(J190+3)</x:f>
        <x:v>2020</x:v>
      </x:c>
      <x:c r="L190" s="1" t="n">
        <x:f>INT((J190-DATE(K190,1,4)+WEEKDAY(DATE(K190,1,4),2)-1)/7)+1</x:f>
        <x:v>20</x:v>
      </x:c>
      <x:c r="M190" s="1" t="str">
        <x:f>A190&amp;"|"&amp;B190</x:f>
        <x:v>43962|Новосибирск</x:v>
      </x:c>
      <x:c r="N190" s="1" t="n">
        <x:f>COUNTIFS('Лист2'!$F$2:$F$505,M190)</x:f>
        <x:v>1</x:v>
      </x:c>
      <x:c r="O190" s="1"/>
      <x:c r="P190" s="1"/>
      <x:c r="Q190" s="1"/>
    </x:row>
    <x:row r="191" ht="21" customHeight="1">
      <x:c r="A191" s="5" t="n">
        <x:f>'Лист1'!A191</x:f>
        <x:v>43962</x:v>
      </x:c>
      <x:c r="B191" s="1" t="str">
        <x:f>'Лист1'!B191</x:f>
        <x:v>Пермь</x:v>
      </x:c>
      <x:c r="C191" s="1" t="n">
        <x:f>'Лист1'!C191</x:f>
        <x:v>12238.5</x:v>
      </x:c>
      <x:c r="D191" s="6" t="n">
        <x:f>'Лист1'!D191</x:f>
        <x:v>1096002</x:v>
      </x:c>
      <x:c r="E191" s="6" t="n">
        <x:f>'Лист1'!E191</x:f>
        <x:v>872395.086</x:v>
      </x:c>
      <x:c r="F191" s="6" t="n">
        <x:f>'Лист1'!F191</x:f>
        <x:v>218895.4076923077</x:v>
      </x:c>
      <x:c r="G191" s="1" t="n">
        <x:f>IF(N191=1,SUMIFS('Лист2'!$C$2:$C$505,'Лист2'!$A$2:$A$505,A191,'Лист2'!$B$2:$B$505,B191),NA())</x:f>
        <x:v>15</x:v>
      </x:c>
      <x:c r="H191" s="1" t="n">
        <x:f>IF(N191=1,SUMIFS('Лист2'!$D$2:$D$505,'Лист2'!$A$2:$A$505,A191,'Лист2'!$B$2:$B$505,B191),NA())</x:f>
        <x:v>812</x:v>
      </x:c>
      <x:c r="I191" s="1" t="n">
        <x:f>IF(N191=1,SUMIFS('Лист2'!$E$2:$E$505,'Лист2'!$A$2:$A$505,A191,'Лист2'!$B$2:$B$505,B191),NA())</x:f>
        <x:v>714</x:v>
      </x:c>
      <x:c r="J191" s="5" t="n">
        <x:f>A191-WEEKDAY(A191,2)+1</x:f>
        <x:v>43962</x:v>
      </x:c>
      <x:c r="K191" s="1" t="n">
        <x:f>YEAR(J191+3)</x:f>
        <x:v>2020</x:v>
      </x:c>
      <x:c r="L191" s="1" t="n">
        <x:f>INT((J191-DATE(K191,1,4)+WEEKDAY(DATE(K191,1,4),2)-1)/7)+1</x:f>
        <x:v>20</x:v>
      </x:c>
      <x:c r="M191" s="1" t="str">
        <x:f>A191&amp;"|"&amp;B191</x:f>
        <x:v>43962|Пермь</x:v>
      </x:c>
      <x:c r="N191" s="1" t="n">
        <x:f>COUNTIFS('Лист2'!$F$2:$F$505,M191)</x:f>
        <x:v>1</x:v>
      </x:c>
      <x:c r="O191" s="1"/>
      <x:c r="P191" s="1"/>
      <x:c r="Q191" s="1"/>
    </x:row>
    <x:row r="192" ht="21" customHeight="1">
      <x:c r="A192" s="5" t="n">
        <x:f>'Лист1'!A192</x:f>
        <x:v>43962</x:v>
      </x:c>
      <x:c r="B192" s="1" t="str">
        <x:f>'Лист1'!B192</x:f>
        <x:v>Ростов-на-Дону</x:v>
      </x:c>
      <x:c r="C192" s="1" t="n">
        <x:f>'Лист1'!C192</x:f>
        <x:v>12654</x:v>
      </x:c>
      <x:c r="D192" s="6" t="n">
        <x:f>'Лист1'!D192</x:f>
        <x:v>1081158</x:v>
      </x:c>
      <x:c r="E192" s="6" t="n">
        <x:f>'Лист1'!E192</x:f>
        <x:v>927698.8229999999</x:v>
      </x:c>
      <x:c r="F192" s="6" t="n">
        <x:f>'Лист1'!F192</x:f>
        <x:v>197299.08136923076</x:v>
      </x:c>
      <x:c r="G192" s="1" t="n">
        <x:f>IF(N192=1,SUMIFS('Лист2'!$C$2:$C$505,'Лист2'!$A$2:$A$505,A192,'Лист2'!$B$2:$B$505,B192),NA())</x:f>
        <x:v>15</x:v>
      </x:c>
      <x:c r="H192" s="1" t="n">
        <x:f>IF(N192=1,SUMIFS('Лист2'!$D$2:$D$505,'Лист2'!$A$2:$A$505,A192,'Лист2'!$B$2:$B$505,B192),NA())</x:f>
        <x:v>684</x:v>
      </x:c>
      <x:c r="I192" s="1" t="n">
        <x:f>IF(N192=1,SUMIFS('Лист2'!$E$2:$E$505,'Лист2'!$A$2:$A$505,A192,'Лист2'!$B$2:$B$505,B192),NA())</x:f>
        <x:v>585</x:v>
      </x:c>
      <x:c r="J192" s="5" t="n">
        <x:f>A192-WEEKDAY(A192,2)+1</x:f>
        <x:v>43962</x:v>
      </x:c>
      <x:c r="K192" s="1" t="n">
        <x:f>YEAR(J192+3)</x:f>
        <x:v>2020</x:v>
      </x:c>
      <x:c r="L192" s="1" t="n">
        <x:f>INT((J192-DATE(K192,1,4)+WEEKDAY(DATE(K192,1,4),2)-1)/7)+1</x:f>
        <x:v>20</x:v>
      </x:c>
      <x:c r="M192" s="1" t="str">
        <x:f>A192&amp;"|"&amp;B192</x:f>
        <x:v>43962|Ростов-на-Дону</x:v>
      </x:c>
      <x:c r="N192" s="1" t="n">
        <x:f>COUNTIFS('Лист2'!$F$2:$F$505,M192)</x:f>
        <x:v>1</x:v>
      </x:c>
      <x:c r="O192" s="1"/>
      <x:c r="P192" s="1"/>
      <x:c r="Q192" s="1"/>
    </x:row>
    <x:row r="193" ht="21" customHeight="1">
      <x:c r="A193" s="5" t="n">
        <x:f>'Лист1'!A193</x:f>
        <x:v>43962</x:v>
      </x:c>
      <x:c r="B193" s="1" t="str">
        <x:f>'Лист1'!B193</x:f>
        <x:v>Санкт-Петербург Север</x:v>
      </x:c>
      <x:c r="C193" s="1" t="n">
        <x:f>'Лист1'!C193</x:f>
        <x:v>318565.5</x:v>
      </x:c>
      <x:c r="D193" s="6" t="n">
        <x:f>'Лист1'!D193</x:f>
        <x:v>33781581</x:v>
      </x:c>
      <x:c r="E193" s="6" t="n">
        <x:f>'Лист1'!E193</x:f>
        <x:v>24232690.171</x:v>
      </x:c>
      <x:c r="F193" s="6" t="n">
        <x:f>'Лист1'!F193</x:f>
        <x:v>605833.7657076922</x:v>
      </x:c>
      <x:c r="G193" s="1" t="n">
        <x:f>IF(N193=1,SUMIFS('Лист2'!$C$2:$C$505,'Лист2'!$A$2:$A$505,A193,'Лист2'!$B$2:$B$505,B193),NA())</x:f>
        <x:v>125</x:v>
      </x:c>
      <x:c r="H193" s="1" t="n">
        <x:f>IF(N193=1,SUMIFS('Лист2'!$D$2:$D$505,'Лист2'!$A$2:$A$505,A193,'Лист2'!$B$2:$B$505,B193),NA())</x:f>
        <x:v>18066</x:v>
      </x:c>
      <x:c r="I193" s="1" t="n">
        <x:f>IF(N193=1,SUMIFS('Лист2'!$E$2:$E$505,'Лист2'!$A$2:$A$505,A193,'Лист2'!$B$2:$B$505,B193),NA())</x:f>
        <x:v>16883</x:v>
      </x:c>
      <x:c r="J193" s="5" t="n">
        <x:f>A193-WEEKDAY(A193,2)+1</x:f>
        <x:v>43962</x:v>
      </x:c>
      <x:c r="K193" s="1" t="n">
        <x:f>YEAR(J193+3)</x:f>
        <x:v>2020</x:v>
      </x:c>
      <x:c r="L193" s="1" t="n">
        <x:f>INT((J193-DATE(K193,1,4)+WEEKDAY(DATE(K193,1,4),2)-1)/7)+1</x:f>
        <x:v>20</x:v>
      </x:c>
      <x:c r="M193" s="1" t="str">
        <x:f>A193&amp;"|"&amp;B193</x:f>
        <x:v>43962|Санкт-Петербург Север</x:v>
      </x:c>
      <x:c r="N193" s="1" t="n">
        <x:f>COUNTIFS('Лист2'!$F$2:$F$505,M193)</x:f>
        <x:v>1</x:v>
      </x:c>
      <x:c r="O193" s="1"/>
      <x:c r="P193" s="1"/>
      <x:c r="Q193" s="1"/>
    </x:row>
    <x:row r="194" ht="21" customHeight="1">
      <x:c r="A194" s="5" t="n">
        <x:f>'Лист1'!A194</x:f>
        <x:v>43962</x:v>
      </x:c>
      <x:c r="B194" s="1" t="str">
        <x:f>'Лист1'!B194</x:f>
        <x:v>Санкт-Петербург Юг</x:v>
      </x:c>
      <x:c r="C194" s="1" t="n">
        <x:f>'Лист1'!C194</x:f>
        <x:v>237099</x:v>
      </x:c>
      <x:c r="D194" s="6" t="n">
        <x:f>'Лист1'!D194</x:f>
        <x:v>24628233.22395</x:v>
      </x:c>
      <x:c r="E194" s="6" t="n">
        <x:f>'Лист1'!E194</x:f>
        <x:v>17679930.47</x:v>
      </x:c>
      <x:c r="F194" s="6" t="n">
        <x:f>'Лист1'!F194</x:f>
        <x:v>622499.3303153847</x:v>
      </x:c>
      <x:c r="G194" s="1" t="n">
        <x:f>IF(N194=1,SUMIFS('Лист2'!$C$2:$C$505,'Лист2'!$A$2:$A$505,A194,'Лист2'!$B$2:$B$505,B194),NA())</x:f>
        <x:v>129</x:v>
      </x:c>
      <x:c r="H194" s="1" t="n">
        <x:f>IF(N194=1,SUMIFS('Лист2'!$D$2:$D$505,'Лист2'!$A$2:$A$505,A194,'Лист2'!$B$2:$B$505,B194),NA())</x:f>
        <x:v>14043</x:v>
      </x:c>
      <x:c r="I194" s="1" t="n">
        <x:f>IF(N194=1,SUMIFS('Лист2'!$E$2:$E$505,'Лист2'!$A$2:$A$505,A194,'Лист2'!$B$2:$B$505,B194),NA())</x:f>
        <x:v>13167</x:v>
      </x:c>
      <x:c r="J194" s="5" t="n">
        <x:f>A194-WEEKDAY(A194,2)+1</x:f>
        <x:v>43962</x:v>
      </x:c>
      <x:c r="K194" s="1" t="n">
        <x:f>YEAR(J194+3)</x:f>
        <x:v>2020</x:v>
      </x:c>
      <x:c r="L194" s="1" t="n">
        <x:f>INT((J194-DATE(K194,1,4)+WEEKDAY(DATE(K194,1,4),2)-1)/7)+1</x:f>
        <x:v>20</x:v>
      </x:c>
      <x:c r="M194" s="1" t="str">
        <x:f>A194&amp;"|"&amp;B194</x:f>
        <x:v>43962|Санкт-Петербург Юг</x:v>
      </x:c>
      <x:c r="N194" s="1" t="n">
        <x:f>COUNTIFS('Лист2'!$F$2:$F$505,M194)</x:f>
        <x:v>1</x:v>
      </x:c>
      <x:c r="O194" s="1"/>
      <x:c r="P194" s="1"/>
      <x:c r="Q194" s="1"/>
    </x:row>
    <x:row r="195" ht="21" customHeight="1">
      <x:c r="A195" s="5" t="n">
        <x:f>'Лист1'!A195</x:f>
        <x:v>43962</x:v>
      </x:c>
      <x:c r="B195" s="1" t="str">
        <x:f>'Лист1'!B195</x:f>
        <x:v>Тольятти</x:v>
      </x:c>
      <x:c r="C195" s="1" t="n">
        <x:f>'Лист1'!C195</x:f>
        <x:v>9007.5</x:v>
      </x:c>
      <x:c r="D195" s="6" t="n">
        <x:f>'Лист1'!D195</x:f>
        <x:v>734335.5</x:v>
      </x:c>
      <x:c r="E195" s="6" t="n">
        <x:f>'Лист1'!E195</x:f>
        <x:v>622482.404</x:v>
      </x:c>
      <x:c r="F195" s="6" t="n">
        <x:f>'Лист1'!F195</x:f>
        <x:v>113093.66153846154</x:v>
      </x:c>
      <x:c r="G195" s="1" t="n">
        <x:f>IF(N195=1,SUMIFS('Лист2'!$C$2:$C$505,'Лист2'!$A$2:$A$505,A195,'Лист2'!$B$2:$B$505,B195),NA())</x:f>
        <x:v>10</x:v>
      </x:c>
      <x:c r="H195" s="1" t="n">
        <x:f>IF(N195=1,SUMIFS('Лист2'!$D$2:$D$505,'Лист2'!$A$2:$A$505,A195,'Лист2'!$B$2:$B$505,B195),NA())</x:f>
        <x:v>494</x:v>
      </x:c>
      <x:c r="I195" s="1" t="n">
        <x:f>IF(N195=1,SUMIFS('Лист2'!$E$2:$E$505,'Лист2'!$A$2:$A$505,A195,'Лист2'!$B$2:$B$505,B195),NA())</x:f>
        <x:v>421</x:v>
      </x:c>
      <x:c r="J195" s="5" t="n">
        <x:f>A195-WEEKDAY(A195,2)+1</x:f>
        <x:v>43962</x:v>
      </x:c>
      <x:c r="K195" s="1" t="n">
        <x:f>YEAR(J195+3)</x:f>
        <x:v>2020</x:v>
      </x:c>
      <x:c r="L195" s="1" t="n">
        <x:f>INT((J195-DATE(K195,1,4)+WEEKDAY(DATE(K195,1,4),2)-1)/7)+1</x:f>
        <x:v>20</x:v>
      </x:c>
      <x:c r="M195" s="1" t="str">
        <x:f>A195&amp;"|"&amp;B195</x:f>
        <x:v>43962|Тольятти</x:v>
      </x:c>
      <x:c r="N195" s="1" t="n">
        <x:f>COUNTIFS('Лист2'!$F$2:$F$505,M195)</x:f>
        <x:v>1</x:v>
      </x:c>
      <x:c r="O195" s="1"/>
      <x:c r="P195" s="1"/>
      <x:c r="Q195" s="1"/>
    </x:row>
    <x:row r="196" ht="21" customHeight="1">
      <x:c r="A196" s="5" t="n">
        <x:f>'Лист1'!A196</x:f>
        <x:v>43963</x:v>
      </x:c>
      <x:c r="B196" s="1" t="str">
        <x:f>'Лист1'!B196</x:f>
        <x:v>Волгоград</x:v>
      </x:c>
      <x:c r="C196" s="1" t="n">
        <x:f>'Лист1'!C196</x:f>
        <x:v>64390.5</x:v>
      </x:c>
      <x:c r="D196" s="6" t="n">
        <x:f>'Лист1'!D196</x:f>
        <x:v>5523145.5</x:v>
      </x:c>
      <x:c r="E196" s="6" t="n">
        <x:f>'Лист1'!E196</x:f>
        <x:v>4230689.2069999995</x:v>
      </x:c>
      <x:c r="F196" s="6" t="n">
        <x:f>'Лист1'!F196</x:f>
        <x:v>183154.05167692306</x:v>
      </x:c>
      <x:c r="G196" s="1" t="n">
        <x:f>IF(N196=1,SUMIFS('Лист2'!$C$2:$C$505,'Лист2'!$A$2:$A$505,A196,'Лист2'!$B$2:$B$505,B196),NA())</x:f>
        <x:v>36</x:v>
      </x:c>
      <x:c r="H196" s="1" t="n">
        <x:f>IF(N196=1,SUMIFS('Лист2'!$D$2:$D$505,'Лист2'!$A$2:$A$505,A196,'Лист2'!$B$2:$B$505,B196),NA())</x:f>
        <x:v>4418</x:v>
      </x:c>
      <x:c r="I196" s="1" t="n">
        <x:f>IF(N196=1,SUMIFS('Лист2'!$E$2:$E$505,'Лист2'!$A$2:$A$505,A196,'Лист2'!$B$2:$B$505,B196),NA())</x:f>
        <x:v>4088</x:v>
      </x:c>
      <x:c r="J196" s="5" t="n">
        <x:f>A196-WEEKDAY(A196,2)+1</x:f>
        <x:v>43962</x:v>
      </x:c>
      <x:c r="K196" s="1" t="n">
        <x:f>YEAR(J196+3)</x:f>
        <x:v>2020</x:v>
      </x:c>
      <x:c r="L196" s="1" t="n">
        <x:f>INT((J196-DATE(K196,1,4)+WEEKDAY(DATE(K196,1,4),2)-1)/7)+1</x:f>
        <x:v>20</x:v>
      </x:c>
      <x:c r="M196" s="1" t="str">
        <x:f>A196&amp;"|"&amp;B196</x:f>
        <x:v>43963|Волгоград</x:v>
      </x:c>
      <x:c r="N196" s="1" t="n">
        <x:f>COUNTIFS('Лист2'!$F$2:$F$505,M196)</x:f>
        <x:v>1</x:v>
      </x:c>
      <x:c r="O196" s="1"/>
      <x:c r="P196" s="1"/>
      <x:c r="Q196" s="1"/>
    </x:row>
    <x:row r="197" ht="21" customHeight="1">
      <x:c r="A197" s="5" t="n">
        <x:f>'Лист1'!A197</x:f>
        <x:v>43963</x:v>
      </x:c>
      <x:c r="B197" s="1" t="str">
        <x:f>'Лист1'!B197</x:f>
        <x:v>Екатеринбург</x:v>
      </x:c>
      <x:c r="C197" s="1" t="n">
        <x:f>'Лист1'!C197</x:f>
        <x:v>71520</x:v>
      </x:c>
      <x:c r="D197" s="6" t="n">
        <x:f>'Лист1'!D197</x:f>
        <x:v>6398361</x:v>
      </x:c>
      <x:c r="E197" s="6" t="n">
        <x:f>'Лист1'!E197</x:f>
        <x:v>4793096.143999999</x:v>
      </x:c>
      <x:c r="F197" s="6" t="n">
        <x:f>'Лист1'!F197</x:f>
        <x:v>181432.06769230767</x:v>
      </x:c>
      <x:c r="G197" s="1" t="n">
        <x:f>IF(N197=1,SUMIFS('Лист2'!$C$2:$C$505,'Лист2'!$A$2:$A$505,A197,'Лист2'!$B$2:$B$505,B197),NA())</x:f>
        <x:v>31</x:v>
      </x:c>
      <x:c r="H197" s="1" t="n">
        <x:f>IF(N197=1,SUMIFS('Лист2'!$D$2:$D$505,'Лист2'!$A$2:$A$505,A197,'Лист2'!$B$2:$B$505,B197),NA())</x:f>
        <x:v>4800</x:v>
      </x:c>
      <x:c r="I197" s="1" t="n">
        <x:f>IF(N197=1,SUMIFS('Лист2'!$E$2:$E$505,'Лист2'!$A$2:$A$505,A197,'Лист2'!$B$2:$B$505,B197),NA())</x:f>
        <x:v>4470</x:v>
      </x:c>
      <x:c r="J197" s="5" t="n">
        <x:f>A197-WEEKDAY(A197,2)+1</x:f>
        <x:v>43962</x:v>
      </x:c>
      <x:c r="K197" s="1" t="n">
        <x:f>YEAR(J197+3)</x:f>
        <x:v>2020</x:v>
      </x:c>
      <x:c r="L197" s="1" t="n">
        <x:f>INT((J197-DATE(K197,1,4)+WEEKDAY(DATE(K197,1,4),2)-1)/7)+1</x:f>
        <x:v>20</x:v>
      </x:c>
      <x:c r="M197" s="1" t="str">
        <x:f>A197&amp;"|"&amp;B197</x:f>
        <x:v>43963|Екатеринбург</x:v>
      </x:c>
      <x:c r="N197" s="1" t="n">
        <x:f>COUNTIFS('Лист2'!$F$2:$F$505,M197)</x:f>
        <x:v>1</x:v>
      </x:c>
      <x:c r="O197" s="1"/>
      <x:c r="P197" s="1"/>
      <x:c r="Q197" s="1"/>
    </x:row>
    <x:row r="198" ht="21" customHeight="1">
      <x:c r="A198" s="5" t="n">
        <x:f>'Лист1'!A198</x:f>
        <x:v>43963</x:v>
      </x:c>
      <x:c r="B198" s="1" t="str">
        <x:f>'Лист1'!B198</x:f>
        <x:v>Казань</x:v>
      </x:c>
      <x:c r="C198" s="1" t="n">
        <x:f>'Лист1'!C198</x:f>
        <x:v>32419.5</x:v>
      </x:c>
      <x:c r="D198" s="6" t="n">
        <x:f>'Лист1'!D198</x:f>
        <x:v>3080614.5</x:v>
      </x:c>
      <x:c r="E198" s="6" t="n">
        <x:f>'Лист1'!E198</x:f>
        <x:v>2363955.7909999997</x:v>
      </x:c>
      <x:c r="F198" s="6" t="n">
        <x:f>'Лист1'!F198</x:f>
        <x:v>200042.36143846155</x:v>
      </x:c>
      <x:c r="G198" s="1" t="n">
        <x:f>IF(N198=1,SUMIFS('Лист2'!$C$2:$C$505,'Лист2'!$A$2:$A$505,A198,'Лист2'!$B$2:$B$505,B198),NA())</x:f>
        <x:v>21</x:v>
      </x:c>
      <x:c r="H198" s="1" t="n">
        <x:f>IF(N198=1,SUMIFS('Лист2'!$D$2:$D$505,'Лист2'!$A$2:$A$505,A198,'Лист2'!$B$2:$B$505,B198),NA())</x:f>
        <x:v>1926</x:v>
      </x:c>
      <x:c r="I198" s="1" t="n">
        <x:f>IF(N198=1,SUMIFS('Лист2'!$E$2:$E$505,'Лист2'!$A$2:$A$505,A198,'Лист2'!$B$2:$B$505,B198),NA())</x:f>
        <x:v>1745</x:v>
      </x:c>
      <x:c r="J198" s="5" t="n">
        <x:f>A198-WEEKDAY(A198,2)+1</x:f>
        <x:v>43962</x:v>
      </x:c>
      <x:c r="K198" s="1" t="n">
        <x:f>YEAR(J198+3)</x:f>
        <x:v>2020</x:v>
      </x:c>
      <x:c r="L198" s="1" t="n">
        <x:f>INT((J198-DATE(K198,1,4)+WEEKDAY(DATE(K198,1,4),2)-1)/7)+1</x:f>
        <x:v>20</x:v>
      </x:c>
      <x:c r="M198" s="1" t="str">
        <x:f>A198&amp;"|"&amp;B198</x:f>
        <x:v>43963|Казань</x:v>
      </x:c>
      <x:c r="N198" s="1" t="n">
        <x:f>COUNTIFS('Лист2'!$F$2:$F$505,M198)</x:f>
        <x:v>1</x:v>
      </x:c>
      <x:c r="O198" s="1"/>
      <x:c r="P198" s="1"/>
      <x:c r="Q198" s="1"/>
    </x:row>
    <x:row r="199" ht="21" customHeight="1">
      <x:c r="A199" s="5" t="n">
        <x:f>'Лист1'!A199</x:f>
        <x:v>43963</x:v>
      </x:c>
      <x:c r="B199" s="1" t="str">
        <x:f>'Лист1'!B199</x:f>
        <x:v>Кемерово</x:v>
      </x:c>
      <x:c r="C199" s="1" t="n">
        <x:f>'Лист1'!C199</x:f>
        <x:v>28219.5</x:v>
      </x:c>
      <x:c r="D199" s="6" t="n">
        <x:f>'Лист1'!D199</x:f>
        <x:v>2595778.5</x:v>
      </x:c>
      <x:c r="E199" s="6" t="n">
        <x:f>'Лист1'!E199</x:f>
        <x:v>2050101.9780000001</x:v>
      </x:c>
      <x:c r="F199" s="6" t="n">
        <x:f>'Лист1'!F199</x:f>
        <x:v>309760.3357307692</x:v>
      </x:c>
      <x:c r="G199" s="1" t="n">
        <x:f>IF(N199=1,SUMIFS('Лист2'!$C$2:$C$505,'Лист2'!$A$2:$A$505,A199,'Лист2'!$B$2:$B$505,B199),NA())</x:f>
        <x:v>21</x:v>
      </x:c>
      <x:c r="H199" s="1" t="n">
        <x:f>IF(N199=1,SUMIFS('Лист2'!$D$2:$D$505,'Лист2'!$A$2:$A$505,A199,'Лист2'!$B$2:$B$505,B199),NA())</x:f>
        <x:v>1656</x:v>
      </x:c>
      <x:c r="I199" s="1" t="n">
        <x:f>IF(N199=1,SUMIFS('Лист2'!$E$2:$E$505,'Лист2'!$A$2:$A$505,A199,'Лист2'!$B$2:$B$505,B199),NA())</x:f>
        <x:v>1516</x:v>
      </x:c>
      <x:c r="J199" s="5" t="n">
        <x:f>A199-WEEKDAY(A199,2)+1</x:f>
        <x:v>43962</x:v>
      </x:c>
      <x:c r="K199" s="1" t="n">
        <x:f>YEAR(J199+3)</x:f>
        <x:v>2020</x:v>
      </x:c>
      <x:c r="L199" s="1" t="n">
        <x:f>INT((J199-DATE(K199,1,4)+WEEKDAY(DATE(K199,1,4),2)-1)/7)+1</x:f>
        <x:v>20</x:v>
      </x:c>
      <x:c r="M199" s="1" t="str">
        <x:f>A199&amp;"|"&amp;B199</x:f>
        <x:v>43963|Кемерово</x:v>
      </x:c>
      <x:c r="N199" s="1" t="n">
        <x:f>COUNTIFS('Лист2'!$F$2:$F$505,M199)</x:f>
        <x:v>1</x:v>
      </x:c>
      <x:c r="O199" s="1"/>
      <x:c r="P199" s="1"/>
      <x:c r="Q199" s="1"/>
    </x:row>
    <x:row r="200" ht="21" customHeight="1">
      <x:c r="A200" s="5" t="n">
        <x:f>'Лист1'!A200</x:f>
        <x:v>43963</x:v>
      </x:c>
      <x:c r="B200" s="1" t="str">
        <x:f>'Лист1'!B200</x:f>
        <x:v>Краснодар</x:v>
      </x:c>
      <x:c r="C200" s="1" t="n">
        <x:f>'Лист1'!C200</x:f>
        <x:v>25483.5</x:v>
      </x:c>
      <x:c r="D200" s="6" t="n">
        <x:f>'Лист1'!D200</x:f>
        <x:v>2243160</x:v>
      </x:c>
      <x:c r="E200" s="6" t="n">
        <x:f>'Лист1'!E200</x:f>
        <x:v>1757185.7729999998</x:v>
      </x:c>
      <x:c r="F200" s="6" t="n">
        <x:f>'Лист1'!F200</x:f>
        <x:v>114933.5923076923</x:v>
      </x:c>
      <x:c r="G200" s="1" t="n">
        <x:f>IF(N200=1,SUMIFS('Лист2'!$C$2:$C$505,'Лист2'!$A$2:$A$505,A200,'Лист2'!$B$2:$B$505,B200),NA())</x:f>
        <x:v>19</x:v>
      </x:c>
      <x:c r="H200" s="1" t="n">
        <x:f>IF(N200=1,SUMIFS('Лист2'!$D$2:$D$505,'Лист2'!$A$2:$A$505,A200,'Лист2'!$B$2:$B$505,B200),NA())</x:f>
        <x:v>1598</x:v>
      </x:c>
      <x:c r="I200" s="1" t="n">
        <x:f>IF(N200=1,SUMIFS('Лист2'!$E$2:$E$505,'Лист2'!$A$2:$A$505,A200,'Лист2'!$B$2:$B$505,B200),NA())</x:f>
        <x:v>1454</x:v>
      </x:c>
      <x:c r="J200" s="5" t="n">
        <x:f>A200-WEEKDAY(A200,2)+1</x:f>
        <x:v>43962</x:v>
      </x:c>
      <x:c r="K200" s="1" t="n">
        <x:f>YEAR(J200+3)</x:f>
        <x:v>2020</x:v>
      </x:c>
      <x:c r="L200" s="1" t="n">
        <x:f>INT((J200-DATE(K200,1,4)+WEEKDAY(DATE(K200,1,4),2)-1)/7)+1</x:f>
        <x:v>20</x:v>
      </x:c>
      <x:c r="M200" s="1" t="str">
        <x:f>A200&amp;"|"&amp;B200</x:f>
        <x:v>43963|Краснодар</x:v>
      </x:c>
      <x:c r="N200" s="1" t="n">
        <x:f>COUNTIFS('Лист2'!$F$2:$F$505,M200)</x:f>
        <x:v>1</x:v>
      </x:c>
      <x:c r="O200" s="1"/>
      <x:c r="P200" s="1"/>
      <x:c r="Q200" s="1"/>
    </x:row>
    <x:row r="201" ht="21" customHeight="1">
      <x:c r="A201" s="5" t="n">
        <x:f>'Лист1'!A201</x:f>
        <x:v>43963</x:v>
      </x:c>
      <x:c r="B201" s="1" t="str">
        <x:f>'Лист1'!B201</x:f>
        <x:v>Москва Восток</x:v>
      </x:c>
      <x:c r="C201" s="1" t="n">
        <x:f>'Лист1'!C201</x:f>
        <x:v>189679.5</x:v>
      </x:c>
      <x:c r="D201" s="6" t="n">
        <x:f>'Лист1'!D201</x:f>
        <x:v>18718036.5</x:v>
      </x:c>
      <x:c r="E201" s="6" t="n">
        <x:f>'Лист1'!E201</x:f>
        <x:v>13500671.991999999</x:v>
      </x:c>
      <x:c r="F201" s="6" t="n">
        <x:f>'Лист1'!F201</x:f>
        <x:v>344959.87384615385</x:v>
      </x:c>
      <x:c r="G201" s="1" t="n">
        <x:f>IF(N201=1,SUMIFS('Лист2'!$C$2:$C$505,'Лист2'!$A$2:$A$505,A201,'Лист2'!$B$2:$B$505,B201),NA())</x:f>
        <x:v>54</x:v>
      </x:c>
      <x:c r="H201" s="1" t="n">
        <x:f>IF(N201=1,SUMIFS('Лист2'!$D$2:$D$505,'Лист2'!$A$2:$A$505,A201,'Лист2'!$B$2:$B$505,B201),NA())</x:f>
        <x:v>11614</x:v>
      </x:c>
      <x:c r="I201" s="1" t="n">
        <x:f>IF(N201=1,SUMIFS('Лист2'!$E$2:$E$505,'Лист2'!$A$2:$A$505,A201,'Лист2'!$B$2:$B$505,B201),NA())</x:f>
        <x:v>10862</x:v>
      </x:c>
      <x:c r="J201" s="5" t="n">
        <x:f>A201-WEEKDAY(A201,2)+1</x:f>
        <x:v>43962</x:v>
      </x:c>
      <x:c r="K201" s="1" t="n">
        <x:f>YEAR(J201+3)</x:f>
        <x:v>2020</x:v>
      </x:c>
      <x:c r="L201" s="1" t="n">
        <x:f>INT((J201-DATE(K201,1,4)+WEEKDAY(DATE(K201,1,4),2)-1)/7)+1</x:f>
        <x:v>20</x:v>
      </x:c>
      <x:c r="M201" s="1" t="str">
        <x:f>A201&amp;"|"&amp;B201</x:f>
        <x:v>43963|Москва Восток</x:v>
      </x:c>
      <x:c r="N201" s="1" t="n">
        <x:f>COUNTIFS('Лист2'!$F$2:$F$505,M201)</x:f>
        <x:v>1</x:v>
      </x:c>
      <x:c r="O201" s="1"/>
      <x:c r="P201" s="1"/>
      <x:c r="Q201" s="1"/>
    </x:row>
    <x:row r="202" ht="21" customHeight="1">
      <x:c r="A202" s="5" t="n">
        <x:f>'Лист1'!A202</x:f>
        <x:v>43963</x:v>
      </x:c>
      <x:c r="B202" s="1" t="str">
        <x:f>'Лист1'!B202</x:f>
        <x:v>Москва Запад</x:v>
      </x:c>
      <x:c r="C202" s="1" t="n">
        <x:f>'Лист1'!C202</x:f>
        <x:v>192886.5</x:v>
      </x:c>
      <x:c r="D202" s="6" t="n">
        <x:f>'Лист1'!D202</x:f>
        <x:v>19205179.5</x:v>
      </x:c>
      <x:c r="E202" s="6" t="n">
        <x:f>'Лист1'!E202</x:f>
        <x:v>13834210.462</x:v>
      </x:c>
      <x:c r="F202" s="6" t="n">
        <x:f>'Лист1'!F202</x:f>
        <x:v>383344.65076923074</x:v>
      </x:c>
      <x:c r="G202" s="1" t="n">
        <x:f>IF(N202=1,SUMIFS('Лист2'!$C$2:$C$505,'Лист2'!$A$2:$A$505,A202,'Лист2'!$B$2:$B$505,B202),NA())</x:f>
        <x:v>60</x:v>
      </x:c>
      <x:c r="H202" s="1" t="n">
        <x:f>IF(N202=1,SUMIFS('Лист2'!$D$2:$D$505,'Лист2'!$A$2:$A$505,A202,'Лист2'!$B$2:$B$505,B202),NA())</x:f>
        <x:v>12000</x:v>
      </x:c>
      <x:c r="I202" s="1" t="n">
        <x:f>IF(N202=1,SUMIFS('Лист2'!$E$2:$E$505,'Лист2'!$A$2:$A$505,A202,'Лист2'!$B$2:$B$505,B202),NA())</x:f>
        <x:v>11194</x:v>
      </x:c>
      <x:c r="J202" s="5" t="n">
        <x:f>A202-WEEKDAY(A202,2)+1</x:f>
        <x:v>43962</x:v>
      </x:c>
      <x:c r="K202" s="1" t="n">
        <x:f>YEAR(J202+3)</x:f>
        <x:v>2020</x:v>
      </x:c>
      <x:c r="L202" s="1" t="n">
        <x:f>INT((J202-DATE(K202,1,4)+WEEKDAY(DATE(K202,1,4),2)-1)/7)+1</x:f>
        <x:v>20</x:v>
      </x:c>
      <x:c r="M202" s="1" t="str">
        <x:f>A202&amp;"|"&amp;B202</x:f>
        <x:v>43963|Москва Запад</x:v>
      </x:c>
      <x:c r="N202" s="1" t="n">
        <x:f>COUNTIFS('Лист2'!$F$2:$F$505,M202)</x:f>
        <x:v>1</x:v>
      </x:c>
      <x:c r="O202" s="1"/>
      <x:c r="P202" s="1"/>
      <x:c r="Q202" s="1"/>
    </x:row>
    <x:row r="203" ht="21" customHeight="1">
      <x:c r="A203" s="5" t="n">
        <x:f>'Лист1'!A203</x:f>
        <x:v>43963</x:v>
      </x:c>
      <x:c r="B203" s="1" t="str">
        <x:f>'Лист1'!B203</x:f>
        <x:v>Нижний Новгород</x:v>
      </x:c>
      <x:c r="C203" s="1" t="n">
        <x:f>'Лист1'!C203</x:f>
        <x:v>26032.5</x:v>
      </x:c>
      <x:c r="D203" s="6" t="n">
        <x:f>'Лист1'!D203</x:f>
        <x:v>2370432</x:v>
      </x:c>
      <x:c r="E203" s="6" t="n">
        <x:f>'Лист1'!E203</x:f>
        <x:v>1847737.837</x:v>
      </x:c>
      <x:c r="F203" s="6" t="n">
        <x:f>'Лист1'!F203</x:f>
        <x:v>141864.00329999998</x:v>
      </x:c>
      <x:c r="G203" s="1" t="n">
        <x:f>IF(N203=1,SUMIFS('Лист2'!$C$2:$C$505,'Лист2'!$A$2:$A$505,A203,'Лист2'!$B$2:$B$505,B203),NA())</x:f>
        <x:v>19</x:v>
      </x:c>
      <x:c r="H203" s="1" t="n">
        <x:f>IF(N203=1,SUMIFS('Лист2'!$D$2:$D$505,'Лист2'!$A$2:$A$505,A203,'Лист2'!$B$2:$B$505,B203),NA())</x:f>
        <x:v>1649</x:v>
      </x:c>
      <x:c r="I203" s="1" t="n">
        <x:f>IF(N203=1,SUMIFS('Лист2'!$E$2:$E$505,'Лист2'!$A$2:$A$505,A203,'Лист2'!$B$2:$B$505,B203),NA())</x:f>
        <x:v>1460</x:v>
      </x:c>
      <x:c r="J203" s="5" t="n">
        <x:f>A203-WEEKDAY(A203,2)+1</x:f>
        <x:v>43962</x:v>
      </x:c>
      <x:c r="K203" s="1" t="n">
        <x:f>YEAR(J203+3)</x:f>
        <x:v>2020</x:v>
      </x:c>
      <x:c r="L203" s="1" t="n">
        <x:f>INT((J203-DATE(K203,1,4)+WEEKDAY(DATE(K203,1,4),2)-1)/7)+1</x:f>
        <x:v>20</x:v>
      </x:c>
      <x:c r="M203" s="1" t="str">
        <x:f>A203&amp;"|"&amp;B203</x:f>
        <x:v>43963|Нижний Новгород</x:v>
      </x:c>
      <x:c r="N203" s="1" t="n">
        <x:f>COUNTIFS('Лист2'!$F$2:$F$505,M203)</x:f>
        <x:v>1</x:v>
      </x:c>
      <x:c r="O203" s="1"/>
      <x:c r="P203" s="1"/>
      <x:c r="Q203" s="1"/>
    </x:row>
    <x:row r="204" ht="21" customHeight="1">
      <x:c r="A204" s="5" t="n">
        <x:f>'Лист1'!A204</x:f>
        <x:v>43963</x:v>
      </x:c>
      <x:c r="B204" s="1" t="str">
        <x:f>'Лист1'!B204</x:f>
        <x:v>Новосибирск</x:v>
      </x:c>
      <x:c r="C204" s="1" t="n">
        <x:f>'Лист1'!C204</x:f>
        <x:v>13443</x:v>
      </x:c>
      <x:c r="D204" s="6" t="n">
        <x:f>'Лист1'!D204</x:f>
        <x:v>1092277.5</x:v>
      </x:c>
      <x:c r="E204" s="6" t="n">
        <x:f>'Лист1'!E204</x:f>
        <x:v>921493.483</x:v>
      </x:c>
      <x:c r="F204" s="6" t="n">
        <x:f>'Лист1'!F204</x:f>
        <x:v>218151.6</x:v>
      </x:c>
      <x:c r="G204" s="1" t="n">
        <x:f>IF(N204=1,SUMIFS('Лист2'!$C$2:$C$505,'Лист2'!$A$2:$A$505,A204,'Лист2'!$B$2:$B$505,B204),NA())</x:f>
        <x:v>15</x:v>
      </x:c>
      <x:c r="H204" s="1" t="n">
        <x:f>IF(N204=1,SUMIFS('Лист2'!$D$2:$D$505,'Лист2'!$A$2:$A$505,A204,'Лист2'!$B$2:$B$505,B204),NA())</x:f>
        <x:v>750</x:v>
      </x:c>
      <x:c r="I204" s="1" t="n">
        <x:f>IF(N204=1,SUMIFS('Лист2'!$E$2:$E$505,'Лист2'!$A$2:$A$505,A204,'Лист2'!$B$2:$B$505,B204),NA())</x:f>
        <x:v>659</x:v>
      </x:c>
      <x:c r="J204" s="5" t="n">
        <x:f>A204-WEEKDAY(A204,2)+1</x:f>
        <x:v>43962</x:v>
      </x:c>
      <x:c r="K204" s="1" t="n">
        <x:f>YEAR(J204+3)</x:f>
        <x:v>2020</x:v>
      </x:c>
      <x:c r="L204" s="1" t="n">
        <x:f>INT((J204-DATE(K204,1,4)+WEEKDAY(DATE(K204,1,4),2)-1)/7)+1</x:f>
        <x:v>20</x:v>
      </x:c>
      <x:c r="M204" s="1" t="str">
        <x:f>A204&amp;"|"&amp;B204</x:f>
        <x:v>43963|Новосибирск</x:v>
      </x:c>
      <x:c r="N204" s="1" t="n">
        <x:f>COUNTIFS('Лист2'!$F$2:$F$505,M204)</x:f>
        <x:v>1</x:v>
      </x:c>
      <x:c r="O204" s="1"/>
      <x:c r="P204" s="1"/>
      <x:c r="Q204" s="1"/>
    </x:row>
    <x:row r="205" ht="21" customHeight="1">
      <x:c r="A205" s="5" t="n">
        <x:f>'Лист1'!A205</x:f>
        <x:v>43963</x:v>
      </x:c>
      <x:c r="B205" s="1" t="str">
        <x:f>'Лист1'!B205</x:f>
        <x:v>Пермь</x:v>
      </x:c>
      <x:c r="C205" s="1" t="n">
        <x:f>'Лист1'!C205</x:f>
        <x:v>12802.5</x:v>
      </x:c>
      <x:c r="D205" s="6" t="n">
        <x:f>'Лист1'!D205</x:f>
        <x:v>1123830</x:v>
      </x:c>
      <x:c r="E205" s="6" t="n">
        <x:f>'Лист1'!E205</x:f>
        <x:v>914932.571</x:v>
      </x:c>
      <x:c r="F205" s="6" t="n">
        <x:f>'Лист1'!F205</x:f>
        <x:v>284287.79007692303</x:v>
      </x:c>
      <x:c r="G205" s="1" t="n">
        <x:f>IF(N205=1,SUMIFS('Лист2'!$C$2:$C$505,'Лист2'!$A$2:$A$505,A205,'Лист2'!$B$2:$B$505,B205),NA())</x:f>
        <x:v>15</x:v>
      </x:c>
      <x:c r="H205" s="1" t="n">
        <x:f>IF(N205=1,SUMIFS('Лист2'!$D$2:$D$505,'Лист2'!$A$2:$A$505,A205,'Лист2'!$B$2:$B$505,B205),NA())</x:f>
        <x:v>845</x:v>
      </x:c>
      <x:c r="I205" s="1" t="n">
        <x:f>IF(N205=1,SUMIFS('Лист2'!$E$2:$E$505,'Лист2'!$A$2:$A$505,A205,'Лист2'!$B$2:$B$505,B205),NA())</x:f>
        <x:v>743</x:v>
      </x:c>
      <x:c r="J205" s="5" t="n">
        <x:f>A205-WEEKDAY(A205,2)+1</x:f>
        <x:v>43962</x:v>
      </x:c>
      <x:c r="K205" s="1" t="n">
        <x:f>YEAR(J205+3)</x:f>
        <x:v>2020</x:v>
      </x:c>
      <x:c r="L205" s="1" t="n">
        <x:f>INT((J205-DATE(K205,1,4)+WEEKDAY(DATE(K205,1,4),2)-1)/7)+1</x:f>
        <x:v>20</x:v>
      </x:c>
      <x:c r="M205" s="1" t="str">
        <x:f>A205&amp;"|"&amp;B205</x:f>
        <x:v>43963|Пермь</x:v>
      </x:c>
      <x:c r="N205" s="1" t="n">
        <x:f>COUNTIFS('Лист2'!$F$2:$F$505,M205)</x:f>
        <x:v>1</x:v>
      </x:c>
      <x:c r="O205" s="1"/>
      <x:c r="P205" s="1"/>
      <x:c r="Q205" s="1"/>
    </x:row>
    <x:row r="206" ht="21" customHeight="1">
      <x:c r="A206" s="5" t="n">
        <x:f>'Лист1'!A206</x:f>
        <x:v>43963</x:v>
      </x:c>
      <x:c r="B206" s="1" t="str">
        <x:f>'Лист1'!B206</x:f>
        <x:v>Ростов-на-Дону</x:v>
      </x:c>
      <x:c r="C206" s="1" t="n">
        <x:f>'Лист1'!C206</x:f>
        <x:v>11296.5</x:v>
      </x:c>
      <x:c r="D206" s="6" t="n">
        <x:f>'Лист1'!D206</x:f>
        <x:v>989632.5</x:v>
      </x:c>
      <x:c r="E206" s="6" t="n">
        <x:f>'Лист1'!E206</x:f>
        <x:v>829947.412</x:v>
      </x:c>
      <x:c r="F206" s="6" t="n">
        <x:f>'Лист1'!F206</x:f>
        <x:v>196319.5046923077</x:v>
      </x:c>
      <x:c r="G206" s="1" t="n">
        <x:f>IF(N206=1,SUMIFS('Лист2'!$C$2:$C$505,'Лист2'!$A$2:$A$505,A206,'Лист2'!$B$2:$B$505,B206),NA())</x:f>
        <x:v>15</x:v>
      </x:c>
      <x:c r="H206" s="1" t="n">
        <x:f>IF(N206=1,SUMIFS('Лист2'!$D$2:$D$505,'Лист2'!$A$2:$A$505,A206,'Лист2'!$B$2:$B$505,B206),NA())</x:f>
        <x:v>624</x:v>
      </x:c>
      <x:c r="I206" s="1" t="n">
        <x:f>IF(N206=1,SUMIFS('Лист2'!$E$2:$E$505,'Лист2'!$A$2:$A$505,A206,'Лист2'!$B$2:$B$505,B206),NA())</x:f>
        <x:v>538</x:v>
      </x:c>
      <x:c r="J206" s="5" t="n">
        <x:f>A206-WEEKDAY(A206,2)+1</x:f>
        <x:v>43962</x:v>
      </x:c>
      <x:c r="K206" s="1" t="n">
        <x:f>YEAR(J206+3)</x:f>
        <x:v>2020</x:v>
      </x:c>
      <x:c r="L206" s="1" t="n">
        <x:f>INT((J206-DATE(K206,1,4)+WEEKDAY(DATE(K206,1,4),2)-1)/7)+1</x:f>
        <x:v>20</x:v>
      </x:c>
      <x:c r="M206" s="1" t="str">
        <x:f>A206&amp;"|"&amp;B206</x:f>
        <x:v>43963|Ростов-на-Дону</x:v>
      </x:c>
      <x:c r="N206" s="1" t="n">
        <x:f>COUNTIFS('Лист2'!$F$2:$F$505,M206)</x:f>
        <x:v>1</x:v>
      </x:c>
      <x:c r="O206" s="1"/>
      <x:c r="P206" s="1"/>
      <x:c r="Q206" s="1"/>
    </x:row>
    <x:row r="207" ht="21" customHeight="1">
      <x:c r="A207" s="5" t="n">
        <x:f>'Лист1'!A207</x:f>
        <x:v>43963</x:v>
      </x:c>
      <x:c r="B207" s="1" t="str">
        <x:f>'Лист1'!B207</x:f>
        <x:v>Санкт-Петербург Север</x:v>
      </x:c>
      <x:c r="C207" s="1" t="n">
        <x:f>'Лист1'!C207</x:f>
        <x:v>373392</x:v>
      </x:c>
      <x:c r="D207" s="6" t="n">
        <x:f>'Лист1'!D207</x:f>
        <x:v>39578577</x:v>
      </x:c>
      <x:c r="E207" s="6" t="n">
        <x:f>'Лист1'!E207</x:f>
        <x:v>28453665.595</x:v>
      </x:c>
      <x:c r="F207" s="6" t="n">
        <x:f>'Лист1'!F207</x:f>
        <x:v>535419.8979692308</x:v>
      </x:c>
      <x:c r="G207" s="1" t="n">
        <x:f>IF(N207=1,SUMIFS('Лист2'!$C$2:$C$505,'Лист2'!$A$2:$A$505,A207,'Лист2'!$B$2:$B$505,B207),NA())</x:f>
        <x:v>125</x:v>
      </x:c>
      <x:c r="H207" s="1" t="n">
        <x:f>IF(N207=1,SUMIFS('Лист2'!$D$2:$D$505,'Лист2'!$A$2:$A$505,A207,'Лист2'!$B$2:$B$505,B207),NA())</x:f>
        <x:v>21106</x:v>
      </x:c>
      <x:c r="I207" s="1" t="n">
        <x:f>IF(N207=1,SUMIFS('Лист2'!$E$2:$E$505,'Лист2'!$A$2:$A$505,A207,'Лист2'!$B$2:$B$505,B207),NA())</x:f>
        <x:v>19651</x:v>
      </x:c>
      <x:c r="J207" s="5" t="n">
        <x:f>A207-WEEKDAY(A207,2)+1</x:f>
        <x:v>43962</x:v>
      </x:c>
      <x:c r="K207" s="1" t="n">
        <x:f>YEAR(J207+3)</x:f>
        <x:v>2020</x:v>
      </x:c>
      <x:c r="L207" s="1" t="n">
        <x:f>INT((J207-DATE(K207,1,4)+WEEKDAY(DATE(K207,1,4),2)-1)/7)+1</x:f>
        <x:v>20</x:v>
      </x:c>
      <x:c r="M207" s="1" t="str">
        <x:f>A207&amp;"|"&amp;B207</x:f>
        <x:v>43963|Санкт-Петербург Север</x:v>
      </x:c>
      <x:c r="N207" s="1" t="n">
        <x:f>COUNTIFS('Лист2'!$F$2:$F$505,M207)</x:f>
        <x:v>1</x:v>
      </x:c>
      <x:c r="O207" s="1"/>
      <x:c r="P207" s="1"/>
      <x:c r="Q207" s="1"/>
    </x:row>
    <x:row r="208" ht="21" customHeight="1">
      <x:c r="A208" s="5" t="n">
        <x:f>'Лист1'!A208</x:f>
        <x:v>43963</x:v>
      </x:c>
      <x:c r="B208" s="1" t="str">
        <x:f>'Лист1'!B208</x:f>
        <x:v>Санкт-Петербург Юг</x:v>
      </x:c>
      <x:c r="C208" s="1" t="n">
        <x:f>'Лист1'!C208</x:f>
        <x:v>281796</x:v>
      </x:c>
      <x:c r="D208" s="6" t="n">
        <x:f>'Лист1'!D208</x:f>
        <x:v>29042520</x:v>
      </x:c>
      <x:c r="E208" s="6" t="n">
        <x:f>'Лист1'!E208</x:f>
        <x:v>20980503.505</x:v>
      </x:c>
      <x:c r="F208" s="6" t="n">
        <x:f>'Лист1'!F208</x:f>
        <x:v>776209.0316999999</x:v>
      </x:c>
      <x:c r="G208" s="1" t="n">
        <x:f>IF(N208=1,SUMIFS('Лист2'!$C$2:$C$505,'Лист2'!$A$2:$A$505,A208,'Лист2'!$B$2:$B$505,B208),NA())</x:f>
        <x:v>129</x:v>
      </x:c>
      <x:c r="H208" s="1" t="n">
        <x:f>IF(N208=1,SUMIFS('Лист2'!$D$2:$D$505,'Лист2'!$A$2:$A$505,A208,'Лист2'!$B$2:$B$505,B208),NA())</x:f>
        <x:v>16387</x:v>
      </x:c>
      <x:c r="I208" s="1" t="n">
        <x:f>IF(N208=1,SUMIFS('Лист2'!$E$2:$E$505,'Лист2'!$A$2:$A$505,A208,'Лист2'!$B$2:$B$505,B208),NA())</x:f>
        <x:v>15322</x:v>
      </x:c>
      <x:c r="J208" s="5" t="n">
        <x:f>A208-WEEKDAY(A208,2)+1</x:f>
        <x:v>43962</x:v>
      </x:c>
      <x:c r="K208" s="1" t="n">
        <x:f>YEAR(J208+3)</x:f>
        <x:v>2020</x:v>
      </x:c>
      <x:c r="L208" s="1" t="n">
        <x:f>INT((J208-DATE(K208,1,4)+WEEKDAY(DATE(K208,1,4),2)-1)/7)+1</x:f>
        <x:v>20</x:v>
      </x:c>
      <x:c r="M208" s="1" t="str">
        <x:f>A208&amp;"|"&amp;B208</x:f>
        <x:v>43963|Санкт-Петербург Юг</x:v>
      </x:c>
      <x:c r="N208" s="1" t="n">
        <x:f>COUNTIFS('Лист2'!$F$2:$F$505,M208)</x:f>
        <x:v>1</x:v>
      </x:c>
      <x:c r="O208" s="1"/>
      <x:c r="P208" s="1"/>
      <x:c r="Q208" s="1"/>
    </x:row>
    <x:row r="209" ht="21" customHeight="1">
      <x:c r="A209" s="5" t="n">
        <x:f>'Лист1'!A209</x:f>
        <x:v>43963</x:v>
      </x:c>
      <x:c r="B209" s="1" t="str">
        <x:f>'Лист1'!B209</x:f>
        <x:v>Тольятти</x:v>
      </x:c>
      <x:c r="C209" s="1" t="n">
        <x:f>'Лист1'!C209</x:f>
        <x:v>9328.5</x:v>
      </x:c>
      <x:c r="D209" s="6" t="n">
        <x:f>'Лист1'!D209</x:f>
        <x:v>732964.5</x:v>
      </x:c>
      <x:c r="E209" s="6" t="n">
        <x:f>'Лист1'!E209</x:f>
        <x:v>634517.673</x:v>
      </x:c>
      <x:c r="F209" s="6" t="n">
        <x:f>'Лист1'!F209</x:f>
        <x:v>136157.9836153846</x:v>
      </x:c>
      <x:c r="G209" s="1" t="n">
        <x:f>IF(N209=1,SUMIFS('Лист2'!$C$2:$C$505,'Лист2'!$A$2:$A$505,A209,'Лист2'!$B$2:$B$505,B209),NA())</x:f>
        <x:v>10</x:v>
      </x:c>
      <x:c r="H209" s="1" t="n">
        <x:f>IF(N209=1,SUMIFS('Лист2'!$D$2:$D$505,'Лист2'!$A$2:$A$505,A209,'Лист2'!$B$2:$B$505,B209),NA())</x:f>
        <x:v>526</x:v>
      </x:c>
      <x:c r="I209" s="1" t="n">
        <x:f>IF(N209=1,SUMIFS('Лист2'!$E$2:$E$505,'Лист2'!$A$2:$A$505,A209,'Лист2'!$B$2:$B$505,B209),NA())</x:f>
        <x:v>448</x:v>
      </x:c>
      <x:c r="J209" s="5" t="n">
        <x:f>A209-WEEKDAY(A209,2)+1</x:f>
        <x:v>43962</x:v>
      </x:c>
      <x:c r="K209" s="1" t="n">
        <x:f>YEAR(J209+3)</x:f>
        <x:v>2020</x:v>
      </x:c>
      <x:c r="L209" s="1" t="n">
        <x:f>INT((J209-DATE(K209,1,4)+WEEKDAY(DATE(K209,1,4),2)-1)/7)+1</x:f>
        <x:v>20</x:v>
      </x:c>
      <x:c r="M209" s="1" t="str">
        <x:f>A209&amp;"|"&amp;B209</x:f>
        <x:v>43963|Тольятти</x:v>
      </x:c>
      <x:c r="N209" s="1" t="n">
        <x:f>COUNTIFS('Лист2'!$F$2:$F$505,M209)</x:f>
        <x:v>1</x:v>
      </x:c>
      <x:c r="O209" s="1"/>
      <x:c r="P209" s="1"/>
      <x:c r="Q209" s="1"/>
    </x:row>
    <x:row r="210" ht="21" customHeight="1">
      <x:c r="A210" s="5" t="n">
        <x:f>'Лист1'!A210</x:f>
        <x:v>43964</x:v>
      </x:c>
      <x:c r="B210" s="1" t="str">
        <x:f>'Лист1'!B210</x:f>
        <x:v>Волгоград</x:v>
      </x:c>
      <x:c r="C210" s="1" t="n">
        <x:f>'Лист1'!C210</x:f>
        <x:v>73062</x:v>
      </x:c>
      <x:c r="D210" s="6" t="n">
        <x:f>'Лист1'!D210</x:f>
        <x:v>6333828</x:v>
      </x:c>
      <x:c r="E210" s="6" t="n">
        <x:f>'Лист1'!E210</x:f>
        <x:v>4890619.262</x:v>
      </x:c>
      <x:c r="F210" s="6" t="n">
        <x:f>'Лист1'!F210</x:f>
        <x:v>181964.6876923077</x:v>
      </x:c>
      <x:c r="G210" s="1" t="n">
        <x:f>IF(N210=1,SUMIFS('Лист2'!$C$2:$C$505,'Лист2'!$A$2:$A$505,A210,'Лист2'!$B$2:$B$505,B210),NA())</x:f>
        <x:v>36</x:v>
      </x:c>
      <x:c r="H210" s="1" t="n">
        <x:f>IF(N210=1,SUMIFS('Лист2'!$D$2:$D$505,'Лист2'!$A$2:$A$505,A210,'Лист2'!$B$2:$B$505,B210),NA())</x:f>
        <x:v>4967</x:v>
      </x:c>
      <x:c r="I210" s="1" t="n">
        <x:f>IF(N210=1,SUMIFS('Лист2'!$E$2:$E$505,'Лист2'!$A$2:$A$505,A210,'Лист2'!$B$2:$B$505,B210),NA())</x:f>
        <x:v>4583</x:v>
      </x:c>
      <x:c r="J210" s="5" t="n">
        <x:f>A210-WEEKDAY(A210,2)+1</x:f>
        <x:v>43962</x:v>
      </x:c>
      <x:c r="K210" s="1" t="n">
        <x:f>YEAR(J210+3)</x:f>
        <x:v>2020</x:v>
      </x:c>
      <x:c r="L210" s="1" t="n">
        <x:f>INT((J210-DATE(K210,1,4)+WEEKDAY(DATE(K210,1,4),2)-1)/7)+1</x:f>
        <x:v>20</x:v>
      </x:c>
      <x:c r="M210" s="1" t="str">
        <x:f>A210&amp;"|"&amp;B210</x:f>
        <x:v>43964|Волгоград</x:v>
      </x:c>
      <x:c r="N210" s="1" t="n">
        <x:f>COUNTIFS('Лист2'!$F$2:$F$505,M210)</x:f>
        <x:v>1</x:v>
      </x:c>
      <x:c r="O210" s="1"/>
      <x:c r="P210" s="1"/>
      <x:c r="Q210" s="1"/>
    </x:row>
    <x:row r="211" ht="21" customHeight="1">
      <x:c r="A211" s="5" t="n">
        <x:f>'Лист1'!A211</x:f>
        <x:v>43964</x:v>
      </x:c>
      <x:c r="B211" s="1" t="str">
        <x:f>'Лист1'!B211</x:f>
        <x:v>Екатеринбург</x:v>
      </x:c>
      <x:c r="C211" s="1" t="n">
        <x:f>'Лист1'!C211</x:f>
        <x:v>78846</x:v>
      </x:c>
      <x:c r="D211" s="6" t="n">
        <x:f>'Лист1'!D211</x:f>
        <x:v>6993952.5</x:v>
      </x:c>
      <x:c r="E211" s="6" t="n">
        <x:f>'Лист1'!E211</x:f>
        <x:v>5288518.779999999</x:v>
      </x:c>
      <x:c r="F211" s="6" t="n">
        <x:f>'Лист1'!F211</x:f>
        <x:v>227969.01538461537</x:v>
      </x:c>
      <x:c r="G211" s="1" t="n">
        <x:f>IF(N211=1,SUMIFS('Лист2'!$C$2:$C$505,'Лист2'!$A$2:$A$505,A211,'Лист2'!$B$2:$B$505,B211),NA())</x:f>
        <x:v>31</x:v>
      </x:c>
      <x:c r="H211" s="1" t="n">
        <x:f>IF(N211=1,SUMIFS('Лист2'!$D$2:$D$505,'Лист2'!$A$2:$A$505,A211,'Лист2'!$B$2:$B$505,B211),NA())</x:f>
        <x:v>5251</x:v>
      </x:c>
      <x:c r="I211" s="1" t="n">
        <x:f>IF(N211=1,SUMIFS('Лист2'!$E$2:$E$505,'Лист2'!$A$2:$A$505,A211,'Лист2'!$B$2:$B$505,B211),NA())</x:f>
        <x:v>4853</x:v>
      </x:c>
      <x:c r="J211" s="5" t="n">
        <x:f>A211-WEEKDAY(A211,2)+1</x:f>
        <x:v>43962</x:v>
      </x:c>
      <x:c r="K211" s="1" t="n">
        <x:f>YEAR(J211+3)</x:f>
        <x:v>2020</x:v>
      </x:c>
      <x:c r="L211" s="1" t="n">
        <x:f>INT((J211-DATE(K211,1,4)+WEEKDAY(DATE(K211,1,4),2)-1)/7)+1</x:f>
        <x:v>20</x:v>
      </x:c>
      <x:c r="M211" s="1" t="str">
        <x:f>A211&amp;"|"&amp;B211</x:f>
        <x:v>43964|Екатеринбург</x:v>
      </x:c>
      <x:c r="N211" s="1" t="n">
        <x:f>COUNTIFS('Лист2'!$F$2:$F$505,M211)</x:f>
        <x:v>1</x:v>
      </x:c>
      <x:c r="O211" s="1"/>
      <x:c r="P211" s="1"/>
      <x:c r="Q211" s="1"/>
    </x:row>
    <x:row r="212" ht="21" customHeight="1">
      <x:c r="A212" s="5" t="n">
        <x:f>'Лист1'!A212</x:f>
        <x:v>43964</x:v>
      </x:c>
      <x:c r="B212" s="1" t="str">
        <x:f>'Лист1'!B212</x:f>
        <x:v>Казань</x:v>
      </x:c>
      <x:c r="C212" s="1" t="n">
        <x:f>'Лист1'!C212</x:f>
        <x:v>35535</x:v>
      </x:c>
      <x:c r="D212" s="6" t="n">
        <x:f>'Лист1'!D212</x:f>
        <x:v>3288069</x:v>
      </x:c>
      <x:c r="E212" s="6" t="n">
        <x:f>'Лист1'!E212</x:f>
        <x:v>2580984.03</x:v>
      </x:c>
      <x:c r="F212" s="6" t="n">
        <x:f>'Лист1'!F212</x:f>
        <x:v>208081.82515384615</x:v>
      </x:c>
      <x:c r="G212" s="1" t="n">
        <x:f>IF(N212=1,SUMIFS('Лист2'!$C$2:$C$505,'Лист2'!$A$2:$A$505,A212,'Лист2'!$B$2:$B$505,B212),NA())</x:f>
        <x:v>21</x:v>
      </x:c>
      <x:c r="H212" s="1" t="n">
        <x:f>IF(N212=1,SUMIFS('Лист2'!$D$2:$D$505,'Лист2'!$A$2:$A$505,A212,'Лист2'!$B$2:$B$505,B212),NA())</x:f>
        <x:v>2061</x:v>
      </x:c>
      <x:c r="I212" s="1" t="n">
        <x:f>IF(N212=1,SUMIFS('Лист2'!$E$2:$E$505,'Лист2'!$A$2:$A$505,A212,'Лист2'!$B$2:$B$505,B212),NA())</x:f>
        <x:v>1876</x:v>
      </x:c>
      <x:c r="J212" s="5" t="n">
        <x:f>A212-WEEKDAY(A212,2)+1</x:f>
        <x:v>43962</x:v>
      </x:c>
      <x:c r="K212" s="1" t="n">
        <x:f>YEAR(J212+3)</x:f>
        <x:v>2020</x:v>
      </x:c>
      <x:c r="L212" s="1" t="n">
        <x:f>INT((J212-DATE(K212,1,4)+WEEKDAY(DATE(K212,1,4),2)-1)/7)+1</x:f>
        <x:v>20</x:v>
      </x:c>
      <x:c r="M212" s="1" t="str">
        <x:f>A212&amp;"|"&amp;B212</x:f>
        <x:v>43964|Казань</x:v>
      </x:c>
      <x:c r="N212" s="1" t="n">
        <x:f>COUNTIFS('Лист2'!$F$2:$F$505,M212)</x:f>
        <x:v>1</x:v>
      </x:c>
      <x:c r="O212" s="1"/>
      <x:c r="P212" s="1"/>
      <x:c r="Q212" s="1"/>
    </x:row>
    <x:row r="213" ht="21" customHeight="1">
      <x:c r="A213" s="5" t="n">
        <x:f>'Лист1'!A213</x:f>
        <x:v>43964</x:v>
      </x:c>
      <x:c r="B213" s="1" t="str">
        <x:f>'Лист1'!B213</x:f>
        <x:v>Кемерово</x:v>
      </x:c>
      <x:c r="C213" s="1" t="n">
        <x:f>'Лист1'!C213</x:f>
        <x:v>29241</x:v>
      </x:c>
      <x:c r="D213" s="6" t="n">
        <x:f>'Лист1'!D213</x:f>
        <x:v>2629782</x:v>
      </x:c>
      <x:c r="E213" s="6" t="n">
        <x:f>'Лист1'!E213</x:f>
        <x:v>2071714.724</x:v>
      </x:c>
      <x:c r="F213" s="6" t="n">
        <x:f>'Лист1'!F213</x:f>
        <x:v>361201.8010384615</x:v>
      </x:c>
      <x:c r="G213" s="1" t="n">
        <x:f>IF(N213=1,SUMIFS('Лист2'!$C$2:$C$505,'Лист2'!$A$2:$A$505,A213,'Лист2'!$B$2:$B$505,B213),NA())</x:f>
        <x:v>21</x:v>
      </x:c>
      <x:c r="H213" s="1" t="n">
        <x:f>IF(N213=1,SUMIFS('Лист2'!$D$2:$D$505,'Лист2'!$A$2:$A$505,A213,'Лист2'!$B$2:$B$505,B213),NA())</x:f>
        <x:v>1698</x:v>
      </x:c>
      <x:c r="I213" s="1" t="n">
        <x:f>IF(N213=1,SUMIFS('Лист2'!$E$2:$E$505,'Лист2'!$A$2:$A$505,A213,'Лист2'!$B$2:$B$505,B213),NA())</x:f>
        <x:v>1554</x:v>
      </x:c>
      <x:c r="J213" s="5" t="n">
        <x:f>A213-WEEKDAY(A213,2)+1</x:f>
        <x:v>43962</x:v>
      </x:c>
      <x:c r="K213" s="1" t="n">
        <x:f>YEAR(J213+3)</x:f>
        <x:v>2020</x:v>
      </x:c>
      <x:c r="L213" s="1" t="n">
        <x:f>INT((J213-DATE(K213,1,4)+WEEKDAY(DATE(K213,1,4),2)-1)/7)+1</x:f>
        <x:v>20</x:v>
      </x:c>
      <x:c r="M213" s="1" t="str">
        <x:f>A213&amp;"|"&amp;B213</x:f>
        <x:v>43964|Кемерово</x:v>
      </x:c>
      <x:c r="N213" s="1" t="n">
        <x:f>COUNTIFS('Лист2'!$F$2:$F$505,M213)</x:f>
        <x:v>1</x:v>
      </x:c>
      <x:c r="O213" s="1"/>
      <x:c r="P213" s="1"/>
      <x:c r="Q213" s="1"/>
    </x:row>
    <x:row r="214" ht="21" customHeight="1">
      <x:c r="A214" s="5" t="n">
        <x:f>'Лист1'!A214</x:f>
        <x:v>43964</x:v>
      </x:c>
      <x:c r="B214" s="1" t="str">
        <x:f>'Лист1'!B214</x:f>
        <x:v>Краснодар</x:v>
      </x:c>
      <x:c r="C214" s="1" t="n">
        <x:f>'Лист1'!C214</x:f>
        <x:v>25539</x:v>
      </x:c>
      <x:c r="D214" s="6" t="n">
        <x:f>'Лист1'!D214</x:f>
        <x:v>2263651.5</x:v>
      </x:c>
      <x:c r="E214" s="6" t="n">
        <x:f>'Лист1'!E214</x:f>
        <x:v>1783039.3049999997</x:v>
      </x:c>
      <x:c r="F214" s="6" t="n">
        <x:f>'Лист1'!F214</x:f>
        <x:v>139331.3192923077</x:v>
      </x:c>
      <x:c r="G214" s="1" t="n">
        <x:f>IF(N214=1,SUMIFS('Лист2'!$C$2:$C$505,'Лист2'!$A$2:$A$505,A214,'Лист2'!$B$2:$B$505,B214),NA())</x:f>
        <x:v>19</x:v>
      </x:c>
      <x:c r="H214" s="1" t="n">
        <x:f>IF(N214=1,SUMIFS('Лист2'!$D$2:$D$505,'Лист2'!$A$2:$A$505,A214,'Лист2'!$B$2:$B$505,B214),NA())</x:f>
        <x:v>1605</x:v>
      </x:c>
      <x:c r="I214" s="1" t="n">
        <x:f>IF(N214=1,SUMIFS('Лист2'!$E$2:$E$505,'Лист2'!$A$2:$A$505,A214,'Лист2'!$B$2:$B$505,B214),NA())</x:f>
        <x:v>1447</x:v>
      </x:c>
      <x:c r="J214" s="5" t="n">
        <x:f>A214-WEEKDAY(A214,2)+1</x:f>
        <x:v>43962</x:v>
      </x:c>
      <x:c r="K214" s="1" t="n">
        <x:f>YEAR(J214+3)</x:f>
        <x:v>2020</x:v>
      </x:c>
      <x:c r="L214" s="1" t="n">
        <x:f>INT((J214-DATE(K214,1,4)+WEEKDAY(DATE(K214,1,4),2)-1)/7)+1</x:f>
        <x:v>20</x:v>
      </x:c>
      <x:c r="M214" s="1" t="str">
        <x:f>A214&amp;"|"&amp;B214</x:f>
        <x:v>43964|Краснодар</x:v>
      </x:c>
      <x:c r="N214" s="1" t="n">
        <x:f>COUNTIFS('Лист2'!$F$2:$F$505,M214)</x:f>
        <x:v>1</x:v>
      </x:c>
      <x:c r="O214" s="1"/>
      <x:c r="P214" s="1"/>
      <x:c r="Q214" s="1"/>
    </x:row>
    <x:row r="215" ht="21" customHeight="1">
      <x:c r="A215" s="5" t="n">
        <x:f>'Лист1'!A215</x:f>
        <x:v>43964</x:v>
      </x:c>
      <x:c r="B215" s="1" t="str">
        <x:f>'Лист1'!B215</x:f>
        <x:v>Москва Восток</x:v>
      </x:c>
      <x:c r="C215" s="1" t="n">
        <x:f>'Лист1'!C215</x:f>
        <x:v>188662.5</x:v>
      </x:c>
      <x:c r="D215" s="6" t="n">
        <x:f>'Лист1'!D215</x:f>
        <x:v>18784000.5</x:v>
      </x:c>
      <x:c r="E215" s="6" t="n">
        <x:f>'Лист1'!E215</x:f>
        <x:v>13568684.673999999</x:v>
      </x:c>
      <x:c r="F215" s="6" t="n">
        <x:f>'Лист1'!F215</x:f>
        <x:v>349844.3615384615</x:v>
      </x:c>
      <x:c r="G215" s="1" t="n">
        <x:f>IF(N215=1,SUMIFS('Лист2'!$C$2:$C$505,'Лист2'!$A$2:$A$505,A215,'Лист2'!$B$2:$B$505,B215),NA())</x:f>
        <x:v>54</x:v>
      </x:c>
      <x:c r="H215" s="1" t="n">
        <x:f>IF(N215=1,SUMIFS('Лист2'!$D$2:$D$505,'Лист2'!$A$2:$A$505,A215,'Лист2'!$B$2:$B$505,B215),NA())</x:f>
        <x:v>11522</x:v>
      </x:c>
      <x:c r="I215" s="1" t="n">
        <x:f>IF(N215=1,SUMIFS('Лист2'!$E$2:$E$505,'Лист2'!$A$2:$A$505,A215,'Лист2'!$B$2:$B$505,B215),NA())</x:f>
        <x:v>10803</x:v>
      </x:c>
      <x:c r="J215" s="5" t="n">
        <x:f>A215-WEEKDAY(A215,2)+1</x:f>
        <x:v>43962</x:v>
      </x:c>
      <x:c r="K215" s="1" t="n">
        <x:f>YEAR(J215+3)</x:f>
        <x:v>2020</x:v>
      </x:c>
      <x:c r="L215" s="1" t="n">
        <x:f>INT((J215-DATE(K215,1,4)+WEEKDAY(DATE(K215,1,4),2)-1)/7)+1</x:f>
        <x:v>20</x:v>
      </x:c>
      <x:c r="M215" s="1" t="str">
        <x:f>A215&amp;"|"&amp;B215</x:f>
        <x:v>43964|Москва Восток</x:v>
      </x:c>
      <x:c r="N215" s="1" t="n">
        <x:f>COUNTIFS('Лист2'!$F$2:$F$505,M215)</x:f>
        <x:v>1</x:v>
      </x:c>
      <x:c r="O215" s="1"/>
      <x:c r="P215" s="1"/>
      <x:c r="Q215" s="1"/>
    </x:row>
    <x:row r="216" ht="21" customHeight="1">
      <x:c r="A216" s="5" t="n">
        <x:f>'Лист1'!A216</x:f>
        <x:v>43964</x:v>
      </x:c>
      <x:c r="B216" s="1" t="str">
        <x:f>'Лист1'!B216</x:f>
        <x:v>Москва Запад</x:v>
      </x:c>
      <x:c r="C216" s="1" t="n">
        <x:f>'Лист1'!C216</x:f>
        <x:v>193722</x:v>
      </x:c>
      <x:c r="D216" s="6" t="n">
        <x:f>'Лист1'!D216</x:f>
        <x:v>19437273</x:v>
      </x:c>
      <x:c r="E216" s="6" t="n">
        <x:f>'Лист1'!E216</x:f>
        <x:v>13979092.230999999</x:v>
      </x:c>
      <x:c r="F216" s="6" t="n">
        <x:f>'Лист1'!F216</x:f>
        <x:v>418713.96153846156</x:v>
      </x:c>
      <x:c r="G216" s="1" t="n">
        <x:f>IF(N216=1,SUMIFS('Лист2'!$C$2:$C$505,'Лист2'!$A$2:$A$505,A216,'Лист2'!$B$2:$B$505,B216),NA())</x:f>
        <x:v>60</x:v>
      </x:c>
      <x:c r="H216" s="1" t="n">
        <x:f>IF(N216=1,SUMIFS('Лист2'!$D$2:$D$505,'Лист2'!$A$2:$A$505,A216,'Лист2'!$B$2:$B$505,B216),NA())</x:f>
        <x:v>12007</x:v>
      </x:c>
      <x:c r="I216" s="1" t="n">
        <x:f>IF(N216=1,SUMIFS('Лист2'!$E$2:$E$505,'Лист2'!$A$2:$A$505,A216,'Лист2'!$B$2:$B$505,B216),NA())</x:f>
        <x:v>11245</x:v>
      </x:c>
      <x:c r="J216" s="5" t="n">
        <x:f>A216-WEEKDAY(A216,2)+1</x:f>
        <x:v>43962</x:v>
      </x:c>
      <x:c r="K216" s="1" t="n">
        <x:f>YEAR(J216+3)</x:f>
        <x:v>2020</x:v>
      </x:c>
      <x:c r="L216" s="1" t="n">
        <x:f>INT((J216-DATE(K216,1,4)+WEEKDAY(DATE(K216,1,4),2)-1)/7)+1</x:f>
        <x:v>20</x:v>
      </x:c>
      <x:c r="M216" s="1" t="str">
        <x:f>A216&amp;"|"&amp;B216</x:f>
        <x:v>43964|Москва Запад</x:v>
      </x:c>
      <x:c r="N216" s="1" t="n">
        <x:f>COUNTIFS('Лист2'!$F$2:$F$505,M216)</x:f>
        <x:v>1</x:v>
      </x:c>
      <x:c r="O216" s="1"/>
      <x:c r="P216" s="1"/>
      <x:c r="Q216" s="1"/>
    </x:row>
    <x:row r="217" ht="21" customHeight="1">
      <x:c r="A217" s="5" t="n">
        <x:f>'Лист1'!A217</x:f>
        <x:v>43964</x:v>
      </x:c>
      <x:c r="B217" s="1" t="str">
        <x:f>'Лист1'!B217</x:f>
        <x:v>Нижний Новгород</x:v>
      </x:c>
      <x:c r="C217" s="1" t="n">
        <x:f>'Лист1'!C217</x:f>
        <x:v>26464.5</x:v>
      </x:c>
      <x:c r="D217" s="6" t="n">
        <x:f>'Лист1'!D217</x:f>
        <x:v>2373337.5</x:v>
      </x:c>
      <x:c r="E217" s="6" t="n">
        <x:f>'Лист1'!E217</x:f>
        <x:v>1886244.741</x:v>
      </x:c>
      <x:c r="F217" s="6" t="n">
        <x:f>'Лист1'!F217</x:f>
        <x:v>207105.15935384613</x:v>
      </x:c>
      <x:c r="G217" s="1" t="n">
        <x:f>IF(N217=1,SUMIFS('Лист2'!$C$2:$C$505,'Лист2'!$A$2:$A$505,A217,'Лист2'!$B$2:$B$505,B217),NA())</x:f>
        <x:v>19</x:v>
      </x:c>
      <x:c r="H217" s="1" t="n">
        <x:f>IF(N217=1,SUMIFS('Лист2'!$D$2:$D$505,'Лист2'!$A$2:$A$505,A217,'Лист2'!$B$2:$B$505,B217),NA())</x:f>
        <x:v>1625</x:v>
      </x:c>
      <x:c r="I217" s="1" t="n">
        <x:f>IF(N217=1,SUMIFS('Лист2'!$E$2:$E$505,'Лист2'!$A$2:$A$505,A217,'Лист2'!$B$2:$B$505,B217),NA())</x:f>
        <x:v>1444</x:v>
      </x:c>
      <x:c r="J217" s="5" t="n">
        <x:f>A217-WEEKDAY(A217,2)+1</x:f>
        <x:v>43962</x:v>
      </x:c>
      <x:c r="K217" s="1" t="n">
        <x:f>YEAR(J217+3)</x:f>
        <x:v>2020</x:v>
      </x:c>
      <x:c r="L217" s="1" t="n">
        <x:f>INT((J217-DATE(K217,1,4)+WEEKDAY(DATE(K217,1,4),2)-1)/7)+1</x:f>
        <x:v>20</x:v>
      </x:c>
      <x:c r="M217" s="1" t="str">
        <x:f>A217&amp;"|"&amp;B217</x:f>
        <x:v>43964|Нижний Новгород</x:v>
      </x:c>
      <x:c r="N217" s="1" t="n">
        <x:f>COUNTIFS('Лист2'!$F$2:$F$505,M217)</x:f>
        <x:v>1</x:v>
      </x:c>
      <x:c r="O217" s="1"/>
      <x:c r="P217" s="1"/>
      <x:c r="Q217" s="1"/>
    </x:row>
    <x:row r="218" ht="21" customHeight="1">
      <x:c r="A218" s="5" t="n">
        <x:f>'Лист1'!A218</x:f>
        <x:v>43964</x:v>
      </x:c>
      <x:c r="B218" s="1" t="str">
        <x:f>'Лист1'!B218</x:f>
        <x:v>Новосибирск</x:v>
      </x:c>
      <x:c r="C218" s="1" t="n">
        <x:f>'Лист1'!C218</x:f>
        <x:v>14643</x:v>
      </x:c>
      <x:c r="D218" s="6" t="n">
        <x:f>'Лист1'!D218</x:f>
        <x:v>1172691</x:v>
      </x:c>
      <x:c r="E218" s="6" t="n">
        <x:f>'Лист1'!E218</x:f>
        <x:v>971555.083</x:v>
      </x:c>
      <x:c r="F218" s="6" t="n">
        <x:f>'Лист1'!F218</x:f>
        <x:v>124018.33614615384</x:v>
      </x:c>
      <x:c r="G218" s="1" t="n">
        <x:f>IF(N218=1,SUMIFS('Лист2'!$C$2:$C$505,'Лист2'!$A$2:$A$505,A218,'Лист2'!$B$2:$B$505,B218),NA())</x:f>
        <x:v>15</x:v>
      </x:c>
      <x:c r="H218" s="1" t="n">
        <x:f>IF(N218=1,SUMIFS('Лист2'!$D$2:$D$505,'Лист2'!$A$2:$A$505,A218,'Лист2'!$B$2:$B$505,B218),NA())</x:f>
        <x:v>854</x:v>
      </x:c>
      <x:c r="I218" s="1" t="n">
        <x:f>IF(N218=1,SUMIFS('Лист2'!$E$2:$E$505,'Лист2'!$A$2:$A$505,A218,'Лист2'!$B$2:$B$505,B218),NA())</x:f>
        <x:v>756</x:v>
      </x:c>
      <x:c r="J218" s="5" t="n">
        <x:f>A218-WEEKDAY(A218,2)+1</x:f>
        <x:v>43962</x:v>
      </x:c>
      <x:c r="K218" s="1" t="n">
        <x:f>YEAR(J218+3)</x:f>
        <x:v>2020</x:v>
      </x:c>
      <x:c r="L218" s="1" t="n">
        <x:f>INT((J218-DATE(K218,1,4)+WEEKDAY(DATE(K218,1,4),2)-1)/7)+1</x:f>
        <x:v>20</x:v>
      </x:c>
      <x:c r="M218" s="1" t="str">
        <x:f>A218&amp;"|"&amp;B218</x:f>
        <x:v>43964|Новосибирск</x:v>
      </x:c>
      <x:c r="N218" s="1" t="n">
        <x:f>COUNTIFS('Лист2'!$F$2:$F$505,M218)</x:f>
        <x:v>1</x:v>
      </x:c>
      <x:c r="O218" s="1"/>
      <x:c r="P218" s="1"/>
      <x:c r="Q218" s="1"/>
    </x:row>
    <x:row r="219" ht="21" customHeight="1">
      <x:c r="A219" s="5" t="n">
        <x:f>'Лист1'!A219</x:f>
        <x:v>43964</x:v>
      </x:c>
      <x:c r="B219" s="1" t="str">
        <x:f>'Лист1'!B219</x:f>
        <x:v>Пермь</x:v>
      </x:c>
      <x:c r="C219" s="1" t="n">
        <x:f>'Лист1'!C219</x:f>
        <x:v>14305.5</x:v>
      </x:c>
      <x:c r="D219" s="6" t="n">
        <x:f>'Лист1'!D219</x:f>
        <x:v>1243507.5</x:v>
      </x:c>
      <x:c r="E219" s="6" t="n">
        <x:f>'Лист1'!E219</x:f>
        <x:v>987216.7409999999</x:v>
      </x:c>
      <x:c r="F219" s="6" t="n">
        <x:f>'Лист1'!F219</x:f>
        <x:v>233030.6</x:v>
      </x:c>
      <x:c r="G219" s="1" t="n">
        <x:f>IF(N219=1,SUMIFS('Лист2'!$C$2:$C$505,'Лист2'!$A$2:$A$505,A219,'Лист2'!$B$2:$B$505,B219),NA())</x:f>
        <x:v>15</x:v>
      </x:c>
      <x:c r="H219" s="1" t="n">
        <x:f>IF(N219=1,SUMIFS('Лист2'!$D$2:$D$505,'Лист2'!$A$2:$A$505,A219,'Лист2'!$B$2:$B$505,B219),NA())</x:f>
        <x:v>898</x:v>
      </x:c>
      <x:c r="I219" s="1" t="n">
        <x:f>IF(N219=1,SUMIFS('Лист2'!$E$2:$E$505,'Лист2'!$A$2:$A$505,A219,'Лист2'!$B$2:$B$505,B219),NA())</x:f>
        <x:v>795</x:v>
      </x:c>
      <x:c r="J219" s="5" t="n">
        <x:f>A219-WEEKDAY(A219,2)+1</x:f>
        <x:v>43962</x:v>
      </x:c>
      <x:c r="K219" s="1" t="n">
        <x:f>YEAR(J219+3)</x:f>
        <x:v>2020</x:v>
      </x:c>
      <x:c r="L219" s="1" t="n">
        <x:f>INT((J219-DATE(K219,1,4)+WEEKDAY(DATE(K219,1,4),2)-1)/7)+1</x:f>
        <x:v>20</x:v>
      </x:c>
      <x:c r="M219" s="1" t="str">
        <x:f>A219&amp;"|"&amp;B219</x:f>
        <x:v>43964|Пермь</x:v>
      </x:c>
      <x:c r="N219" s="1" t="n">
        <x:f>COUNTIFS('Лист2'!$F$2:$F$505,M219)</x:f>
        <x:v>1</x:v>
      </x:c>
      <x:c r="O219" s="1"/>
      <x:c r="P219" s="1"/>
      <x:c r="Q219" s="1"/>
    </x:row>
    <x:row r="220" ht="21" customHeight="1">
      <x:c r="A220" s="5" t="n">
        <x:f>'Лист1'!A220</x:f>
        <x:v>43964</x:v>
      </x:c>
      <x:c r="B220" s="1" t="str">
        <x:f>'Лист1'!B220</x:f>
        <x:v>Ростов-на-Дону</x:v>
      </x:c>
      <x:c r="C220" s="1" t="n">
        <x:f>'Лист1'!C220</x:f>
        <x:v>10401</x:v>
      </x:c>
      <x:c r="D220" s="6" t="n">
        <x:f>'Лист1'!D220</x:f>
        <x:v>949912.5</x:v>
      </x:c>
      <x:c r="E220" s="6" t="n">
        <x:f>'Лист1'!E220</x:f>
        <x:v>785961.289</x:v>
      </x:c>
      <x:c r="F220" s="6" t="n">
        <x:f>'Лист1'!F220</x:f>
        <x:v>253438.94004615385</x:v>
      </x:c>
      <x:c r="G220" s="1" t="n">
        <x:f>IF(N220=1,SUMIFS('Лист2'!$C$2:$C$505,'Лист2'!$A$2:$A$505,A220,'Лист2'!$B$2:$B$505,B220),NA())</x:f>
        <x:v>15</x:v>
      </x:c>
      <x:c r="H220" s="1" t="n">
        <x:f>IF(N220=1,SUMIFS('Лист2'!$D$2:$D$505,'Лист2'!$A$2:$A$505,A220,'Лист2'!$B$2:$B$505,B220),NA())</x:f>
        <x:v>599</x:v>
      </x:c>
      <x:c r="I220" s="1" t="n">
        <x:f>IF(N220=1,SUMIFS('Лист2'!$E$2:$E$505,'Лист2'!$A$2:$A$505,A220,'Лист2'!$B$2:$B$505,B220),NA())</x:f>
        <x:v>515</x:v>
      </x:c>
      <x:c r="J220" s="5" t="n">
        <x:f>A220-WEEKDAY(A220,2)+1</x:f>
        <x:v>43962</x:v>
      </x:c>
      <x:c r="K220" s="1" t="n">
        <x:f>YEAR(J220+3)</x:f>
        <x:v>2020</x:v>
      </x:c>
      <x:c r="L220" s="1" t="n">
        <x:f>INT((J220-DATE(K220,1,4)+WEEKDAY(DATE(K220,1,4),2)-1)/7)+1</x:f>
        <x:v>20</x:v>
      </x:c>
      <x:c r="M220" s="1" t="str">
        <x:f>A220&amp;"|"&amp;B220</x:f>
        <x:v>43964|Ростов-на-Дону</x:v>
      </x:c>
      <x:c r="N220" s="1" t="n">
        <x:f>COUNTIFS('Лист2'!$F$2:$F$505,M220)</x:f>
        <x:v>1</x:v>
      </x:c>
      <x:c r="O220" s="1"/>
      <x:c r="P220" s="1"/>
      <x:c r="Q220" s="1"/>
    </x:row>
    <x:row r="221" ht="21" customHeight="1">
      <x:c r="A221" s="5" t="n">
        <x:f>'Лист1'!A221</x:f>
        <x:v>43964</x:v>
      </x:c>
      <x:c r="B221" s="1" t="str">
        <x:f>'Лист1'!B221</x:f>
        <x:v>Санкт-Петербург Север</x:v>
      </x:c>
      <x:c r="C221" s="1" t="n">
        <x:f>'Лист1'!C221</x:f>
        <x:v>350068.5</x:v>
      </x:c>
      <x:c r="D221" s="6" t="n">
        <x:f>'Лист1'!D221</x:f>
        <x:v>37197115.5</x:v>
      </x:c>
      <x:c r="E221" s="6" t="n">
        <x:f>'Лист1'!E221</x:f>
        <x:v>26793668.158999998</x:v>
      </x:c>
      <x:c r="F221" s="6" t="n">
        <x:f>'Лист1'!F221</x:f>
        <x:v>582815.3615384615</x:v>
      </x:c>
      <x:c r="G221" s="1" t="n">
        <x:f>IF(N221=1,SUMIFS('Лист2'!$C$2:$C$505,'Лист2'!$A$2:$A$505,A221,'Лист2'!$B$2:$B$505,B221),NA())</x:f>
        <x:v>125</x:v>
      </x:c>
      <x:c r="H221" s="1" t="n">
        <x:f>IF(N221=1,SUMIFS('Лист2'!$D$2:$D$505,'Лист2'!$A$2:$A$505,A221,'Лист2'!$B$2:$B$505,B221),NA())</x:f>
        <x:v>19965</x:v>
      </x:c>
      <x:c r="I221" s="1" t="n">
        <x:f>IF(N221=1,SUMIFS('Лист2'!$E$2:$E$505,'Лист2'!$A$2:$A$505,A221,'Лист2'!$B$2:$B$505,B221),NA())</x:f>
        <x:v>18573</x:v>
      </x:c>
      <x:c r="J221" s="5" t="n">
        <x:f>A221-WEEKDAY(A221,2)+1</x:f>
        <x:v>43962</x:v>
      </x:c>
      <x:c r="K221" s="1" t="n">
        <x:f>YEAR(J221+3)</x:f>
        <x:v>2020</x:v>
      </x:c>
      <x:c r="L221" s="1" t="n">
        <x:f>INT((J221-DATE(K221,1,4)+WEEKDAY(DATE(K221,1,4),2)-1)/7)+1</x:f>
        <x:v>20</x:v>
      </x:c>
      <x:c r="M221" s="1" t="str">
        <x:f>A221&amp;"|"&amp;B221</x:f>
        <x:v>43964|Санкт-Петербург Север</x:v>
      </x:c>
      <x:c r="N221" s="1" t="n">
        <x:f>COUNTIFS('Лист2'!$F$2:$F$505,M221)</x:f>
        <x:v>1</x:v>
      </x:c>
      <x:c r="O221" s="1"/>
      <x:c r="P221" s="1"/>
      <x:c r="Q221" s="1"/>
    </x:row>
    <x:row r="222" ht="21" customHeight="1">
      <x:c r="A222" s="5" t="n">
        <x:f>'Лист1'!A222</x:f>
        <x:v>43964</x:v>
      </x:c>
      <x:c r="B222" s="1" t="str">
        <x:f>'Лист1'!B222</x:f>
        <x:v>Санкт-Петербург Юг</x:v>
      </x:c>
      <x:c r="C222" s="1" t="n">
        <x:f>'Лист1'!C222</x:f>
        <x:v>258459</x:v>
      </x:c>
      <x:c r="D222" s="6" t="n">
        <x:f>'Лист1'!D222</x:f>
        <x:v>26467453.5</x:v>
      </x:c>
      <x:c r="E222" s="6" t="n">
        <x:f>'Лист1'!E222</x:f>
        <x:v>19153152.527</x:v>
      </x:c>
      <x:c r="F222" s="6" t="n">
        <x:f>'Лист1'!F222</x:f>
        <x:v>636197.2334076923</x:v>
      </x:c>
      <x:c r="G222" s="1" t="n">
        <x:f>IF(N222=1,SUMIFS('Лист2'!$C$2:$C$505,'Лист2'!$A$2:$A$505,A222,'Лист2'!$B$2:$B$505,B222),NA())</x:f>
        <x:v>129</x:v>
      </x:c>
      <x:c r="H222" s="1" t="n">
        <x:f>IF(N222=1,SUMIFS('Лист2'!$D$2:$D$505,'Лист2'!$A$2:$A$505,A222,'Лист2'!$B$2:$B$505,B222),NA())</x:f>
        <x:v>15304</x:v>
      </x:c>
      <x:c r="I222" s="1" t="n">
        <x:f>IF(N222=1,SUMIFS('Лист2'!$E$2:$E$505,'Лист2'!$A$2:$A$505,A222,'Лист2'!$B$2:$B$505,B222),NA())</x:f>
        <x:v>14315</x:v>
      </x:c>
      <x:c r="J222" s="5" t="n">
        <x:f>A222-WEEKDAY(A222,2)+1</x:f>
        <x:v>43962</x:v>
      </x:c>
      <x:c r="K222" s="1" t="n">
        <x:f>YEAR(J222+3)</x:f>
        <x:v>2020</x:v>
      </x:c>
      <x:c r="L222" s="1" t="n">
        <x:f>INT((J222-DATE(K222,1,4)+WEEKDAY(DATE(K222,1,4),2)-1)/7)+1</x:f>
        <x:v>20</x:v>
      </x:c>
      <x:c r="M222" s="1" t="str">
        <x:f>A222&amp;"|"&amp;B222</x:f>
        <x:v>43964|Санкт-Петербург Юг</x:v>
      </x:c>
      <x:c r="N222" s="1" t="n">
        <x:f>COUNTIFS('Лист2'!$F$2:$F$505,M222)</x:f>
        <x:v>1</x:v>
      </x:c>
      <x:c r="O222" s="1"/>
      <x:c r="P222" s="1"/>
      <x:c r="Q222" s="1"/>
    </x:row>
    <x:row r="223" ht="21" customHeight="1">
      <x:c r="A223" s="5" t="n">
        <x:f>'Лист1'!A223</x:f>
        <x:v>43964</x:v>
      </x:c>
      <x:c r="B223" s="1" t="str">
        <x:f>'Лист1'!B223</x:f>
        <x:v>Тольятти</x:v>
      </x:c>
      <x:c r="C223" s="1" t="n">
        <x:f>'Лист1'!C223</x:f>
        <x:v>11202</x:v>
      </x:c>
      <x:c r="D223" s="6" t="n">
        <x:f>'Лист1'!D223</x:f>
        <x:v>865714.5</x:v>
      </x:c>
      <x:c r="E223" s="6" t="n">
        <x:f>'Лист1'!E223</x:f>
        <x:v>799644.759</x:v>
      </x:c>
      <x:c r="F223" s="6" t="n">
        <x:f>'Лист1'!F223</x:f>
        <x:v>111860.49372307691</x:v>
      </x:c>
      <x:c r="G223" s="1" t="n">
        <x:f>IF(N223=1,SUMIFS('Лист2'!$C$2:$C$505,'Лист2'!$A$2:$A$505,A223,'Лист2'!$B$2:$B$505,B223),NA())</x:f>
        <x:v>10</x:v>
      </x:c>
      <x:c r="H223" s="1" t="n">
        <x:f>IF(N223=1,SUMIFS('Лист2'!$D$2:$D$505,'Лист2'!$A$2:$A$505,A223,'Лист2'!$B$2:$B$505,B223),NA())</x:f>
        <x:v>612</x:v>
      </x:c>
      <x:c r="I223" s="1" t="n">
        <x:f>IF(N223=1,SUMIFS('Лист2'!$E$2:$E$505,'Лист2'!$A$2:$A$505,A223,'Лист2'!$B$2:$B$505,B223),NA())</x:f>
        <x:v>530</x:v>
      </x:c>
      <x:c r="J223" s="5" t="n">
        <x:f>A223-WEEKDAY(A223,2)+1</x:f>
        <x:v>43962</x:v>
      </x:c>
      <x:c r="K223" s="1" t="n">
        <x:f>YEAR(J223+3)</x:f>
        <x:v>2020</x:v>
      </x:c>
      <x:c r="L223" s="1" t="n">
        <x:f>INT((J223-DATE(K223,1,4)+WEEKDAY(DATE(K223,1,4),2)-1)/7)+1</x:f>
        <x:v>20</x:v>
      </x:c>
      <x:c r="M223" s="1" t="str">
        <x:f>A223&amp;"|"&amp;B223</x:f>
        <x:v>43964|Тольятти</x:v>
      </x:c>
      <x:c r="N223" s="1" t="n">
        <x:f>COUNTIFS('Лист2'!$F$2:$F$505,M223)</x:f>
        <x:v>1</x:v>
      </x:c>
      <x:c r="O223" s="1"/>
      <x:c r="P223" s="1"/>
      <x:c r="Q223" s="1"/>
    </x:row>
    <x:row r="224" ht="21" customHeight="1">
      <x:c r="A224" s="5" t="n">
        <x:f>'Лист1'!A224</x:f>
        <x:v>43965</x:v>
      </x:c>
      <x:c r="B224" s="1" t="str">
        <x:f>'Лист1'!B224</x:f>
        <x:v>Волгоград</x:v>
      </x:c>
      <x:c r="C224" s="1" t="n">
        <x:f>'Лист1'!C224</x:f>
        <x:v>63645</x:v>
      </x:c>
      <x:c r="D224" s="6" t="n">
        <x:f>'Лист1'!D224</x:f>
        <x:v>5366602.5</x:v>
      </x:c>
      <x:c r="E224" s="6" t="n">
        <x:f>'Лист1'!E224</x:f>
        <x:v>4245727.339</x:v>
      </x:c>
      <x:c r="F224" s="6" t="n">
        <x:f>'Лист1'!F224</x:f>
        <x:v>137701.4149</x:v>
      </x:c>
      <x:c r="G224" s="1" t="n">
        <x:f>IF(N224=1,SUMIFS('Лист2'!$C$2:$C$505,'Лист2'!$A$2:$A$505,A224,'Лист2'!$B$2:$B$505,B224),NA())</x:f>
        <x:v>36</x:v>
      </x:c>
      <x:c r="H224" s="1" t="n">
        <x:f>IF(N224=1,SUMIFS('Лист2'!$D$2:$D$505,'Лист2'!$A$2:$A$505,A224,'Лист2'!$B$2:$B$505,B224),NA())</x:f>
        <x:v>4285</x:v>
      </x:c>
      <x:c r="I224" s="1" t="n">
        <x:f>IF(N224=1,SUMIFS('Лист2'!$E$2:$E$505,'Лист2'!$A$2:$A$505,A224,'Лист2'!$B$2:$B$505,B224),NA())</x:f>
        <x:v>3950</x:v>
      </x:c>
      <x:c r="J224" s="5" t="n">
        <x:f>A224-WEEKDAY(A224,2)+1</x:f>
        <x:v>43962</x:v>
      </x:c>
      <x:c r="K224" s="1" t="n">
        <x:f>YEAR(J224+3)</x:f>
        <x:v>2020</x:v>
      </x:c>
      <x:c r="L224" s="1" t="n">
        <x:f>INT((J224-DATE(K224,1,4)+WEEKDAY(DATE(K224,1,4),2)-1)/7)+1</x:f>
        <x:v>20</x:v>
      </x:c>
      <x:c r="M224" s="1" t="str">
        <x:f>A224&amp;"|"&amp;B224</x:f>
        <x:v>43965|Волгоград</x:v>
      </x:c>
      <x:c r="N224" s="1" t="n">
        <x:f>COUNTIFS('Лист2'!$F$2:$F$505,M224)</x:f>
        <x:v>1</x:v>
      </x:c>
      <x:c r="O224" s="1"/>
      <x:c r="P224" s="1"/>
      <x:c r="Q224" s="1"/>
    </x:row>
    <x:row r="225" ht="21" customHeight="1">
      <x:c r="A225" s="5" t="n">
        <x:f>'Лист1'!A225</x:f>
        <x:v>43965</x:v>
      </x:c>
      <x:c r="B225" s="1" t="str">
        <x:f>'Лист1'!B225</x:f>
        <x:v>Екатеринбург</x:v>
      </x:c>
      <x:c r="C225" s="1" t="n">
        <x:f>'Лист1'!C225</x:f>
        <x:v>70498.5</x:v>
      </x:c>
      <x:c r="D225" s="6" t="n">
        <x:f>'Лист1'!D225</x:f>
        <x:v>6053649</x:v>
      </x:c>
      <x:c r="E225" s="6" t="n">
        <x:f>'Лист1'!E225</x:f>
        <x:v>4580254.154999999</x:v>
      </x:c>
      <x:c r="F225" s="6" t="n">
        <x:f>'Лист1'!F225</x:f>
        <x:v>131801.93944615382</x:v>
      </x:c>
      <x:c r="G225" s="1" t="n">
        <x:f>IF(N225=1,SUMIFS('Лист2'!$C$2:$C$505,'Лист2'!$A$2:$A$505,A225,'Лист2'!$B$2:$B$505,B225),NA())</x:f>
        <x:v>31</x:v>
      </x:c>
      <x:c r="H225" s="1" t="n">
        <x:f>IF(N225=1,SUMIFS('Лист2'!$D$2:$D$505,'Лист2'!$A$2:$A$505,A225,'Лист2'!$B$2:$B$505,B225),NA())</x:f>
        <x:v>4695</x:v>
      </x:c>
      <x:c r="I225" s="1" t="n">
        <x:f>IF(N225=1,SUMIFS('Лист2'!$E$2:$E$505,'Лист2'!$A$2:$A$505,A225,'Лист2'!$B$2:$B$505,B225),NA())</x:f>
        <x:v>4372</x:v>
      </x:c>
      <x:c r="J225" s="5" t="n">
        <x:f>A225-WEEKDAY(A225,2)+1</x:f>
        <x:v>43962</x:v>
      </x:c>
      <x:c r="K225" s="1" t="n">
        <x:f>YEAR(J225+3)</x:f>
        <x:v>2020</x:v>
      </x:c>
      <x:c r="L225" s="1" t="n">
        <x:f>INT((J225-DATE(K225,1,4)+WEEKDAY(DATE(K225,1,4),2)-1)/7)+1</x:f>
        <x:v>20</x:v>
      </x:c>
      <x:c r="M225" s="1" t="str">
        <x:f>A225&amp;"|"&amp;B225</x:f>
        <x:v>43965|Екатеринбург</x:v>
      </x:c>
      <x:c r="N225" s="1" t="n">
        <x:f>COUNTIFS('Лист2'!$F$2:$F$505,M225)</x:f>
        <x:v>1</x:v>
      </x:c>
      <x:c r="O225" s="1"/>
      <x:c r="P225" s="1"/>
      <x:c r="Q225" s="1"/>
    </x:row>
    <x:row r="226" ht="21" customHeight="1">
      <x:c r="A226" s="5" t="n">
        <x:f>'Лист1'!A226</x:f>
        <x:v>43965</x:v>
      </x:c>
      <x:c r="B226" s="1" t="str">
        <x:f>'Лист1'!B226</x:f>
        <x:v>Казань</x:v>
      </x:c>
      <x:c r="C226" s="1" t="n">
        <x:f>'Лист1'!C226</x:f>
        <x:v>33886.5</x:v>
      </x:c>
      <x:c r="D226" s="6" t="n">
        <x:f>'Лист1'!D226</x:f>
        <x:v>3166479</x:v>
      </x:c>
      <x:c r="E226" s="6" t="n">
        <x:f>'Лист1'!E226</x:f>
        <x:v>2522496.074</x:v>
      </x:c>
      <x:c r="F226" s="6" t="n">
        <x:f>'Лист1'!F226</x:f>
        <x:v>156584.5876923077</x:v>
      </x:c>
      <x:c r="G226" s="1" t="n">
        <x:f>IF(N226=1,SUMIFS('Лист2'!$C$2:$C$505,'Лист2'!$A$2:$A$505,A226,'Лист2'!$B$2:$B$505,B226),NA())</x:f>
        <x:v>21</x:v>
      </x:c>
      <x:c r="H226" s="1" t="n">
        <x:f>IF(N226=1,SUMIFS('Лист2'!$D$2:$D$505,'Лист2'!$A$2:$A$505,A226,'Лист2'!$B$2:$B$505,B226),NA())</x:f>
        <x:v>1993</x:v>
      </x:c>
      <x:c r="I226" s="1" t="n">
        <x:f>IF(N226=1,SUMIFS('Лист2'!$E$2:$E$505,'Лист2'!$A$2:$A$505,A226,'Лист2'!$B$2:$B$505,B226),NA())</x:f>
        <x:v>1796</x:v>
      </x:c>
      <x:c r="J226" s="5" t="n">
        <x:f>A226-WEEKDAY(A226,2)+1</x:f>
        <x:v>43962</x:v>
      </x:c>
      <x:c r="K226" s="1" t="n">
        <x:f>YEAR(J226+3)</x:f>
        <x:v>2020</x:v>
      </x:c>
      <x:c r="L226" s="1" t="n">
        <x:f>INT((J226-DATE(K226,1,4)+WEEKDAY(DATE(K226,1,4),2)-1)/7)+1</x:f>
        <x:v>20</x:v>
      </x:c>
      <x:c r="M226" s="1" t="str">
        <x:f>A226&amp;"|"&amp;B226</x:f>
        <x:v>43965|Казань</x:v>
      </x:c>
      <x:c r="N226" s="1" t="n">
        <x:f>COUNTIFS('Лист2'!$F$2:$F$505,M226)</x:f>
        <x:v>1</x:v>
      </x:c>
      <x:c r="O226" s="1"/>
      <x:c r="P226" s="1"/>
      <x:c r="Q226" s="1"/>
    </x:row>
    <x:row r="227" ht="21" customHeight="1">
      <x:c r="A227" s="5" t="n">
        <x:f>'Лист1'!A227</x:f>
        <x:v>43965</x:v>
      </x:c>
      <x:c r="B227" s="1" t="str">
        <x:f>'Лист1'!B227</x:f>
        <x:v>Кемерово</x:v>
      </x:c>
      <x:c r="C227" s="1" t="n">
        <x:f>'Лист1'!C227</x:f>
        <x:v>29658</x:v>
      </x:c>
      <x:c r="D227" s="6" t="n">
        <x:f>'Лист1'!D227</x:f>
        <x:v>2703132</x:v>
      </x:c>
      <x:c r="E227" s="6" t="n">
        <x:f>'Лист1'!E227</x:f>
        <x:v>2160539.996</x:v>
      </x:c>
      <x:c r="F227" s="6" t="n">
        <x:f>'Лист1'!F227</x:f>
        <x:v>312856.1615384615</x:v>
      </x:c>
      <x:c r="G227" s="1" t="n">
        <x:f>IF(N227=1,SUMIFS('Лист2'!$C$2:$C$505,'Лист2'!$A$2:$A$505,A227,'Лист2'!$B$2:$B$505,B227),NA())</x:f>
        <x:v>21</x:v>
      </x:c>
      <x:c r="H227" s="1" t="n">
        <x:f>IF(N227=1,SUMIFS('Лист2'!$D$2:$D$505,'Лист2'!$A$2:$A$505,A227,'Лист2'!$B$2:$B$505,B227),NA())</x:f>
        <x:v>1706</x:v>
      </x:c>
      <x:c r="I227" s="1" t="n">
        <x:f>IF(N227=1,SUMIFS('Лист2'!$E$2:$E$505,'Лист2'!$A$2:$A$505,A227,'Лист2'!$B$2:$B$505,B227),NA())</x:f>
        <x:v>1548</x:v>
      </x:c>
      <x:c r="J227" s="5" t="n">
        <x:f>A227-WEEKDAY(A227,2)+1</x:f>
        <x:v>43962</x:v>
      </x:c>
      <x:c r="K227" s="1" t="n">
        <x:f>YEAR(J227+3)</x:f>
        <x:v>2020</x:v>
      </x:c>
      <x:c r="L227" s="1" t="n">
        <x:f>INT((J227-DATE(K227,1,4)+WEEKDAY(DATE(K227,1,4),2)-1)/7)+1</x:f>
        <x:v>20</x:v>
      </x:c>
      <x:c r="M227" s="1" t="str">
        <x:f>A227&amp;"|"&amp;B227</x:f>
        <x:v>43965|Кемерово</x:v>
      </x:c>
      <x:c r="N227" s="1" t="n">
        <x:f>COUNTIFS('Лист2'!$F$2:$F$505,M227)</x:f>
        <x:v>1</x:v>
      </x:c>
      <x:c r="O227" s="1"/>
      <x:c r="P227" s="1"/>
      <x:c r="Q227" s="1"/>
    </x:row>
    <x:row r="228" ht="21" customHeight="1">
      <x:c r="A228" s="5" t="n">
        <x:f>'Лист1'!A228</x:f>
        <x:v>43965</x:v>
      </x:c>
      <x:c r="B228" s="1" t="str">
        <x:f>'Лист1'!B228</x:f>
        <x:v>Краснодар</x:v>
      </x:c>
      <x:c r="C228" s="1" t="n">
        <x:f>'Лист1'!C228</x:f>
        <x:v>25656</x:v>
      </x:c>
      <x:c r="D228" s="6" t="n">
        <x:f>'Лист1'!D228</x:f>
        <x:v>2225341.5</x:v>
      </x:c>
      <x:c r="E228" s="6" t="n">
        <x:f>'Лист1'!E228</x:f>
        <x:v>1766450.28</x:v>
      </x:c>
      <x:c r="F228" s="6" t="n">
        <x:f>'Лист1'!F228</x:f>
        <x:v>91828.48910769231</x:v>
      </x:c>
      <x:c r="G228" s="1" t="n">
        <x:f>IF(N228=1,SUMIFS('Лист2'!$C$2:$C$505,'Лист2'!$A$2:$A$505,A228,'Лист2'!$B$2:$B$505,B228),NA())</x:f>
        <x:v>19</x:v>
      </x:c>
      <x:c r="H228" s="1" t="n">
        <x:f>IF(N228=1,SUMIFS('Лист2'!$D$2:$D$505,'Лист2'!$A$2:$A$505,A228,'Лист2'!$B$2:$B$505,B228),NA())</x:f>
        <x:v>1635</x:v>
      </x:c>
      <x:c r="I228" s="1" t="n">
        <x:f>IF(N228=1,SUMIFS('Лист2'!$E$2:$E$505,'Лист2'!$A$2:$A$505,A228,'Лист2'!$B$2:$B$505,B228),NA())</x:f>
        <x:v>1487</x:v>
      </x:c>
      <x:c r="J228" s="5" t="n">
        <x:f>A228-WEEKDAY(A228,2)+1</x:f>
        <x:v>43962</x:v>
      </x:c>
      <x:c r="K228" s="1" t="n">
        <x:f>YEAR(J228+3)</x:f>
        <x:v>2020</x:v>
      </x:c>
      <x:c r="L228" s="1" t="n">
        <x:f>INT((J228-DATE(K228,1,4)+WEEKDAY(DATE(K228,1,4),2)-1)/7)+1</x:f>
        <x:v>20</x:v>
      </x:c>
      <x:c r="M228" s="1" t="str">
        <x:f>A228&amp;"|"&amp;B228</x:f>
        <x:v>43965|Краснодар</x:v>
      </x:c>
      <x:c r="N228" s="1" t="n">
        <x:f>COUNTIFS('Лист2'!$F$2:$F$505,M228)</x:f>
        <x:v>1</x:v>
      </x:c>
      <x:c r="O228" s="1"/>
      <x:c r="P228" s="1"/>
      <x:c r="Q228" s="1"/>
    </x:row>
    <x:row r="229" ht="21" customHeight="1">
      <x:c r="A229" s="5" t="n">
        <x:f>'Лист1'!A229</x:f>
        <x:v>43965</x:v>
      </x:c>
      <x:c r="B229" s="1" t="str">
        <x:f>'Лист1'!B229</x:f>
        <x:v>Москва Восток</x:v>
      </x:c>
      <x:c r="C229" s="1" t="n">
        <x:f>'Лист1'!C229</x:f>
        <x:v>186496.5</x:v>
      </x:c>
      <x:c r="D229" s="6" t="n">
        <x:f>'Лист1'!D229</x:f>
        <x:v>18640998</x:v>
      </x:c>
      <x:c r="E229" s="6" t="n">
        <x:f>'Лист1'!E229</x:f>
        <x:v>13641908.621</x:v>
      </x:c>
      <x:c r="F229" s="6" t="n">
        <x:f>'Лист1'!F229</x:f>
        <x:v>364896.93846153846</x:v>
      </x:c>
      <x:c r="G229" s="1" t="n">
        <x:f>IF(N229=1,SUMIFS('Лист2'!$C$2:$C$505,'Лист2'!$A$2:$A$505,A229,'Лист2'!$B$2:$B$505,B229),NA())</x:f>
        <x:v>54</x:v>
      </x:c>
      <x:c r="H229" s="1" t="n">
        <x:f>IF(N229=1,SUMIFS('Лист2'!$D$2:$D$505,'Лист2'!$A$2:$A$505,A229,'Лист2'!$B$2:$B$505,B229),NA())</x:f>
        <x:v>11194</x:v>
      </x:c>
      <x:c r="I229" s="1" t="n">
        <x:f>IF(N229=1,SUMIFS('Лист2'!$E$2:$E$505,'Лист2'!$A$2:$A$505,A229,'Лист2'!$B$2:$B$505,B229),NA())</x:f>
        <x:v>10554</x:v>
      </x:c>
      <x:c r="J229" s="5" t="n">
        <x:f>A229-WEEKDAY(A229,2)+1</x:f>
        <x:v>43962</x:v>
      </x:c>
      <x:c r="K229" s="1" t="n">
        <x:f>YEAR(J229+3)</x:f>
        <x:v>2020</x:v>
      </x:c>
      <x:c r="L229" s="1" t="n">
        <x:f>INT((J229-DATE(K229,1,4)+WEEKDAY(DATE(K229,1,4),2)-1)/7)+1</x:f>
        <x:v>20</x:v>
      </x:c>
      <x:c r="M229" s="1" t="str">
        <x:f>A229&amp;"|"&amp;B229</x:f>
        <x:v>43965|Москва Восток</x:v>
      </x:c>
      <x:c r="N229" s="1" t="n">
        <x:f>COUNTIFS('Лист2'!$F$2:$F$505,M229)</x:f>
        <x:v>1</x:v>
      </x:c>
      <x:c r="O229" s="1"/>
      <x:c r="P229" s="1"/>
      <x:c r="Q229" s="1"/>
    </x:row>
    <x:row r="230" ht="21" customHeight="1">
      <x:c r="A230" s="5" t="n">
        <x:f>'Лист1'!A230</x:f>
        <x:v>43965</x:v>
      </x:c>
      <x:c r="B230" s="1" t="str">
        <x:f>'Лист1'!B230</x:f>
        <x:v>Москва Запад</x:v>
      </x:c>
      <x:c r="C230" s="1" t="n">
        <x:f>'Лист1'!C230</x:f>
        <x:v>197946</x:v>
      </x:c>
      <x:c r="D230" s="6" t="n">
        <x:f>'Лист1'!D230</x:f>
        <x:v>19942435.5</x:v>
      </x:c>
      <x:c r="E230" s="6" t="n">
        <x:f>'Лист1'!E230</x:f>
        <x:v>14561721.772999998</x:v>
      </x:c>
      <x:c r="F230" s="6" t="n">
        <x:f>'Лист1'!F230</x:f>
        <x:v>363750.5569230769</x:v>
      </x:c>
      <x:c r="G230" s="1" t="n">
        <x:f>IF(N230=1,SUMIFS('Лист2'!$C$2:$C$505,'Лист2'!$A$2:$A$505,A230,'Лист2'!$B$2:$B$505,B230),NA())</x:f>
        <x:v>60</x:v>
      </x:c>
      <x:c r="H230" s="1" t="n">
        <x:f>IF(N230=1,SUMIFS('Лист2'!$D$2:$D$505,'Лист2'!$A$2:$A$505,A230,'Лист2'!$B$2:$B$505,B230),NA())</x:f>
        <x:v>11935</x:v>
      </x:c>
      <x:c r="I230" s="1" t="n">
        <x:f>IF(N230=1,SUMIFS('Лист2'!$E$2:$E$505,'Лист2'!$A$2:$A$505,A230,'Лист2'!$B$2:$B$505,B230),NA())</x:f>
        <x:v>11178</x:v>
      </x:c>
      <x:c r="J230" s="5" t="n">
        <x:f>A230-WEEKDAY(A230,2)+1</x:f>
        <x:v>43962</x:v>
      </x:c>
      <x:c r="K230" s="1" t="n">
        <x:f>YEAR(J230+3)</x:f>
        <x:v>2020</x:v>
      </x:c>
      <x:c r="L230" s="1" t="n">
        <x:f>INT((J230-DATE(K230,1,4)+WEEKDAY(DATE(K230,1,4),2)-1)/7)+1</x:f>
        <x:v>20</x:v>
      </x:c>
      <x:c r="M230" s="1" t="str">
        <x:f>A230&amp;"|"&amp;B230</x:f>
        <x:v>43965|Москва Запад</x:v>
      </x:c>
      <x:c r="N230" s="1" t="n">
        <x:f>COUNTIFS('Лист2'!$F$2:$F$505,M230)</x:f>
        <x:v>1</x:v>
      </x:c>
      <x:c r="O230" s="1"/>
      <x:c r="P230" s="1"/>
      <x:c r="Q230" s="1"/>
    </x:row>
    <x:row r="231" ht="21" customHeight="1">
      <x:c r="A231" s="5" t="n">
        <x:f>'Лист1'!A231</x:f>
        <x:v>43965</x:v>
      </x:c>
      <x:c r="B231" s="1" t="str">
        <x:f>'Лист1'!B231</x:f>
        <x:v>Нижний Новгород</x:v>
      </x:c>
      <x:c r="C231" s="1" t="n">
        <x:f>'Лист1'!C231</x:f>
        <x:v>27411</x:v>
      </x:c>
      <x:c r="D231" s="6" t="n">
        <x:f>'Лист1'!D231</x:f>
        <x:v>2441520</x:v>
      </x:c>
      <x:c r="E231" s="6" t="n">
        <x:f>'Лист1'!E231</x:f>
        <x:v>1933378.3459999997</x:v>
      </x:c>
      <x:c r="F231" s="6" t="n">
        <x:f>'Лист1'!F231</x:f>
        <x:v>141658.27661538462</x:v>
      </x:c>
      <x:c r="G231" s="1" t="n">
        <x:f>IF(N231=1,SUMIFS('Лист2'!$C$2:$C$505,'Лист2'!$A$2:$A$505,A231,'Лист2'!$B$2:$B$505,B231),NA())</x:f>
        <x:v>19</x:v>
      </x:c>
      <x:c r="H231" s="1" t="n">
        <x:f>IF(N231=1,SUMIFS('Лист2'!$D$2:$D$505,'Лист2'!$A$2:$A$505,A231,'Лист2'!$B$2:$B$505,B231),NA())</x:f>
        <x:v>1675</x:v>
      </x:c>
      <x:c r="I231" s="1" t="n">
        <x:f>IF(N231=1,SUMIFS('Лист2'!$E$2:$E$505,'Лист2'!$A$2:$A$505,A231,'Лист2'!$B$2:$B$505,B231),NA())</x:f>
        <x:v>1475</x:v>
      </x:c>
      <x:c r="J231" s="5" t="n">
        <x:f>A231-WEEKDAY(A231,2)+1</x:f>
        <x:v>43962</x:v>
      </x:c>
      <x:c r="K231" s="1" t="n">
        <x:f>YEAR(J231+3)</x:f>
        <x:v>2020</x:v>
      </x:c>
      <x:c r="L231" s="1" t="n">
        <x:f>INT((J231-DATE(K231,1,4)+WEEKDAY(DATE(K231,1,4),2)-1)/7)+1</x:f>
        <x:v>20</x:v>
      </x:c>
      <x:c r="M231" s="1" t="str">
        <x:f>A231&amp;"|"&amp;B231</x:f>
        <x:v>43965|Нижний Новгород</x:v>
      </x:c>
      <x:c r="N231" s="1" t="n">
        <x:f>COUNTIFS('Лист2'!$F$2:$F$505,M231)</x:f>
        <x:v>1</x:v>
      </x:c>
      <x:c r="O231" s="1"/>
      <x:c r="P231" s="1"/>
      <x:c r="Q231" s="1"/>
    </x:row>
    <x:row r="232" ht="21" customHeight="1">
      <x:c r="A232" s="5" t="n">
        <x:f>'Лист1'!A232</x:f>
        <x:v>43965</x:v>
      </x:c>
      <x:c r="B232" s="1" t="str">
        <x:f>'Лист1'!B232</x:f>
        <x:v>Новосибирск</x:v>
      </x:c>
      <x:c r="C232" s="1" t="n">
        <x:f>'Лист1'!C232</x:f>
        <x:v>13810.5</x:v>
      </x:c>
      <x:c r="D232" s="6" t="n">
        <x:f>'Лист1'!D232</x:f>
        <x:v>1131676.5</x:v>
      </x:c>
      <x:c r="E232" s="6" t="n">
        <x:f>'Лист1'!E232</x:f>
        <x:v>966968.6359999999</x:v>
      </x:c>
      <x:c r="F232" s="6" t="n">
        <x:f>'Лист1'!F232</x:f>
        <x:v>195740.02307692307</x:v>
      </x:c>
      <x:c r="G232" s="1" t="n">
        <x:f>IF(N232=1,SUMIFS('Лист2'!$C$2:$C$505,'Лист2'!$A$2:$A$505,A232,'Лист2'!$B$2:$B$505,B232),NA())</x:f>
        <x:v>16</x:v>
      </x:c>
      <x:c r="H232" s="1" t="n">
        <x:f>IF(N232=1,SUMIFS('Лист2'!$D$2:$D$505,'Лист2'!$A$2:$A$505,A232,'Лист2'!$B$2:$B$505,B232),NA())</x:f>
        <x:v>834</x:v>
      </x:c>
      <x:c r="I232" s="1" t="n">
        <x:f>IF(N232=1,SUMIFS('Лист2'!$E$2:$E$505,'Лист2'!$A$2:$A$505,A232,'Лист2'!$B$2:$B$505,B232),NA())</x:f>
        <x:v>735</x:v>
      </x:c>
      <x:c r="J232" s="5" t="n">
        <x:f>A232-WEEKDAY(A232,2)+1</x:f>
        <x:v>43962</x:v>
      </x:c>
      <x:c r="K232" s="1" t="n">
        <x:f>YEAR(J232+3)</x:f>
        <x:v>2020</x:v>
      </x:c>
      <x:c r="L232" s="1" t="n">
        <x:f>INT((J232-DATE(K232,1,4)+WEEKDAY(DATE(K232,1,4),2)-1)/7)+1</x:f>
        <x:v>20</x:v>
      </x:c>
      <x:c r="M232" s="1" t="str">
        <x:f>A232&amp;"|"&amp;B232</x:f>
        <x:v>43965|Новосибирск</x:v>
      </x:c>
      <x:c r="N232" s="1" t="n">
        <x:f>COUNTIFS('Лист2'!$F$2:$F$505,M232)</x:f>
        <x:v>1</x:v>
      </x:c>
      <x:c r="O232" s="1"/>
      <x:c r="P232" s="1"/>
      <x:c r="Q232" s="1"/>
    </x:row>
    <x:row r="233" ht="21" customHeight="1">
      <x:c r="A233" s="5" t="n">
        <x:f>'Лист1'!A233</x:f>
        <x:v>43965</x:v>
      </x:c>
      <x:c r="B233" s="1" t="str">
        <x:f>'Лист1'!B233</x:f>
        <x:v>Пермь</x:v>
      </x:c>
      <x:c r="C233" s="1" t="n">
        <x:f>'Лист1'!C233</x:f>
        <x:v>14385</x:v>
      </x:c>
      <x:c r="D233" s="6" t="n">
        <x:f>'Лист1'!D233</x:f>
        <x:v>1223491.5</x:v>
      </x:c>
      <x:c r="E233" s="6" t="n">
        <x:f>'Лист1'!E233</x:f>
        <x:v>977925.731</x:v>
      </x:c>
      <x:c r="F233" s="6" t="n">
        <x:f>'Лист1'!F233</x:f>
        <x:v>285708.40769230766</x:v>
      </x:c>
      <x:c r="G233" s="1" t="n">
        <x:f>IF(N233=1,SUMIFS('Лист2'!$C$2:$C$505,'Лист2'!$A$2:$A$505,A233,'Лист2'!$B$2:$B$505,B233),NA())</x:f>
        <x:v>15</x:v>
      </x:c>
      <x:c r="H233" s="1" t="n">
        <x:f>IF(N233=1,SUMIFS('Лист2'!$D$2:$D$505,'Лист2'!$A$2:$A$505,A233,'Лист2'!$B$2:$B$505,B233),NA())</x:f>
        <x:v>890</x:v>
      </x:c>
      <x:c r="I233" s="1" t="n">
        <x:f>IF(N233=1,SUMIFS('Лист2'!$E$2:$E$505,'Лист2'!$A$2:$A$505,A233,'Лист2'!$B$2:$B$505,B233),NA())</x:f>
        <x:v>777</x:v>
      </x:c>
      <x:c r="J233" s="5" t="n">
        <x:f>A233-WEEKDAY(A233,2)+1</x:f>
        <x:v>43962</x:v>
      </x:c>
      <x:c r="K233" s="1" t="n">
        <x:f>YEAR(J233+3)</x:f>
        <x:v>2020</x:v>
      </x:c>
      <x:c r="L233" s="1" t="n">
        <x:f>INT((J233-DATE(K233,1,4)+WEEKDAY(DATE(K233,1,4),2)-1)/7)+1</x:f>
        <x:v>20</x:v>
      </x:c>
      <x:c r="M233" s="1" t="str">
        <x:f>A233&amp;"|"&amp;B233</x:f>
        <x:v>43965|Пермь</x:v>
      </x:c>
      <x:c r="N233" s="1" t="n">
        <x:f>COUNTIFS('Лист2'!$F$2:$F$505,M233)</x:f>
        <x:v>1</x:v>
      </x:c>
      <x:c r="O233" s="1"/>
      <x:c r="P233" s="1"/>
      <x:c r="Q233" s="1"/>
    </x:row>
    <x:row r="234" ht="21" customHeight="1">
      <x:c r="A234" s="5" t="n">
        <x:f>'Лист1'!A234</x:f>
        <x:v>43965</x:v>
      </x:c>
      <x:c r="B234" s="1" t="str">
        <x:f>'Лист1'!B234</x:f>
        <x:v>Ростов-на-Дону</x:v>
      </x:c>
      <x:c r="C234" s="1" t="n">
        <x:f>'Лист1'!C234</x:f>
        <x:v>11161.5</x:v>
      </x:c>
      <x:c r="D234" s="6" t="n">
        <x:f>'Лист1'!D234</x:f>
        <x:v>963502.5</x:v>
      </x:c>
      <x:c r="E234" s="6" t="n">
        <x:f>'Лист1'!E234</x:f>
        <x:v>812962.6780000001</x:v>
      </x:c>
      <x:c r="F234" s="6" t="n">
        <x:f>'Лист1'!F234</x:f>
        <x:v>193118.3230769231</x:v>
      </x:c>
      <x:c r="G234" s="1" t="n">
        <x:f>IF(N234=1,SUMIFS('Лист2'!$C$2:$C$505,'Лист2'!$A$2:$A$505,A234,'Лист2'!$B$2:$B$505,B234),NA())</x:f>
        <x:v>15</x:v>
      </x:c>
      <x:c r="H234" s="1" t="n">
        <x:f>IF(N234=1,SUMIFS('Лист2'!$D$2:$D$505,'Лист2'!$A$2:$A$505,A234,'Лист2'!$B$2:$B$505,B234),NA())</x:f>
        <x:v>638</x:v>
      </x:c>
      <x:c r="I234" s="1" t="n">
        <x:f>IF(N234=1,SUMIFS('Лист2'!$E$2:$E$505,'Лист2'!$A$2:$A$505,A234,'Лист2'!$B$2:$B$505,B234),NA())</x:f>
        <x:v>548</x:v>
      </x:c>
      <x:c r="J234" s="5" t="n">
        <x:f>A234-WEEKDAY(A234,2)+1</x:f>
        <x:v>43962</x:v>
      </x:c>
      <x:c r="K234" s="1" t="n">
        <x:f>YEAR(J234+3)</x:f>
        <x:v>2020</x:v>
      </x:c>
      <x:c r="L234" s="1" t="n">
        <x:f>INT((J234-DATE(K234,1,4)+WEEKDAY(DATE(K234,1,4),2)-1)/7)+1</x:f>
        <x:v>20</x:v>
      </x:c>
      <x:c r="M234" s="1" t="str">
        <x:f>A234&amp;"|"&amp;B234</x:f>
        <x:v>43965|Ростов-на-Дону</x:v>
      </x:c>
      <x:c r="N234" s="1" t="n">
        <x:f>COUNTIFS('Лист2'!$F$2:$F$505,M234)</x:f>
        <x:v>1</x:v>
      </x:c>
      <x:c r="O234" s="1"/>
      <x:c r="P234" s="1"/>
      <x:c r="Q234" s="1"/>
    </x:row>
    <x:row r="235" ht="21" customHeight="1">
      <x:c r="A235" s="5" t="n">
        <x:f>'Лист1'!A235</x:f>
        <x:v>43965</x:v>
      </x:c>
      <x:c r="B235" s="1" t="str">
        <x:f>'Лист1'!B235</x:f>
        <x:v>Санкт-Петербург Север</x:v>
      </x:c>
      <x:c r="C235" s="1" t="n">
        <x:f>'Лист1'!C235</x:f>
        <x:v>358387.5</x:v>
      </x:c>
      <x:c r="D235" s="6" t="n">
        <x:f>'Лист1'!D235</x:f>
        <x:v>37963150.5</x:v>
      </x:c>
      <x:c r="E235" s="6" t="n">
        <x:f>'Лист1'!E235</x:f>
        <x:v>27483828.209</x:v>
      </x:c>
      <x:c r="F235" s="6" t="n">
        <x:f>'Лист1'!F235</x:f>
        <x:v>506964.83088461537</x:v>
      </x:c>
      <x:c r="G235" s="1" t="n">
        <x:f>IF(N235=1,SUMIFS('Лист2'!$C$2:$C$505,'Лист2'!$A$2:$A$505,A235,'Лист2'!$B$2:$B$505,B235),NA())</x:f>
        <x:v>125</x:v>
      </x:c>
      <x:c r="H235" s="1" t="n">
        <x:f>IF(N235=1,SUMIFS('Лист2'!$D$2:$D$505,'Лист2'!$A$2:$A$505,A235,'Лист2'!$B$2:$B$505,B235),NA())</x:f>
        <x:v>20247</x:v>
      </x:c>
      <x:c r="I235" s="1" t="n">
        <x:f>IF(N235=1,SUMIFS('Лист2'!$E$2:$E$505,'Лист2'!$A$2:$A$505,A235,'Лист2'!$B$2:$B$505,B235),NA())</x:f>
        <x:v>18812</x:v>
      </x:c>
      <x:c r="J235" s="5" t="n">
        <x:f>A235-WEEKDAY(A235,2)+1</x:f>
        <x:v>43962</x:v>
      </x:c>
      <x:c r="K235" s="1" t="n">
        <x:f>YEAR(J235+3)</x:f>
        <x:v>2020</x:v>
      </x:c>
      <x:c r="L235" s="1" t="n">
        <x:f>INT((J235-DATE(K235,1,4)+WEEKDAY(DATE(K235,1,4),2)-1)/7)+1</x:f>
        <x:v>20</x:v>
      </x:c>
      <x:c r="M235" s="1" t="str">
        <x:f>A235&amp;"|"&amp;B235</x:f>
        <x:v>43965|Санкт-Петербург Север</x:v>
      </x:c>
      <x:c r="N235" s="1" t="n">
        <x:f>COUNTIFS('Лист2'!$F$2:$F$505,M235)</x:f>
        <x:v>1</x:v>
      </x:c>
      <x:c r="O235" s="1"/>
      <x:c r="P235" s="1"/>
      <x:c r="Q235" s="1"/>
    </x:row>
    <x:row r="236" ht="21" customHeight="1">
      <x:c r="A236" s="5" t="n">
        <x:f>'Лист1'!A236</x:f>
        <x:v>43965</x:v>
      </x:c>
      <x:c r="B236" s="1" t="str">
        <x:f>'Лист1'!B236</x:f>
        <x:v>Санкт-Петербург Юг</x:v>
      </x:c>
      <x:c r="C236" s="1" t="n">
        <x:f>'Лист1'!C236</x:f>
        <x:v>274059</x:v>
      </x:c>
      <x:c r="D236" s="6" t="n">
        <x:f>'Лист1'!D236</x:f>
        <x:v>28181292</x:v>
      </x:c>
      <x:c r="E236" s="6" t="n">
        <x:f>'Лист1'!E236</x:f>
        <x:v>20493717.226</x:v>
      </x:c>
      <x:c r="F236" s="6" t="n">
        <x:f>'Лист1'!F236</x:f>
        <x:v>806120.1933307692</x:v>
      </x:c>
      <x:c r="G236" s="1" t="n">
        <x:f>IF(N236=1,SUMIFS('Лист2'!$C$2:$C$505,'Лист2'!$A$2:$A$505,A236,'Лист2'!$B$2:$B$505,B236),NA())</x:f>
        <x:v>129</x:v>
      </x:c>
      <x:c r="H236" s="1" t="n">
        <x:f>IF(N236=1,SUMIFS('Лист2'!$D$2:$D$505,'Лист2'!$A$2:$A$505,A236,'Лист2'!$B$2:$B$505,B236),NA())</x:f>
        <x:v>15804</x:v>
      </x:c>
      <x:c r="I236" s="1" t="n">
        <x:f>IF(N236=1,SUMIFS('Лист2'!$E$2:$E$505,'Лист2'!$A$2:$A$505,A236,'Лист2'!$B$2:$B$505,B236),NA())</x:f>
        <x:v>14738</x:v>
      </x:c>
      <x:c r="J236" s="5" t="n">
        <x:f>A236-WEEKDAY(A236,2)+1</x:f>
        <x:v>43962</x:v>
      </x:c>
      <x:c r="K236" s="1" t="n">
        <x:f>YEAR(J236+3)</x:f>
        <x:v>2020</x:v>
      </x:c>
      <x:c r="L236" s="1" t="n">
        <x:f>INT((J236-DATE(K236,1,4)+WEEKDAY(DATE(K236,1,4),2)-1)/7)+1</x:f>
        <x:v>20</x:v>
      </x:c>
      <x:c r="M236" s="1" t="str">
        <x:f>A236&amp;"|"&amp;B236</x:f>
        <x:v>43965|Санкт-Петербург Юг</x:v>
      </x:c>
      <x:c r="N236" s="1" t="n">
        <x:f>COUNTIFS('Лист2'!$F$2:$F$505,M236)</x:f>
        <x:v>1</x:v>
      </x:c>
      <x:c r="O236" s="1"/>
      <x:c r="P236" s="1"/>
      <x:c r="Q236" s="1"/>
    </x:row>
    <x:row r="237" ht="21" customHeight="1">
      <x:c r="A237" s="5" t="n">
        <x:f>'Лист1'!A237</x:f>
        <x:v>43965</x:v>
      </x:c>
      <x:c r="B237" s="1" t="str">
        <x:f>'Лист1'!B237</x:f>
        <x:v>Тольятти</x:v>
      </x:c>
      <x:c r="C237" s="1" t="n">
        <x:f>'Лист1'!C237</x:f>
        <x:v>12037.5</x:v>
      </x:c>
      <x:c r="D237" s="6" t="n">
        <x:f>'Лист1'!D237</x:f>
        <x:v>981564</x:v>
      </x:c>
      <x:c r="E237" s="6" t="n">
        <x:f>'Лист1'!E237</x:f>
        <x:v>877726.201</x:v>
      </x:c>
      <x:c r="F237" s="6" t="n">
        <x:f>'Лист1'!F237</x:f>
        <x:v>69249.01181538461</x:v>
      </x:c>
      <x:c r="G237" s="1" t="n">
        <x:f>IF(N237=1,SUMIFS('Лист2'!$C$2:$C$505,'Лист2'!$A$2:$A$505,A237,'Лист2'!$B$2:$B$505,B237),NA())</x:f>
        <x:v>10</x:v>
      </x:c>
      <x:c r="H237" s="1" t="n">
        <x:f>IF(N237=1,SUMIFS('Лист2'!$D$2:$D$505,'Лист2'!$A$2:$A$505,A237,'Лист2'!$B$2:$B$505,B237),NA())</x:f>
        <x:v>627</x:v>
      </x:c>
      <x:c r="I237" s="1" t="n">
        <x:f>IF(N237=1,SUMIFS('Лист2'!$E$2:$E$505,'Лист2'!$A$2:$A$505,A237,'Лист2'!$B$2:$B$505,B237),NA())</x:f>
        <x:v>545</x:v>
      </x:c>
      <x:c r="J237" s="5" t="n">
        <x:f>A237-WEEKDAY(A237,2)+1</x:f>
        <x:v>43962</x:v>
      </x:c>
      <x:c r="K237" s="1" t="n">
        <x:f>YEAR(J237+3)</x:f>
        <x:v>2020</x:v>
      </x:c>
      <x:c r="L237" s="1" t="n">
        <x:f>INT((J237-DATE(K237,1,4)+WEEKDAY(DATE(K237,1,4),2)-1)/7)+1</x:f>
        <x:v>20</x:v>
      </x:c>
      <x:c r="M237" s="1" t="str">
        <x:f>A237&amp;"|"&amp;B237</x:f>
        <x:v>43965|Тольятти</x:v>
      </x:c>
      <x:c r="N237" s="1" t="n">
        <x:f>COUNTIFS('Лист2'!$F$2:$F$505,M237)</x:f>
        <x:v>1</x:v>
      </x:c>
      <x:c r="O237" s="1"/>
      <x:c r="P237" s="1"/>
      <x:c r="Q237" s="1"/>
    </x:row>
    <x:row r="238" ht="21" customHeight="1">
      <x:c r="A238" s="5" t="n">
        <x:f>'Лист1'!A238</x:f>
        <x:v>43966</x:v>
      </x:c>
      <x:c r="B238" s="1" t="str">
        <x:f>'Лист1'!B238</x:f>
        <x:v>Волгоград</x:v>
      </x:c>
      <x:c r="C238" s="1" t="n">
        <x:f>'Лист1'!C238</x:f>
        <x:v>75642</x:v>
      </x:c>
      <x:c r="D238" s="6" t="n">
        <x:f>'Лист1'!D238</x:f>
        <x:v>6293952</x:v>
      </x:c>
      <x:c r="E238" s="6" t="n">
        <x:f>'Лист1'!E238</x:f>
        <x:v>5100877.931</x:v>
      </x:c>
      <x:c r="F238" s="6" t="n">
        <x:f>'Лист1'!F238</x:f>
        <x:v>159537.61835384613</x:v>
      </x:c>
      <x:c r="G238" s="1" t="n">
        <x:f>IF(N238=1,SUMIFS('Лист2'!$C$2:$C$505,'Лист2'!$A$2:$A$505,A238,'Лист2'!$B$2:$B$505,B238),NA())</x:f>
        <x:v>36</x:v>
      </x:c>
      <x:c r="H238" s="1" t="n">
        <x:f>IF(N238=1,SUMIFS('Лист2'!$D$2:$D$505,'Лист2'!$A$2:$A$505,A238,'Лист2'!$B$2:$B$505,B238),NA())</x:f>
        <x:v>4862</x:v>
      </x:c>
      <x:c r="I238" s="1" t="n">
        <x:f>IF(N238=1,SUMIFS('Лист2'!$E$2:$E$505,'Лист2'!$A$2:$A$505,A238,'Лист2'!$B$2:$B$505,B238),NA())</x:f>
        <x:v>4476</x:v>
      </x:c>
      <x:c r="J238" s="5" t="n">
        <x:f>A238-WEEKDAY(A238,2)+1</x:f>
        <x:v>43962</x:v>
      </x:c>
      <x:c r="K238" s="1" t="n">
        <x:f>YEAR(J238+3)</x:f>
        <x:v>2020</x:v>
      </x:c>
      <x:c r="L238" s="1" t="n">
        <x:f>INT((J238-DATE(K238,1,4)+WEEKDAY(DATE(K238,1,4),2)-1)/7)+1</x:f>
        <x:v>20</x:v>
      </x:c>
      <x:c r="M238" s="1" t="str">
        <x:f>A238&amp;"|"&amp;B238</x:f>
        <x:v>43966|Волгоград</x:v>
      </x:c>
      <x:c r="N238" s="1" t="n">
        <x:f>COUNTIFS('Лист2'!$F$2:$F$505,M238)</x:f>
        <x:v>1</x:v>
      </x:c>
      <x:c r="O238" s="1"/>
      <x:c r="P238" s="1"/>
      <x:c r="Q238" s="1"/>
    </x:row>
    <x:row r="239" ht="21" customHeight="1">
      <x:c r="A239" s="5" t="n">
        <x:f>'Лист1'!A239</x:f>
        <x:v>43966</x:v>
      </x:c>
      <x:c r="B239" s="1" t="str">
        <x:f>'Лист1'!B239</x:f>
        <x:v>Екатеринбург</x:v>
      </x:c>
      <x:c r="C239" s="1" t="n">
        <x:f>'Лист1'!C239</x:f>
        <x:v>78961.5</x:v>
      </x:c>
      <x:c r="D239" s="6" t="n">
        <x:f>'Лист1'!D239</x:f>
        <x:v>6876454.5</x:v>
      </x:c>
      <x:c r="E239" s="6" t="n">
        <x:f>'Лист1'!E239</x:f>
        <x:v>5258162.288</x:v>
      </x:c>
      <x:c r="F239" s="6" t="n">
        <x:f>'Лист1'!F239</x:f>
        <x:v>162133.1846153846</x:v>
      </x:c>
      <x:c r="G239" s="1" t="n">
        <x:f>IF(N239=1,SUMIFS('Лист2'!$C$2:$C$505,'Лист2'!$A$2:$A$505,A239,'Лист2'!$B$2:$B$505,B239),NA())</x:f>
        <x:v>31</x:v>
      </x:c>
      <x:c r="H239" s="1" t="n">
        <x:f>IF(N239=1,SUMIFS('Лист2'!$D$2:$D$505,'Лист2'!$A$2:$A$505,A239,'Лист2'!$B$2:$B$505,B239),NA())</x:f>
        <x:v>5184</x:v>
      </x:c>
      <x:c r="I239" s="1" t="n">
        <x:f>IF(N239=1,SUMIFS('Лист2'!$E$2:$E$505,'Лист2'!$A$2:$A$505,A239,'Лист2'!$B$2:$B$505,B239),NA())</x:f>
        <x:v>4778</x:v>
      </x:c>
      <x:c r="J239" s="5" t="n">
        <x:f>A239-WEEKDAY(A239,2)+1</x:f>
        <x:v>43962</x:v>
      </x:c>
      <x:c r="K239" s="1" t="n">
        <x:f>YEAR(J239+3)</x:f>
        <x:v>2020</x:v>
      </x:c>
      <x:c r="L239" s="1" t="n">
        <x:f>INT((J239-DATE(K239,1,4)+WEEKDAY(DATE(K239,1,4),2)-1)/7)+1</x:f>
        <x:v>20</x:v>
      </x:c>
      <x:c r="M239" s="1" t="str">
        <x:f>A239&amp;"|"&amp;B239</x:f>
        <x:v>43966|Екатеринбург</x:v>
      </x:c>
      <x:c r="N239" s="1" t="n">
        <x:f>COUNTIFS('Лист2'!$F$2:$F$505,M239)</x:f>
        <x:v>1</x:v>
      </x:c>
      <x:c r="O239" s="1"/>
      <x:c r="P239" s="1"/>
      <x:c r="Q239" s="1"/>
    </x:row>
    <x:row r="240" ht="21" customHeight="1">
      <x:c r="A240" s="5" t="n">
        <x:f>'Лист1'!A240</x:f>
        <x:v>43966</x:v>
      </x:c>
      <x:c r="B240" s="1" t="str">
        <x:f>'Лист1'!B240</x:f>
        <x:v>Казань</x:v>
      </x:c>
      <x:c r="C240" s="1" t="n">
        <x:f>'Лист1'!C240</x:f>
        <x:v>41697</x:v>
      </x:c>
      <x:c r="D240" s="6" t="n">
        <x:f>'Лист1'!D240</x:f>
        <x:v>3772258.5</x:v>
      </x:c>
      <x:c r="E240" s="6" t="n">
        <x:f>'Лист1'!E240</x:f>
        <x:v>3092823.668</x:v>
      </x:c>
      <x:c r="F240" s="6" t="n">
        <x:f>'Лист1'!F240</x:f>
        <x:v>167669.98904615385</x:v>
      </x:c>
      <x:c r="G240" s="1" t="n">
        <x:f>IF(N240=1,SUMIFS('Лист2'!$C$2:$C$505,'Лист2'!$A$2:$A$505,A240,'Лист2'!$B$2:$B$505,B240),NA())</x:f>
        <x:v>21</x:v>
      </x:c>
      <x:c r="H240" s="1" t="n">
        <x:f>IF(N240=1,SUMIFS('Лист2'!$D$2:$D$505,'Лист2'!$A$2:$A$505,A240,'Лист2'!$B$2:$B$505,B240),NA())</x:f>
        <x:v>2255</x:v>
      </x:c>
      <x:c r="I240" s="1" t="n">
        <x:f>IF(N240=1,SUMIFS('Лист2'!$E$2:$E$505,'Лист2'!$A$2:$A$505,A240,'Лист2'!$B$2:$B$505,B240),NA())</x:f>
        <x:v>2045</x:v>
      </x:c>
      <x:c r="J240" s="5" t="n">
        <x:f>A240-WEEKDAY(A240,2)+1</x:f>
        <x:v>43962</x:v>
      </x:c>
      <x:c r="K240" s="1" t="n">
        <x:f>YEAR(J240+3)</x:f>
        <x:v>2020</x:v>
      </x:c>
      <x:c r="L240" s="1" t="n">
        <x:f>INT((J240-DATE(K240,1,4)+WEEKDAY(DATE(K240,1,4),2)-1)/7)+1</x:f>
        <x:v>20</x:v>
      </x:c>
      <x:c r="M240" s="1" t="str">
        <x:f>A240&amp;"|"&amp;B240</x:f>
        <x:v>43966|Казань</x:v>
      </x:c>
      <x:c r="N240" s="1" t="n">
        <x:f>COUNTIFS('Лист2'!$F$2:$F$505,M240)</x:f>
        <x:v>1</x:v>
      </x:c>
      <x:c r="O240" s="1"/>
      <x:c r="P240" s="1"/>
      <x:c r="Q240" s="1"/>
    </x:row>
    <x:row r="241" ht="21" customHeight="1">
      <x:c r="A241" s="5" t="n">
        <x:f>'Лист1'!A241</x:f>
        <x:v>43966</x:v>
      </x:c>
      <x:c r="B241" s="1" t="str">
        <x:f>'Лист1'!B241</x:f>
        <x:v>Кемерово</x:v>
      </x:c>
      <x:c r="C241" s="1" t="n">
        <x:f>'Лист1'!C241</x:f>
        <x:v>34150.5</x:v>
      </x:c>
      <x:c r="D241" s="6" t="n">
        <x:f>'Лист1'!D241</x:f>
        <x:v>3038293.5</x:v>
      </x:c>
      <x:c r="E241" s="6" t="n">
        <x:f>'Лист1'!E241</x:f>
        <x:v>2442084.561</x:v>
      </x:c>
      <x:c r="F241" s="6" t="n">
        <x:f>'Лист1'!F241</x:f>
        <x:v>277257.14947692305</x:v>
      </x:c>
      <x:c r="G241" s="1" t="n">
        <x:f>IF(N241=1,SUMIFS('Лист2'!$C$2:$C$505,'Лист2'!$A$2:$A$505,A241,'Лист2'!$B$2:$B$505,B241),NA())</x:f>
        <x:v>21</x:v>
      </x:c>
      <x:c r="H241" s="1" t="n">
        <x:f>IF(N241=1,SUMIFS('Лист2'!$D$2:$D$505,'Лист2'!$A$2:$A$505,A241,'Лист2'!$B$2:$B$505,B241),NA())</x:f>
        <x:v>1926</x:v>
      </x:c>
      <x:c r="I241" s="1" t="n">
        <x:f>IF(N241=1,SUMIFS('Лист2'!$E$2:$E$505,'Лист2'!$A$2:$A$505,A241,'Лист2'!$B$2:$B$505,B241),NA())</x:f>
        <x:v>1742</x:v>
      </x:c>
      <x:c r="J241" s="5" t="n">
        <x:f>A241-WEEKDAY(A241,2)+1</x:f>
        <x:v>43962</x:v>
      </x:c>
      <x:c r="K241" s="1" t="n">
        <x:f>YEAR(J241+3)</x:f>
        <x:v>2020</x:v>
      </x:c>
      <x:c r="L241" s="1" t="n">
        <x:f>INT((J241-DATE(K241,1,4)+WEEKDAY(DATE(K241,1,4),2)-1)/7)+1</x:f>
        <x:v>20</x:v>
      </x:c>
      <x:c r="M241" s="1" t="str">
        <x:f>A241&amp;"|"&amp;B241</x:f>
        <x:v>43966|Кемерово</x:v>
      </x:c>
      <x:c r="N241" s="1" t="n">
        <x:f>COUNTIFS('Лист2'!$F$2:$F$505,M241)</x:f>
        <x:v>1</x:v>
      </x:c>
      <x:c r="O241" s="1"/>
      <x:c r="P241" s="1"/>
      <x:c r="Q241" s="1"/>
    </x:row>
    <x:row r="242" ht="21" customHeight="1">
      <x:c r="A242" s="5" t="n">
        <x:f>'Лист1'!A242</x:f>
        <x:v>43966</x:v>
      </x:c>
      <x:c r="B242" s="1" t="str">
        <x:f>'Лист1'!B242</x:f>
        <x:v>Краснодар</x:v>
      </x:c>
      <x:c r="C242" s="1" t="n">
        <x:f>'Лист1'!C242</x:f>
        <x:v>29283</x:v>
      </x:c>
      <x:c r="D242" s="6" t="n">
        <x:f>'Лист1'!D242</x:f>
        <x:v>2477487</x:v>
      </x:c>
      <x:c r="E242" s="6" t="n">
        <x:f>'Лист1'!E242</x:f>
        <x:v>2005719.3469999998</x:v>
      </x:c>
      <x:c r="F242" s="6" t="n">
        <x:f>'Лист1'!F242</x:f>
        <x:v>77264.32873846154</x:v>
      </x:c>
      <x:c r="G242" s="1" t="n">
        <x:f>IF(N242=1,SUMIFS('Лист2'!$C$2:$C$505,'Лист2'!$A$2:$A$505,A242,'Лист2'!$B$2:$B$505,B242),NA())</x:f>
        <x:v>19</x:v>
      </x:c>
      <x:c r="H242" s="1" t="n">
        <x:f>IF(N242=1,SUMIFS('Лист2'!$D$2:$D$505,'Лист2'!$A$2:$A$505,A242,'Лист2'!$B$2:$B$505,B242),NA())</x:f>
        <x:v>1780</x:v>
      </x:c>
      <x:c r="I242" s="1" t="n">
        <x:f>IF(N242=1,SUMIFS('Лист2'!$E$2:$E$505,'Лист2'!$A$2:$A$505,A242,'Лист2'!$B$2:$B$505,B242),NA())</x:f>
        <x:v>1615</x:v>
      </x:c>
      <x:c r="J242" s="5" t="n">
        <x:f>A242-WEEKDAY(A242,2)+1</x:f>
        <x:v>43962</x:v>
      </x:c>
      <x:c r="K242" s="1" t="n">
        <x:f>YEAR(J242+3)</x:f>
        <x:v>2020</x:v>
      </x:c>
      <x:c r="L242" s="1" t="n">
        <x:f>INT((J242-DATE(K242,1,4)+WEEKDAY(DATE(K242,1,4),2)-1)/7)+1</x:f>
        <x:v>20</x:v>
      </x:c>
      <x:c r="M242" s="1" t="str">
        <x:f>A242&amp;"|"&amp;B242</x:f>
        <x:v>43966|Краснодар</x:v>
      </x:c>
      <x:c r="N242" s="1" t="n">
        <x:f>COUNTIFS('Лист2'!$F$2:$F$505,M242)</x:f>
        <x:v>1</x:v>
      </x:c>
      <x:c r="O242" s="1"/>
      <x:c r="P242" s="1"/>
      <x:c r="Q242" s="1"/>
    </x:row>
    <x:row r="243" ht="21" customHeight="1">
      <x:c r="A243" s="5" t="n">
        <x:f>'Лист1'!A243</x:f>
        <x:v>43966</x:v>
      </x:c>
      <x:c r="B243" s="1" t="str">
        <x:f>'Лист1'!B243</x:f>
        <x:v>Москва Восток</x:v>
      </x:c>
      <x:c r="C243" s="1" t="n">
        <x:f>'Лист1'!C243</x:f>
        <x:v>219772.5</x:v>
      </x:c>
      <x:c r="D243" s="6" t="n">
        <x:f>'Лист1'!D243</x:f>
        <x:v>21895294.5</x:v>
      </x:c>
      <x:c r="E243" s="6" t="n">
        <x:f>'Лист1'!E243</x:f>
        <x:v>16241999.308</x:v>
      </x:c>
      <x:c r="F243" s="6" t="n">
        <x:f>'Лист1'!F243</x:f>
        <x:v>317179.04615384614</x:v>
      </x:c>
      <x:c r="G243" s="1" t="n">
        <x:f>IF(N243=1,SUMIFS('Лист2'!$C$2:$C$505,'Лист2'!$A$2:$A$505,A243,'Лист2'!$B$2:$B$505,B243),NA())</x:f>
        <x:v>54</x:v>
      </x:c>
      <x:c r="H243" s="1" t="n">
        <x:f>IF(N243=1,SUMIFS('Лист2'!$D$2:$D$505,'Лист2'!$A$2:$A$505,A243,'Лист2'!$B$2:$B$505,B243),NA())</x:f>
        <x:v>12791</x:v>
      </x:c>
      <x:c r="I243" s="1" t="n">
        <x:f>IF(N243=1,SUMIFS('Лист2'!$E$2:$E$505,'Лист2'!$A$2:$A$505,A243,'Лист2'!$B$2:$B$505,B243),NA())</x:f>
        <x:v>11950</x:v>
      </x:c>
      <x:c r="J243" s="5" t="n">
        <x:f>A243-WEEKDAY(A243,2)+1</x:f>
        <x:v>43962</x:v>
      </x:c>
      <x:c r="K243" s="1" t="n">
        <x:f>YEAR(J243+3)</x:f>
        <x:v>2020</x:v>
      </x:c>
      <x:c r="L243" s="1" t="n">
        <x:f>INT((J243-DATE(K243,1,4)+WEEKDAY(DATE(K243,1,4),2)-1)/7)+1</x:f>
        <x:v>20</x:v>
      </x:c>
      <x:c r="M243" s="1" t="str">
        <x:f>A243&amp;"|"&amp;B243</x:f>
        <x:v>43966|Москва Восток</x:v>
      </x:c>
      <x:c r="N243" s="1" t="n">
        <x:f>COUNTIFS('Лист2'!$F$2:$F$505,M243)</x:f>
        <x:v>1</x:v>
      </x:c>
      <x:c r="O243" s="1"/>
      <x:c r="P243" s="1"/>
      <x:c r="Q243" s="1"/>
    </x:row>
    <x:row r="244" ht="21" customHeight="1">
      <x:c r="A244" s="5" t="n">
        <x:f>'Лист1'!A244</x:f>
        <x:v>43966</x:v>
      </x:c>
      <x:c r="B244" s="1" t="str">
        <x:f>'Лист1'!B244</x:f>
        <x:v>Москва Запад</x:v>
      </x:c>
      <x:c r="C244" s="1" t="n">
        <x:f>'Лист1'!C244</x:f>
        <x:v>230896.5</x:v>
      </x:c>
      <x:c r="D244" s="6" t="n">
        <x:f>'Лист1'!D244</x:f>
        <x:v>23085222</x:v>
      </x:c>
      <x:c r="E244" s="6" t="n">
        <x:f>'Лист1'!E244</x:f>
        <x:v>17099721.813</x:v>
      </x:c>
      <x:c r="F244" s="6" t="n">
        <x:f>'Лист1'!F244</x:f>
        <x:v>329754.6307692308</x:v>
      </x:c>
      <x:c r="G244" s="1" t="n">
        <x:f>IF(N244=1,SUMIFS('Лист2'!$C$2:$C$505,'Лист2'!$A$2:$A$505,A244,'Лист2'!$B$2:$B$505,B244),NA())</x:f>
        <x:v>60</x:v>
      </x:c>
      <x:c r="H244" s="1" t="n">
        <x:f>IF(N244=1,SUMIFS('Лист2'!$D$2:$D$505,'Лист2'!$A$2:$A$505,A244,'Лист2'!$B$2:$B$505,B244),NA())</x:f>
        <x:v>13544</x:v>
      </x:c>
      <x:c r="I244" s="1" t="n">
        <x:f>IF(N244=1,SUMIFS('Лист2'!$E$2:$E$505,'Лист2'!$A$2:$A$505,A244,'Лист2'!$B$2:$B$505,B244),NA())</x:f>
        <x:v>12643</x:v>
      </x:c>
      <x:c r="J244" s="5" t="n">
        <x:f>A244-WEEKDAY(A244,2)+1</x:f>
        <x:v>43962</x:v>
      </x:c>
      <x:c r="K244" s="1" t="n">
        <x:f>YEAR(J244+3)</x:f>
        <x:v>2020</x:v>
      </x:c>
      <x:c r="L244" s="1" t="n">
        <x:f>INT((J244-DATE(K244,1,4)+WEEKDAY(DATE(K244,1,4),2)-1)/7)+1</x:f>
        <x:v>20</x:v>
      </x:c>
      <x:c r="M244" s="1" t="str">
        <x:f>A244&amp;"|"&amp;B244</x:f>
        <x:v>43966|Москва Запад</x:v>
      </x:c>
      <x:c r="N244" s="1" t="n">
        <x:f>COUNTIFS('Лист2'!$F$2:$F$505,M244)</x:f>
        <x:v>1</x:v>
      </x:c>
      <x:c r="O244" s="1"/>
      <x:c r="P244" s="1"/>
      <x:c r="Q244" s="1"/>
    </x:row>
    <x:row r="245" ht="21" customHeight="1">
      <x:c r="A245" s="5" t="n">
        <x:f>'Лист1'!A245</x:f>
        <x:v>43966</x:v>
      </x:c>
      <x:c r="B245" s="1" t="str">
        <x:f>'Лист1'!B245</x:f>
        <x:v>Нижний Новгород</x:v>
      </x:c>
      <x:c r="C245" s="1" t="n">
        <x:f>'Лист1'!C245</x:f>
        <x:v>32854.5</x:v>
      </x:c>
      <x:c r="D245" s="6" t="n">
        <x:f>'Лист1'!D245</x:f>
        <x:v>2949078</x:v>
      </x:c>
      <x:c r="E245" s="6" t="n">
        <x:f>'Лист1'!E245</x:f>
        <x:v>2391958.463</x:v>
      </x:c>
      <x:c r="F245" s="6" t="n">
        <x:f>'Лист1'!F245</x:f>
        <x:v>129383.86666153846</x:v>
      </x:c>
      <x:c r="G245" s="1" t="n">
        <x:f>IF(N245=1,SUMIFS('Лист2'!$C$2:$C$505,'Лист2'!$A$2:$A$505,A245,'Лист2'!$B$2:$B$505,B245),NA())</x:f>
        <x:v>19</x:v>
      </x:c>
      <x:c r="H245" s="1" t="n">
        <x:f>IF(N245=1,SUMIFS('Лист2'!$D$2:$D$505,'Лист2'!$A$2:$A$505,A245,'Лист2'!$B$2:$B$505,B245),NA())</x:f>
        <x:v>1940</x:v>
      </x:c>
      <x:c r="I245" s="1" t="n">
        <x:f>IF(N245=1,SUMIFS('Лист2'!$E$2:$E$505,'Лист2'!$A$2:$A$505,A245,'Лист2'!$B$2:$B$505,B245),NA())</x:f>
        <x:v>1715</x:v>
      </x:c>
      <x:c r="J245" s="5" t="n">
        <x:f>A245-WEEKDAY(A245,2)+1</x:f>
        <x:v>43962</x:v>
      </x:c>
      <x:c r="K245" s="1" t="n">
        <x:f>YEAR(J245+3)</x:f>
        <x:v>2020</x:v>
      </x:c>
      <x:c r="L245" s="1" t="n">
        <x:f>INT((J245-DATE(K245,1,4)+WEEKDAY(DATE(K245,1,4),2)-1)/7)+1</x:f>
        <x:v>20</x:v>
      </x:c>
      <x:c r="M245" s="1" t="str">
        <x:f>A245&amp;"|"&amp;B245</x:f>
        <x:v>43966|Нижний Новгород</x:v>
      </x:c>
      <x:c r="N245" s="1" t="n">
        <x:f>COUNTIFS('Лист2'!$F$2:$F$505,M245)</x:f>
        <x:v>1</x:v>
      </x:c>
      <x:c r="O245" s="1"/>
      <x:c r="P245" s="1"/>
      <x:c r="Q245" s="1"/>
    </x:row>
    <x:row r="246" ht="21" customHeight="1">
      <x:c r="A246" s="5" t="n">
        <x:f>'Лист1'!A246</x:f>
        <x:v>43966</x:v>
      </x:c>
      <x:c r="B246" s="1" t="str">
        <x:f>'Лист1'!B246</x:f>
        <x:v>Новосибирск</x:v>
      </x:c>
      <x:c r="C246" s="1" t="n">
        <x:f>'Лист1'!C246</x:f>
        <x:v>13752</x:v>
      </x:c>
      <x:c r="D246" s="6" t="n">
        <x:f>'Лист1'!D246</x:f>
        <x:v>1091040</x:v>
      </x:c>
      <x:c r="E246" s="6" t="n">
        <x:f>'Лист1'!E246</x:f>
        <x:v>898790.646</x:v>
      </x:c>
      <x:c r="F246" s="6" t="n">
        <x:f>'Лист1'!F246</x:f>
        <x:v>149313.46028461537</x:v>
      </x:c>
      <x:c r="G246" s="1" t="n">
        <x:f>IF(N246=1,SUMIFS('Лист2'!$C$2:$C$505,'Лист2'!$A$2:$A$505,A246,'Лист2'!$B$2:$B$505,B246),NA())</x:f>
        <x:v>16</x:v>
      </x:c>
      <x:c r="H246" s="1" t="n">
        <x:f>IF(N246=1,SUMIFS('Лист2'!$D$2:$D$505,'Лист2'!$A$2:$A$505,A246,'Лист2'!$B$2:$B$505,B246),NA())</x:f>
        <x:v>817</x:v>
      </x:c>
      <x:c r="I246" s="1" t="n">
        <x:f>IF(N246=1,SUMIFS('Лист2'!$E$2:$E$505,'Лист2'!$A$2:$A$505,A246,'Лист2'!$B$2:$B$505,B246),NA())</x:f>
        <x:v>718</x:v>
      </x:c>
      <x:c r="J246" s="5" t="n">
        <x:f>A246-WEEKDAY(A246,2)+1</x:f>
        <x:v>43962</x:v>
      </x:c>
      <x:c r="K246" s="1" t="n">
        <x:f>YEAR(J246+3)</x:f>
        <x:v>2020</x:v>
      </x:c>
      <x:c r="L246" s="1" t="n">
        <x:f>INT((J246-DATE(K246,1,4)+WEEKDAY(DATE(K246,1,4),2)-1)/7)+1</x:f>
        <x:v>20</x:v>
      </x:c>
      <x:c r="M246" s="1" t="str">
        <x:f>A246&amp;"|"&amp;B246</x:f>
        <x:v>43966|Новосибирск</x:v>
      </x:c>
      <x:c r="N246" s="1" t="n">
        <x:f>COUNTIFS('Лист2'!$F$2:$F$505,M246)</x:f>
        <x:v>1</x:v>
      </x:c>
      <x:c r="O246" s="1"/>
      <x:c r="P246" s="1"/>
      <x:c r="Q246" s="1"/>
    </x:row>
    <x:row r="247" ht="21" customHeight="1">
      <x:c r="A247" s="5" t="n">
        <x:f>'Лист1'!A247</x:f>
        <x:v>43966</x:v>
      </x:c>
      <x:c r="B247" s="1" t="str">
        <x:f>'Лист1'!B247</x:f>
        <x:v>Пермь</x:v>
      </x:c>
      <x:c r="C247" s="1" t="n">
        <x:f>'Лист1'!C247</x:f>
        <x:v>16498.5</x:v>
      </x:c>
      <x:c r="D247" s="6" t="n">
        <x:f>'Лист1'!D247</x:f>
        <x:v>1370482.5</x:v>
      </x:c>
      <x:c r="E247" s="6" t="n">
        <x:f>'Лист1'!E247</x:f>
        <x:v>1095453.123</x:v>
      </x:c>
      <x:c r="F247" s="6" t="n">
        <x:f>'Лист1'!F247</x:f>
        <x:v>250663.8153846154</x:v>
      </x:c>
      <x:c r="G247" s="1" t="n">
        <x:f>IF(N247=1,SUMIFS('Лист2'!$C$2:$C$505,'Лист2'!$A$2:$A$505,A247,'Лист2'!$B$2:$B$505,B247),NA())</x:f>
        <x:v>15</x:v>
      </x:c>
      <x:c r="H247" s="1" t="n">
        <x:f>IF(N247=1,SUMIFS('Лист2'!$D$2:$D$505,'Лист2'!$A$2:$A$505,A247,'Лист2'!$B$2:$B$505,B247),NA())</x:f>
        <x:v>980</x:v>
      </x:c>
      <x:c r="I247" s="1" t="n">
        <x:f>IF(N247=1,SUMIFS('Лист2'!$E$2:$E$505,'Лист2'!$A$2:$A$505,A247,'Лист2'!$B$2:$B$505,B247),NA())</x:f>
        <x:v>867</x:v>
      </x:c>
      <x:c r="J247" s="5" t="n">
        <x:f>A247-WEEKDAY(A247,2)+1</x:f>
        <x:v>43962</x:v>
      </x:c>
      <x:c r="K247" s="1" t="n">
        <x:f>YEAR(J247+3)</x:f>
        <x:v>2020</x:v>
      </x:c>
      <x:c r="L247" s="1" t="n">
        <x:f>INT((J247-DATE(K247,1,4)+WEEKDAY(DATE(K247,1,4),2)-1)/7)+1</x:f>
        <x:v>20</x:v>
      </x:c>
      <x:c r="M247" s="1" t="str">
        <x:f>A247&amp;"|"&amp;B247</x:f>
        <x:v>43966|Пермь</x:v>
      </x:c>
      <x:c r="N247" s="1" t="n">
        <x:f>COUNTIFS('Лист2'!$F$2:$F$505,M247)</x:f>
        <x:v>1</x:v>
      </x:c>
      <x:c r="O247" s="1"/>
      <x:c r="P247" s="1"/>
      <x:c r="Q247" s="1"/>
    </x:row>
    <x:row r="248" ht="21" customHeight="1">
      <x:c r="A248" s="5" t="n">
        <x:f>'Лист1'!A248</x:f>
        <x:v>43966</x:v>
      </x:c>
      <x:c r="B248" s="1" t="str">
        <x:f>'Лист1'!B248</x:f>
        <x:v>Ростов-на-Дону</x:v>
      </x:c>
      <x:c r="C248" s="1" t="n">
        <x:f>'Лист1'!C248</x:f>
        <x:v>12229.5</x:v>
      </x:c>
      <x:c r="D248" s="6" t="n">
        <x:f>'Лист1'!D248</x:f>
        <x:v>1122730.5</x:v>
      </x:c>
      <x:c r="E248" s="6" t="n">
        <x:f>'Лист1'!E248</x:f>
        <x:v>921566.447</x:v>
      </x:c>
      <x:c r="F248" s="6" t="n">
        <x:f>'Лист1'!F248</x:f>
        <x:v>147588</x:v>
      </x:c>
      <x:c r="G248" s="1" t="n">
        <x:f>IF(N248=1,SUMIFS('Лист2'!$C$2:$C$505,'Лист2'!$A$2:$A$505,A248,'Лист2'!$B$2:$B$505,B248),NA())</x:f>
        <x:v>15</x:v>
      </x:c>
      <x:c r="H248" s="1" t="n">
        <x:f>IF(N248=1,SUMIFS('Лист2'!$D$2:$D$505,'Лист2'!$A$2:$A$505,A248,'Лист2'!$B$2:$B$505,B248),NA())</x:f>
        <x:v>688</x:v>
      </x:c>
      <x:c r="I248" s="1" t="n">
        <x:f>IF(N248=1,SUMIFS('Лист2'!$E$2:$E$505,'Лист2'!$A$2:$A$505,A248,'Лист2'!$B$2:$B$505,B248),NA())</x:f>
        <x:v>598</x:v>
      </x:c>
      <x:c r="J248" s="5" t="n">
        <x:f>A248-WEEKDAY(A248,2)+1</x:f>
        <x:v>43962</x:v>
      </x:c>
      <x:c r="K248" s="1" t="n">
        <x:f>YEAR(J248+3)</x:f>
        <x:v>2020</x:v>
      </x:c>
      <x:c r="L248" s="1" t="n">
        <x:f>INT((J248-DATE(K248,1,4)+WEEKDAY(DATE(K248,1,4),2)-1)/7)+1</x:f>
        <x:v>20</x:v>
      </x:c>
      <x:c r="M248" s="1" t="str">
        <x:f>A248&amp;"|"&amp;B248</x:f>
        <x:v>43966|Ростов-на-Дону</x:v>
      </x:c>
      <x:c r="N248" s="1" t="n">
        <x:f>COUNTIFS('Лист2'!$F$2:$F$505,M248)</x:f>
        <x:v>1</x:v>
      </x:c>
      <x:c r="O248" s="1"/>
      <x:c r="P248" s="1"/>
      <x:c r="Q248" s="1"/>
    </x:row>
    <x:row r="249" ht="21" customHeight="1">
      <x:c r="A249" s="5" t="n">
        <x:f>'Лист1'!A249</x:f>
        <x:v>43966</x:v>
      </x:c>
      <x:c r="B249" s="1" t="str">
        <x:f>'Лист1'!B249</x:f>
        <x:v>Санкт-Петербург Север</x:v>
      </x:c>
      <x:c r="C249" s="1" t="n">
        <x:f>'Лист1'!C249</x:f>
        <x:v>403261.5</x:v>
      </x:c>
      <x:c r="D249" s="6" t="n">
        <x:f>'Лист1'!D249</x:f>
        <x:v>42271377</x:v>
      </x:c>
      <x:c r="E249" s="6" t="n">
        <x:f>'Лист1'!E249</x:f>
        <x:v>31105053.391</x:v>
      </x:c>
      <x:c r="F249" s="6" t="n">
        <x:f>'Лист1'!F249</x:f>
        <x:v>571050.764276923</x:v>
      </x:c>
      <x:c r="G249" s="1" t="n">
        <x:f>IF(N249=1,SUMIFS('Лист2'!$C$2:$C$505,'Лист2'!$A$2:$A$505,A249,'Лист2'!$B$2:$B$505,B249),NA())</x:f>
        <x:v>125</x:v>
      </x:c>
      <x:c r="H249" s="1" t="n">
        <x:f>IF(N249=1,SUMIFS('Лист2'!$D$2:$D$505,'Лист2'!$A$2:$A$505,A249,'Лист2'!$B$2:$B$505,B249),NA())</x:f>
        <x:v>21862</x:v>
      </x:c>
      <x:c r="I249" s="1" t="n">
        <x:f>IF(N249=1,SUMIFS('Лист2'!$E$2:$E$505,'Лист2'!$A$2:$A$505,A249,'Лист2'!$B$2:$B$505,B249),NA())</x:f>
        <x:v>20235</x:v>
      </x:c>
      <x:c r="J249" s="5" t="n">
        <x:f>A249-WEEKDAY(A249,2)+1</x:f>
        <x:v>43962</x:v>
      </x:c>
      <x:c r="K249" s="1" t="n">
        <x:f>YEAR(J249+3)</x:f>
        <x:v>2020</x:v>
      </x:c>
      <x:c r="L249" s="1" t="n">
        <x:f>INT((J249-DATE(K249,1,4)+WEEKDAY(DATE(K249,1,4),2)-1)/7)+1</x:f>
        <x:v>20</x:v>
      </x:c>
      <x:c r="M249" s="1" t="str">
        <x:f>A249&amp;"|"&amp;B249</x:f>
        <x:v>43966|Санкт-Петербург Север</x:v>
      </x:c>
      <x:c r="N249" s="1" t="n">
        <x:f>COUNTIFS('Лист2'!$F$2:$F$505,M249)</x:f>
        <x:v>1</x:v>
      </x:c>
      <x:c r="O249" s="1"/>
      <x:c r="P249" s="1"/>
      <x:c r="Q249" s="1"/>
    </x:row>
    <x:row r="250" ht="21" customHeight="1">
      <x:c r="A250" s="5" t="n">
        <x:f>'Лист1'!A250</x:f>
        <x:v>43966</x:v>
      </x:c>
      <x:c r="B250" s="1" t="str">
        <x:f>'Лист1'!B250</x:f>
        <x:v>Санкт-Петербург Юг</x:v>
      </x:c>
      <x:c r="C250" s="1" t="n">
        <x:f>'Лист1'!C250</x:f>
        <x:v>318816</x:v>
      </x:c>
      <x:c r="D250" s="6" t="n">
        <x:f>'Лист1'!D250</x:f>
        <x:v>32354331</x:v>
      </x:c>
      <x:c r="E250" s="6" t="n">
        <x:f>'Лист1'!E250</x:f>
        <x:v>23895072.432</x:v>
      </x:c>
      <x:c r="F250" s="6" t="n">
        <x:f>'Лист1'!F250</x:f>
        <x:v>616932.9235384614</x:v>
      </x:c>
      <x:c r="G250" s="1" t="n">
        <x:f>IF(N250=1,SUMIFS('Лист2'!$C$2:$C$505,'Лист2'!$A$2:$A$505,A250,'Лист2'!$B$2:$B$505,B250),NA())</x:f>
        <x:v>129</x:v>
      </x:c>
      <x:c r="H250" s="1" t="n">
        <x:f>IF(N250=1,SUMIFS('Лист2'!$D$2:$D$505,'Лист2'!$A$2:$A$505,A250,'Лист2'!$B$2:$B$505,B250),NA())</x:f>
        <x:v>17808</x:v>
      </x:c>
      <x:c r="I250" s="1" t="n">
        <x:f>IF(N250=1,SUMIFS('Лист2'!$E$2:$E$505,'Лист2'!$A$2:$A$505,A250,'Лист2'!$B$2:$B$505,B250),NA())</x:f>
        <x:v>16486</x:v>
      </x:c>
      <x:c r="J250" s="5" t="n">
        <x:f>A250-WEEKDAY(A250,2)+1</x:f>
        <x:v>43962</x:v>
      </x:c>
      <x:c r="K250" s="1" t="n">
        <x:f>YEAR(J250+3)</x:f>
        <x:v>2020</x:v>
      </x:c>
      <x:c r="L250" s="1" t="n">
        <x:f>INT((J250-DATE(K250,1,4)+WEEKDAY(DATE(K250,1,4),2)-1)/7)+1</x:f>
        <x:v>20</x:v>
      </x:c>
      <x:c r="M250" s="1" t="str">
        <x:f>A250&amp;"|"&amp;B250</x:f>
        <x:v>43966|Санкт-Петербург Юг</x:v>
      </x:c>
      <x:c r="N250" s="1" t="n">
        <x:f>COUNTIFS('Лист2'!$F$2:$F$505,M250)</x:f>
        <x:v>1</x:v>
      </x:c>
      <x:c r="O250" s="1"/>
      <x:c r="P250" s="1"/>
      <x:c r="Q250" s="1"/>
    </x:row>
    <x:row r="251" ht="21" customHeight="1">
      <x:c r="A251" s="5" t="n">
        <x:f>'Лист1'!A251</x:f>
        <x:v>43966</x:v>
      </x:c>
      <x:c r="B251" s="1" t="str">
        <x:f>'Лист1'!B251</x:f>
        <x:v>Тольятти</x:v>
      </x:c>
      <x:c r="C251" s="1" t="n">
        <x:f>'Лист1'!C251</x:f>
        <x:v>14421</x:v>
      </x:c>
      <x:c r="D251" s="6" t="n">
        <x:f>'Лист1'!D251</x:f>
        <x:v>1150579.5</x:v>
      </x:c>
      <x:c r="E251" s="6" t="n">
        <x:f>'Лист1'!E251</x:f>
        <x:v>1038033.7869999999</x:v>
      </x:c>
      <x:c r="F251" s="6" t="n">
        <x:f>'Лист1'!F251</x:f>
        <x:v>68487.35856923077</x:v>
      </x:c>
      <x:c r="G251" s="1" t="n">
        <x:f>IF(N251=1,SUMIFS('Лист2'!$C$2:$C$505,'Лист2'!$A$2:$A$505,A251,'Лист2'!$B$2:$B$505,B251),NA())</x:f>
        <x:v>10</x:v>
      </x:c>
      <x:c r="H251" s="1" t="n">
        <x:f>IF(N251=1,SUMIFS('Лист2'!$D$2:$D$505,'Лист2'!$A$2:$A$505,A251,'Лист2'!$B$2:$B$505,B251),NA())</x:f>
        <x:v>743</x:v>
      </x:c>
      <x:c r="I251" s="1" t="n">
        <x:f>IF(N251=1,SUMIFS('Лист2'!$E$2:$E$505,'Лист2'!$A$2:$A$505,A251,'Лист2'!$B$2:$B$505,B251),NA())</x:f>
        <x:v>652</x:v>
      </x:c>
      <x:c r="J251" s="5" t="n">
        <x:f>A251-WEEKDAY(A251,2)+1</x:f>
        <x:v>43962</x:v>
      </x:c>
      <x:c r="K251" s="1" t="n">
        <x:f>YEAR(J251+3)</x:f>
        <x:v>2020</x:v>
      </x:c>
      <x:c r="L251" s="1" t="n">
        <x:f>INT((J251-DATE(K251,1,4)+WEEKDAY(DATE(K251,1,4),2)-1)/7)+1</x:f>
        <x:v>20</x:v>
      </x:c>
      <x:c r="M251" s="1" t="str">
        <x:f>A251&amp;"|"&amp;B251</x:f>
        <x:v>43966|Тольятти</x:v>
      </x:c>
      <x:c r="N251" s="1" t="n">
        <x:f>COUNTIFS('Лист2'!$F$2:$F$505,M251)</x:f>
        <x:v>1</x:v>
      </x:c>
      <x:c r="O251" s="1"/>
      <x:c r="P251" s="1"/>
      <x:c r="Q251" s="1"/>
    </x:row>
    <x:row r="252" ht="21" customHeight="1">
      <x:c r="A252" s="5" t="n">
        <x:f>'Лист1'!A252</x:f>
        <x:v>43967</x:v>
      </x:c>
      <x:c r="B252" s="1" t="str">
        <x:f>'Лист1'!B252</x:f>
        <x:v>Волгоград</x:v>
      </x:c>
      <x:c r="C252" s="1" t="n">
        <x:f>'Лист1'!C252</x:f>
        <x:v>81331.5</x:v>
      </x:c>
      <x:c r="D252" s="6" t="n">
        <x:f>'Лист1'!D252</x:f>
        <x:v>6652179</x:v>
      </x:c>
      <x:c r="E252" s="6" t="n">
        <x:f>'Лист1'!E252</x:f>
        <x:v>5305378.904</x:v>
      </x:c>
      <x:c r="F252" s="6" t="n">
        <x:f>'Лист1'!F252</x:f>
        <x:v>156413.8362153846</x:v>
      </x:c>
      <x:c r="G252" s="1" t="n">
        <x:f>IF(N252=1,SUMIFS('Лист2'!$C$2:$C$505,'Лист2'!$A$2:$A$505,A252,'Лист2'!$B$2:$B$505,B252),NA())</x:f>
        <x:v>36</x:v>
      </x:c>
      <x:c r="H252" s="1" t="n">
        <x:f>IF(N252=1,SUMIFS('Лист2'!$D$2:$D$505,'Лист2'!$A$2:$A$505,A252,'Лист2'!$B$2:$B$505,B252),NA())</x:f>
        <x:v>5286</x:v>
      </x:c>
      <x:c r="I252" s="1" t="n">
        <x:f>IF(N252=1,SUMIFS('Лист2'!$E$2:$E$505,'Лист2'!$A$2:$A$505,A252,'Лист2'!$B$2:$B$505,B252),NA())</x:f>
        <x:v>4867</x:v>
      </x:c>
      <x:c r="J252" s="5" t="n">
        <x:f>A252-WEEKDAY(A252,2)+1</x:f>
        <x:v>43962</x:v>
      </x:c>
      <x:c r="K252" s="1" t="n">
        <x:f>YEAR(J252+3)</x:f>
        <x:v>2020</x:v>
      </x:c>
      <x:c r="L252" s="1" t="n">
        <x:f>INT((J252-DATE(K252,1,4)+WEEKDAY(DATE(K252,1,4),2)-1)/7)+1</x:f>
        <x:v>20</x:v>
      </x:c>
      <x:c r="M252" s="1" t="str">
        <x:f>A252&amp;"|"&amp;B252</x:f>
        <x:v>43967|Волгоград</x:v>
      </x:c>
      <x:c r="N252" s="1" t="n">
        <x:f>COUNTIFS('Лист2'!$F$2:$F$505,M252)</x:f>
        <x:v>1</x:v>
      </x:c>
      <x:c r="O252" s="1"/>
      <x:c r="P252" s="1"/>
      <x:c r="Q252" s="1"/>
    </x:row>
    <x:row r="253" ht="21" customHeight="1">
      <x:c r="A253" s="5" t="n">
        <x:f>'Лист1'!A253</x:f>
        <x:v>43967</x:v>
      </x:c>
      <x:c r="B253" s="1" t="str">
        <x:f>'Лист1'!B253</x:f>
        <x:v>Екатеринбург</x:v>
      </x:c>
      <x:c r="C253" s="1" t="n">
        <x:f>'Лист1'!C253</x:f>
        <x:v>88063.5</x:v>
      </x:c>
      <x:c r="D253" s="6" t="n">
        <x:f>'Лист1'!D253</x:f>
        <x:v>7583758.5</x:v>
      </x:c>
      <x:c r="E253" s="6" t="n">
        <x:f>'Лист1'!E253</x:f>
        <x:v>5779076.7979999995</x:v>
      </x:c>
      <x:c r="F253" s="6" t="n">
        <x:f>'Лист1'!F253</x:f>
        <x:v>152384.93586153846</x:v>
      </x:c>
      <x:c r="G253" s="1" t="n">
        <x:f>IF(N253=1,SUMIFS('Лист2'!$C$2:$C$505,'Лист2'!$A$2:$A$505,A253,'Лист2'!$B$2:$B$505,B253),NA())</x:f>
        <x:v>31</x:v>
      </x:c>
      <x:c r="H253" s="1" t="n">
        <x:f>IF(N253=1,SUMIFS('Лист2'!$D$2:$D$505,'Лист2'!$A$2:$A$505,A253,'Лист2'!$B$2:$B$505,B253),NA())</x:f>
        <x:v>5593</x:v>
      </x:c>
      <x:c r="I253" s="1" t="n">
        <x:f>IF(N253=1,SUMIFS('Лист2'!$E$2:$E$505,'Лист2'!$A$2:$A$505,A253,'Лист2'!$B$2:$B$505,B253),NA())</x:f>
        <x:v>5177</x:v>
      </x:c>
      <x:c r="J253" s="5" t="n">
        <x:f>A253-WEEKDAY(A253,2)+1</x:f>
        <x:v>43962</x:v>
      </x:c>
      <x:c r="K253" s="1" t="n">
        <x:f>YEAR(J253+3)</x:f>
        <x:v>2020</x:v>
      </x:c>
      <x:c r="L253" s="1" t="n">
        <x:f>INT((J253-DATE(K253,1,4)+WEEKDAY(DATE(K253,1,4),2)-1)/7)+1</x:f>
        <x:v>20</x:v>
      </x:c>
      <x:c r="M253" s="1" t="str">
        <x:f>A253&amp;"|"&amp;B253</x:f>
        <x:v>43967|Екатеринбург</x:v>
      </x:c>
      <x:c r="N253" s="1" t="n">
        <x:f>COUNTIFS('Лист2'!$F$2:$F$505,M253)</x:f>
        <x:v>1</x:v>
      </x:c>
      <x:c r="O253" s="1"/>
      <x:c r="P253" s="1"/>
      <x:c r="Q253" s="1"/>
    </x:row>
    <x:row r="254" ht="21" customHeight="1">
      <x:c r="A254" s="5" t="n">
        <x:f>'Лист1'!A254</x:f>
        <x:v>43967</x:v>
      </x:c>
      <x:c r="B254" s="1" t="str">
        <x:f>'Лист1'!B254</x:f>
        <x:v>Казань</x:v>
      </x:c>
      <x:c r="C254" s="1" t="n">
        <x:f>'Лист1'!C254</x:f>
        <x:v>44560.5</x:v>
      </x:c>
      <x:c r="D254" s="6" t="n">
        <x:f>'Лист1'!D254</x:f>
        <x:v>4025148</x:v>
      </x:c>
      <x:c r="E254" s="6" t="n">
        <x:f>'Лист1'!E254</x:f>
        <x:v>3259483.304</x:v>
      </x:c>
      <x:c r="F254" s="6" t="n">
        <x:f>'Лист1'!F254</x:f>
        <x:v>145385.33866923075</x:v>
      </x:c>
      <x:c r="G254" s="1" t="n">
        <x:f>IF(N254=1,SUMIFS('Лист2'!$C$2:$C$505,'Лист2'!$A$2:$A$505,A254,'Лист2'!$B$2:$B$505,B254),NA())</x:f>
        <x:v>21</x:v>
      </x:c>
      <x:c r="H254" s="1" t="n">
        <x:f>IF(N254=1,SUMIFS('Лист2'!$D$2:$D$505,'Лист2'!$A$2:$A$505,A254,'Лист2'!$B$2:$B$505,B254),NA())</x:f>
        <x:v>2427</x:v>
      </x:c>
      <x:c r="I254" s="1" t="n">
        <x:f>IF(N254=1,SUMIFS('Лист2'!$E$2:$E$505,'Лист2'!$A$2:$A$505,A254,'Лист2'!$B$2:$B$505,B254),NA())</x:f>
        <x:v>2213</x:v>
      </x:c>
      <x:c r="J254" s="5" t="n">
        <x:f>A254-WEEKDAY(A254,2)+1</x:f>
        <x:v>43962</x:v>
      </x:c>
      <x:c r="K254" s="1" t="n">
        <x:f>YEAR(J254+3)</x:f>
        <x:v>2020</x:v>
      </x:c>
      <x:c r="L254" s="1" t="n">
        <x:f>INT((J254-DATE(K254,1,4)+WEEKDAY(DATE(K254,1,4),2)-1)/7)+1</x:f>
        <x:v>20</x:v>
      </x:c>
      <x:c r="M254" s="1" t="str">
        <x:f>A254&amp;"|"&amp;B254</x:f>
        <x:v>43967|Казань</x:v>
      </x:c>
      <x:c r="N254" s="1" t="n">
        <x:f>COUNTIFS('Лист2'!$F$2:$F$505,M254)</x:f>
        <x:v>1</x:v>
      </x:c>
      <x:c r="O254" s="1"/>
      <x:c r="P254" s="1"/>
      <x:c r="Q254" s="1"/>
    </x:row>
    <x:row r="255" ht="21" customHeight="1">
      <x:c r="A255" s="5" t="n">
        <x:f>'Лист1'!A255</x:f>
        <x:v>43967</x:v>
      </x:c>
      <x:c r="B255" s="1" t="str">
        <x:f>'Лист1'!B255</x:f>
        <x:v>Кемерово</x:v>
      </x:c>
      <x:c r="C255" s="1" t="n">
        <x:f>'Лист1'!C255</x:f>
        <x:v>38947.5</x:v>
      </x:c>
      <x:c r="D255" s="6" t="n">
        <x:f>'Лист1'!D255</x:f>
        <x:v>3395892</x:v>
      </x:c>
      <x:c r="E255" s="6" t="n">
        <x:f>'Лист1'!E255</x:f>
        <x:v>2740255.211</x:v>
      </x:c>
      <x:c r="F255" s="6" t="n">
        <x:f>'Лист1'!F255</x:f>
        <x:v>294361.0811230769</x:v>
      </x:c>
      <x:c r="G255" s="1" t="n">
        <x:f>IF(N255=1,SUMIFS('Лист2'!$C$2:$C$505,'Лист2'!$A$2:$A$505,A255,'Лист2'!$B$2:$B$505,B255),NA())</x:f>
        <x:v>21</x:v>
      </x:c>
      <x:c r="H255" s="1" t="n">
        <x:f>IF(N255=1,SUMIFS('Лист2'!$D$2:$D$505,'Лист2'!$A$2:$A$505,A255,'Лист2'!$B$2:$B$505,B255),NA())</x:f>
        <x:v>2145</x:v>
      </x:c>
      <x:c r="I255" s="1" t="n">
        <x:f>IF(N255=1,SUMIFS('Лист2'!$E$2:$E$505,'Лист2'!$A$2:$A$505,A255,'Лист2'!$B$2:$B$505,B255),NA())</x:f>
        <x:v>1947</x:v>
      </x:c>
      <x:c r="J255" s="5" t="n">
        <x:f>A255-WEEKDAY(A255,2)+1</x:f>
        <x:v>43962</x:v>
      </x:c>
      <x:c r="K255" s="1" t="n">
        <x:f>YEAR(J255+3)</x:f>
        <x:v>2020</x:v>
      </x:c>
      <x:c r="L255" s="1" t="n">
        <x:f>INT((J255-DATE(K255,1,4)+WEEKDAY(DATE(K255,1,4),2)-1)/7)+1</x:f>
        <x:v>20</x:v>
      </x:c>
      <x:c r="M255" s="1" t="str">
        <x:f>A255&amp;"|"&amp;B255</x:f>
        <x:v>43967|Кемерово</x:v>
      </x:c>
      <x:c r="N255" s="1" t="n">
        <x:f>COUNTIFS('Лист2'!$F$2:$F$505,M255)</x:f>
        <x:v>1</x:v>
      </x:c>
      <x:c r="O255" s="1"/>
      <x:c r="P255" s="1"/>
      <x:c r="Q255" s="1"/>
    </x:row>
    <x:row r="256" ht="21" customHeight="1">
      <x:c r="A256" s="5" t="n">
        <x:f>'Лист1'!A256</x:f>
        <x:v>43967</x:v>
      </x:c>
      <x:c r="B256" s="1" t="str">
        <x:f>'Лист1'!B256</x:f>
        <x:v>Краснодар</x:v>
      </x:c>
      <x:c r="C256" s="1" t="n">
        <x:f>'Лист1'!C256</x:f>
        <x:v>34563</x:v>
      </x:c>
      <x:c r="D256" s="6" t="n">
        <x:f>'Лист1'!D256</x:f>
        <x:v>2922883.5</x:v>
      </x:c>
      <x:c r="E256" s="6" t="n">
        <x:f>'Лист1'!E256</x:f>
        <x:v>2340316.3049999997</x:v>
      </x:c>
      <x:c r="F256" s="6" t="n">
        <x:f>'Лист1'!F256</x:f>
        <x:v>109812.45384615385</x:v>
      </x:c>
      <x:c r="G256" s="1" t="n">
        <x:f>IF(N256=1,SUMIFS('Лист2'!$C$2:$C$505,'Лист2'!$A$2:$A$505,A256,'Лист2'!$B$2:$B$505,B256),NA())</x:f>
        <x:v>19</x:v>
      </x:c>
      <x:c r="H256" s="1" t="n">
        <x:f>IF(N256=1,SUMIFS('Лист2'!$D$2:$D$505,'Лист2'!$A$2:$A$505,A256,'Лист2'!$B$2:$B$505,B256),NA())</x:f>
        <x:v>2039</x:v>
      </x:c>
      <x:c r="I256" s="1" t="n">
        <x:f>IF(N256=1,SUMIFS('Лист2'!$E$2:$E$505,'Лист2'!$A$2:$A$505,A256,'Лист2'!$B$2:$B$505,B256),NA())</x:f>
        <x:v>1868</x:v>
      </x:c>
      <x:c r="J256" s="5" t="n">
        <x:f>A256-WEEKDAY(A256,2)+1</x:f>
        <x:v>43962</x:v>
      </x:c>
      <x:c r="K256" s="1" t="n">
        <x:f>YEAR(J256+3)</x:f>
        <x:v>2020</x:v>
      </x:c>
      <x:c r="L256" s="1" t="n">
        <x:f>INT((J256-DATE(K256,1,4)+WEEKDAY(DATE(K256,1,4),2)-1)/7)+1</x:f>
        <x:v>20</x:v>
      </x:c>
      <x:c r="M256" s="1" t="str">
        <x:f>A256&amp;"|"&amp;B256</x:f>
        <x:v>43967|Краснодар</x:v>
      </x:c>
      <x:c r="N256" s="1" t="n">
        <x:f>COUNTIFS('Лист2'!$F$2:$F$505,M256)</x:f>
        <x:v>1</x:v>
      </x:c>
      <x:c r="O256" s="1"/>
      <x:c r="P256" s="1"/>
      <x:c r="Q256" s="1"/>
    </x:row>
    <x:row r="257" ht="21" customHeight="1">
      <x:c r="A257" s="5" t="n">
        <x:f>'Лист1'!A257</x:f>
        <x:v>43967</x:v>
      </x:c>
      <x:c r="B257" s="1" t="str">
        <x:f>'Лист1'!B257</x:f>
        <x:v>Москва Восток</x:v>
      </x:c>
      <x:c r="C257" s="1" t="n">
        <x:f>'Лист1'!C257</x:f>
        <x:v>225480</x:v>
      </x:c>
      <x:c r="D257" s="6" t="n">
        <x:f>'Лист1'!D257</x:f>
        <x:v>22355338.5</x:v>
      </x:c>
      <x:c r="E257" s="6" t="n">
        <x:f>'Лист1'!E257</x:f>
        <x:v>16443448.491999999</x:v>
      </x:c>
      <x:c r="F257" s="6" t="n">
        <x:f>'Лист1'!F257</x:f>
        <x:v>291468.6</x:v>
      </x:c>
      <x:c r="G257" s="1" t="n">
        <x:f>IF(N257=1,SUMIFS('Лист2'!$C$2:$C$505,'Лист2'!$A$2:$A$505,A257,'Лист2'!$B$2:$B$505,B257),NA())</x:f>
        <x:v>54</x:v>
      </x:c>
      <x:c r="H257" s="1" t="n">
        <x:f>IF(N257=1,SUMIFS('Лист2'!$D$2:$D$505,'Лист2'!$A$2:$A$505,A257,'Лист2'!$B$2:$B$505,B257),NA())</x:f>
        <x:v>13170</x:v>
      </x:c>
      <x:c r="I257" s="1" t="n">
        <x:f>IF(N257=1,SUMIFS('Лист2'!$E$2:$E$505,'Лист2'!$A$2:$A$505,A257,'Лист2'!$B$2:$B$505,B257),NA())</x:f>
        <x:v>12299</x:v>
      </x:c>
      <x:c r="J257" s="5" t="n">
        <x:f>A257-WEEKDAY(A257,2)+1</x:f>
        <x:v>43962</x:v>
      </x:c>
      <x:c r="K257" s="1" t="n">
        <x:f>YEAR(J257+3)</x:f>
        <x:v>2020</x:v>
      </x:c>
      <x:c r="L257" s="1" t="n">
        <x:f>INT((J257-DATE(K257,1,4)+WEEKDAY(DATE(K257,1,4),2)-1)/7)+1</x:f>
        <x:v>20</x:v>
      </x:c>
      <x:c r="M257" s="1" t="str">
        <x:f>A257&amp;"|"&amp;B257</x:f>
        <x:v>43967|Москва Восток</x:v>
      </x:c>
      <x:c r="N257" s="1" t="n">
        <x:f>COUNTIFS('Лист2'!$F$2:$F$505,M257)</x:f>
        <x:v>1</x:v>
      </x:c>
      <x:c r="O257" s="1"/>
      <x:c r="P257" s="1"/>
      <x:c r="Q257" s="1"/>
    </x:row>
    <x:row r="258" ht="21" customHeight="1">
      <x:c r="A258" s="5" t="n">
        <x:f>'Лист1'!A258</x:f>
        <x:v>43967</x:v>
      </x:c>
      <x:c r="B258" s="1" t="str">
        <x:f>'Лист1'!B258</x:f>
        <x:v>Москва Запад</x:v>
      </x:c>
      <x:c r="C258" s="1" t="n">
        <x:f>'Лист1'!C258</x:f>
        <x:v>236551.5</x:v>
      </x:c>
      <x:c r="D258" s="6" t="n">
        <x:f>'Лист1'!D258</x:f>
        <x:v>23689383</x:v>
      </x:c>
      <x:c r="E258" s="6" t="n">
        <x:f>'Лист1'!E258</x:f>
        <x:v>17329462.176</x:v>
      </x:c>
      <x:c r="F258" s="6" t="n">
        <x:f>'Лист1'!F258</x:f>
        <x:v>258177.63846153844</x:v>
      </x:c>
      <x:c r="G258" s="1" t="n">
        <x:f>IF(N258=1,SUMIFS('Лист2'!$C$2:$C$505,'Лист2'!$A$2:$A$505,A258,'Лист2'!$B$2:$B$505,B258),NA())</x:f>
        <x:v>60</x:v>
      </x:c>
      <x:c r="H258" s="1" t="n">
        <x:f>IF(N258=1,SUMIFS('Лист2'!$D$2:$D$505,'Лист2'!$A$2:$A$505,A258,'Лист2'!$B$2:$B$505,B258),NA())</x:f>
        <x:v>14049</x:v>
      </x:c>
      <x:c r="I258" s="1" t="n">
        <x:f>IF(N258=1,SUMIFS('Лист2'!$E$2:$E$505,'Лист2'!$A$2:$A$505,A258,'Лист2'!$B$2:$B$505,B258),NA())</x:f>
        <x:v>13118</x:v>
      </x:c>
      <x:c r="J258" s="5" t="n">
        <x:f>A258-WEEKDAY(A258,2)+1</x:f>
        <x:v>43962</x:v>
      </x:c>
      <x:c r="K258" s="1" t="n">
        <x:f>YEAR(J258+3)</x:f>
        <x:v>2020</x:v>
      </x:c>
      <x:c r="L258" s="1" t="n">
        <x:f>INT((J258-DATE(K258,1,4)+WEEKDAY(DATE(K258,1,4),2)-1)/7)+1</x:f>
        <x:v>20</x:v>
      </x:c>
      <x:c r="M258" s="1" t="str">
        <x:f>A258&amp;"|"&amp;B258</x:f>
        <x:v>43967|Москва Запад</x:v>
      </x:c>
      <x:c r="N258" s="1" t="n">
        <x:f>COUNTIFS('Лист2'!$F$2:$F$505,M258)</x:f>
        <x:v>1</x:v>
      </x:c>
      <x:c r="O258" s="1"/>
      <x:c r="P258" s="1"/>
      <x:c r="Q258" s="1"/>
    </x:row>
    <x:row r="259" ht="21" customHeight="1">
      <x:c r="A259" s="5" t="n">
        <x:f>'Лист1'!A259</x:f>
        <x:v>43967</x:v>
      </x:c>
      <x:c r="B259" s="1" t="str">
        <x:f>'Лист1'!B259</x:f>
        <x:v>Нижний Новгород</x:v>
      </x:c>
      <x:c r="C259" s="1" t="n">
        <x:f>'Лист1'!C259</x:f>
        <x:v>35482.5</x:v>
      </x:c>
      <x:c r="D259" s="6" t="n">
        <x:f>'Лист1'!D259</x:f>
        <x:v>3222517.5</x:v>
      </x:c>
      <x:c r="E259" s="6" t="n">
        <x:f>'Лист1'!E259</x:f>
        <x:v>2633868.174</x:v>
      </x:c>
      <x:c r="F259" s="6" t="n">
        <x:f>'Лист1'!F259</x:f>
        <x:v>150484.18215384614</x:v>
      </x:c>
      <x:c r="G259" s="1" t="n">
        <x:f>IF(N259=1,SUMIFS('Лист2'!$C$2:$C$505,'Лист2'!$A$2:$A$505,A259,'Лист2'!$B$2:$B$505,B259),NA())</x:f>
        <x:v>19</x:v>
      </x:c>
      <x:c r="H259" s="1" t="n">
        <x:f>IF(N259=1,SUMIFS('Лист2'!$D$2:$D$505,'Лист2'!$A$2:$A$505,A259,'Лист2'!$B$2:$B$505,B259),NA())</x:f>
        <x:v>2080</x:v>
      </x:c>
      <x:c r="I259" s="1" t="n">
        <x:f>IF(N259=1,SUMIFS('Лист2'!$E$2:$E$505,'Лист2'!$A$2:$A$505,A259,'Лист2'!$B$2:$B$505,B259),NA())</x:f>
        <x:v>1844</x:v>
      </x:c>
      <x:c r="J259" s="5" t="n">
        <x:f>A259-WEEKDAY(A259,2)+1</x:f>
        <x:v>43962</x:v>
      </x:c>
      <x:c r="K259" s="1" t="n">
        <x:f>YEAR(J259+3)</x:f>
        <x:v>2020</x:v>
      </x:c>
      <x:c r="L259" s="1" t="n">
        <x:f>INT((J259-DATE(K259,1,4)+WEEKDAY(DATE(K259,1,4),2)-1)/7)+1</x:f>
        <x:v>20</x:v>
      </x:c>
      <x:c r="M259" s="1" t="str">
        <x:f>A259&amp;"|"&amp;B259</x:f>
        <x:v>43967|Нижний Новгород</x:v>
      </x:c>
      <x:c r="N259" s="1" t="n">
        <x:f>COUNTIFS('Лист2'!$F$2:$F$505,M259)</x:f>
        <x:v>1</x:v>
      </x:c>
      <x:c r="O259" s="1"/>
      <x:c r="P259" s="1"/>
      <x:c r="Q259" s="1"/>
    </x:row>
    <x:row r="260" ht="21" customHeight="1">
      <x:c r="A260" s="5" t="n">
        <x:f>'Лист1'!A260</x:f>
        <x:v>43967</x:v>
      </x:c>
      <x:c r="B260" s="1" t="str">
        <x:f>'Лист1'!B260</x:f>
        <x:v>Новосибирск</x:v>
      </x:c>
      <x:c r="C260" s="1" t="n">
        <x:f>'Лист1'!C260</x:f>
        <x:v>16368</x:v>
      </x:c>
      <x:c r="D260" s="6" t="n">
        <x:f>'Лист1'!D260</x:f>
        <x:v>1316350.5</x:v>
      </x:c>
      <x:c r="E260" s="6" t="n">
        <x:f>'Лист1'!E260</x:f>
        <x:v>1092945.283</x:v>
      </x:c>
      <x:c r="F260" s="6" t="n">
        <x:f>'Лист1'!F260</x:f>
        <x:v>175846.6446153846</x:v>
      </x:c>
      <x:c r="G260" s="1" t="n">
        <x:f>IF(N260=1,SUMIFS('Лист2'!$C$2:$C$505,'Лист2'!$A$2:$A$505,A260,'Лист2'!$B$2:$B$505,B260),NA())</x:f>
        <x:v>16</x:v>
      </x:c>
      <x:c r="H260" s="1" t="n">
        <x:f>IF(N260=1,SUMIFS('Лист2'!$D$2:$D$505,'Лист2'!$A$2:$A$505,A260,'Лист2'!$B$2:$B$505,B260),NA())</x:f>
        <x:v>920</x:v>
      </x:c>
      <x:c r="I260" s="1" t="n">
        <x:f>IF(N260=1,SUMIFS('Лист2'!$E$2:$E$505,'Лист2'!$A$2:$A$505,A260,'Лист2'!$B$2:$B$505,B260),NA())</x:f>
        <x:v>818</x:v>
      </x:c>
      <x:c r="J260" s="5" t="n">
        <x:f>A260-WEEKDAY(A260,2)+1</x:f>
        <x:v>43962</x:v>
      </x:c>
      <x:c r="K260" s="1" t="n">
        <x:f>YEAR(J260+3)</x:f>
        <x:v>2020</x:v>
      </x:c>
      <x:c r="L260" s="1" t="n">
        <x:f>INT((J260-DATE(K260,1,4)+WEEKDAY(DATE(K260,1,4),2)-1)/7)+1</x:f>
        <x:v>20</x:v>
      </x:c>
      <x:c r="M260" s="1" t="str">
        <x:f>A260&amp;"|"&amp;B260</x:f>
        <x:v>43967|Новосибирск</x:v>
      </x:c>
      <x:c r="N260" s="1" t="n">
        <x:f>COUNTIFS('Лист2'!$F$2:$F$505,M260)</x:f>
        <x:v>1</x:v>
      </x:c>
      <x:c r="O260" s="1"/>
      <x:c r="P260" s="1"/>
      <x:c r="Q260" s="1"/>
    </x:row>
    <x:row r="261" ht="21" customHeight="1">
      <x:c r="A261" s="5" t="n">
        <x:f>'Лист1'!A261</x:f>
        <x:v>43967</x:v>
      </x:c>
      <x:c r="B261" s="1" t="str">
        <x:f>'Лист1'!B261</x:f>
        <x:v>Пермь</x:v>
      </x:c>
      <x:c r="C261" s="1" t="n">
        <x:f>'Лист1'!C261</x:f>
        <x:v>18600</x:v>
      </x:c>
      <x:c r="D261" s="6" t="n">
        <x:f>'Лист1'!D261</x:f>
        <x:v>1601425.5</x:v>
      </x:c>
      <x:c r="E261" s="6" t="n">
        <x:f>'Лист1'!E261</x:f>
        <x:v>1268422.666</x:v>
      </x:c>
      <x:c r="F261" s="6" t="n">
        <x:f>'Лист1'!F261</x:f>
        <x:v>189642.93076923076</x:v>
      </x:c>
      <x:c r="G261" s="1" t="n">
        <x:f>IF(N261=1,SUMIFS('Лист2'!$C$2:$C$505,'Лист2'!$A$2:$A$505,A261,'Лист2'!$B$2:$B$505,B261),NA())</x:f>
        <x:v>15</x:v>
      </x:c>
      <x:c r="H261" s="1" t="n">
        <x:f>IF(N261=1,SUMIFS('Лист2'!$D$2:$D$505,'Лист2'!$A$2:$A$505,A261,'Лист2'!$B$2:$B$505,B261),NA())</x:f>
        <x:v>1111</x:v>
      </x:c>
      <x:c r="I261" s="1" t="n">
        <x:f>IF(N261=1,SUMIFS('Лист2'!$E$2:$E$505,'Лист2'!$A$2:$A$505,A261,'Лист2'!$B$2:$B$505,B261),NA())</x:f>
        <x:v>992</x:v>
      </x:c>
      <x:c r="J261" s="5" t="n">
        <x:f>A261-WEEKDAY(A261,2)+1</x:f>
        <x:v>43962</x:v>
      </x:c>
      <x:c r="K261" s="1" t="n">
        <x:f>YEAR(J261+3)</x:f>
        <x:v>2020</x:v>
      </x:c>
      <x:c r="L261" s="1" t="n">
        <x:f>INT((J261-DATE(K261,1,4)+WEEKDAY(DATE(K261,1,4),2)-1)/7)+1</x:f>
        <x:v>20</x:v>
      </x:c>
      <x:c r="M261" s="1" t="str">
        <x:f>A261&amp;"|"&amp;B261</x:f>
        <x:v>43967|Пермь</x:v>
      </x:c>
      <x:c r="N261" s="1" t="n">
        <x:f>COUNTIFS('Лист2'!$F$2:$F$505,M261)</x:f>
        <x:v>1</x:v>
      </x:c>
      <x:c r="O261" s="1"/>
      <x:c r="P261" s="1"/>
      <x:c r="Q261" s="1"/>
    </x:row>
    <x:row r="262" ht="21" customHeight="1">
      <x:c r="A262" s="5" t="n">
        <x:f>'Лист1'!A262</x:f>
        <x:v>43967</x:v>
      </x:c>
      <x:c r="B262" s="1" t="str">
        <x:f>'Лист1'!B262</x:f>
        <x:v>Ростов-на-Дону</x:v>
      </x:c>
      <x:c r="C262" s="1" t="n">
        <x:f>'Лист1'!C262</x:f>
        <x:v>13120.5</x:v>
      </x:c>
      <x:c r="D262" s="6" t="n">
        <x:f>'Лист1'!D262</x:f>
        <x:v>1215033</x:v>
      </x:c>
      <x:c r="E262" s="6" t="n">
        <x:f>'Лист1'!E262</x:f>
        <x:v>985281.0359999998</x:v>
      </x:c>
      <x:c r="F262" s="6" t="n">
        <x:f>'Лист1'!F262</x:f>
        <x:v>143418.86295384614</x:v>
      </x:c>
      <x:c r="G262" s="1" t="n">
        <x:f>IF(N262=1,SUMIFS('Лист2'!$C$2:$C$505,'Лист2'!$A$2:$A$505,A262,'Лист2'!$B$2:$B$505,B262),NA())</x:f>
        <x:v>15</x:v>
      </x:c>
      <x:c r="H262" s="1" t="n">
        <x:f>IF(N262=1,SUMIFS('Лист2'!$D$2:$D$505,'Лист2'!$A$2:$A$505,A262,'Лист2'!$B$2:$B$505,B262),NA())</x:f>
        <x:v>747</x:v>
      </x:c>
      <x:c r="I262" s="1" t="n">
        <x:f>IF(N262=1,SUMIFS('Лист2'!$E$2:$E$505,'Лист2'!$A$2:$A$505,A262,'Лист2'!$B$2:$B$505,B262),NA())</x:f>
        <x:v>647</x:v>
      </x:c>
      <x:c r="J262" s="5" t="n">
        <x:f>A262-WEEKDAY(A262,2)+1</x:f>
        <x:v>43962</x:v>
      </x:c>
      <x:c r="K262" s="1" t="n">
        <x:f>YEAR(J262+3)</x:f>
        <x:v>2020</x:v>
      </x:c>
      <x:c r="L262" s="1" t="n">
        <x:f>INT((J262-DATE(K262,1,4)+WEEKDAY(DATE(K262,1,4),2)-1)/7)+1</x:f>
        <x:v>20</x:v>
      </x:c>
      <x:c r="M262" s="1" t="str">
        <x:f>A262&amp;"|"&amp;B262</x:f>
        <x:v>43967|Ростов-на-Дону</x:v>
      </x:c>
      <x:c r="N262" s="1" t="n">
        <x:f>COUNTIFS('Лист2'!$F$2:$F$505,M262)</x:f>
        <x:v>1</x:v>
      </x:c>
      <x:c r="O262" s="1"/>
      <x:c r="P262" s="1"/>
      <x:c r="Q262" s="1"/>
    </x:row>
    <x:row r="263" ht="21" customHeight="1">
      <x:c r="A263" s="5" t="n">
        <x:f>'Лист1'!A263</x:f>
        <x:v>43967</x:v>
      </x:c>
      <x:c r="B263" s="1" t="str">
        <x:f>'Лист1'!B263</x:f>
        <x:v>Санкт-Петербург Север</x:v>
      </x:c>
      <x:c r="C263" s="1" t="n">
        <x:f>'Лист1'!C263</x:f>
        <x:v>408810</x:v>
      </x:c>
      <x:c r="D263" s="6" t="n">
        <x:f>'Лист1'!D263</x:f>
        <x:v>42323631</x:v>
      </x:c>
      <x:c r="E263" s="6" t="n">
        <x:f>'Лист1'!E263</x:f>
        <x:v>31033323.692999996</x:v>
      </x:c>
      <x:c r="F263" s="6" t="n">
        <x:f>'Лист1'!F263</x:f>
        <x:v>571764.0907692307</x:v>
      </x:c>
      <x:c r="G263" s="1" t="n">
        <x:f>IF(N263=1,SUMIFS('Лист2'!$C$2:$C$505,'Лист2'!$A$2:$A$505,A263,'Лист2'!$B$2:$B$505,B263),NA())</x:f>
        <x:v>125</x:v>
      </x:c>
      <x:c r="H263" s="1" t="n">
        <x:f>IF(N263=1,SUMIFS('Лист2'!$D$2:$D$505,'Лист2'!$A$2:$A$505,A263,'Лист2'!$B$2:$B$505,B263),NA())</x:f>
        <x:v>22291</x:v>
      </x:c>
      <x:c r="I263" s="1" t="n">
        <x:f>IF(N263=1,SUMIFS('Лист2'!$E$2:$E$505,'Лист2'!$A$2:$A$505,A263,'Лист2'!$B$2:$B$505,B263),NA())</x:f>
        <x:v>20635</x:v>
      </x:c>
      <x:c r="J263" s="5" t="n">
        <x:f>A263-WEEKDAY(A263,2)+1</x:f>
        <x:v>43962</x:v>
      </x:c>
      <x:c r="K263" s="1" t="n">
        <x:f>YEAR(J263+3)</x:f>
        <x:v>2020</x:v>
      </x:c>
      <x:c r="L263" s="1" t="n">
        <x:f>INT((J263-DATE(K263,1,4)+WEEKDAY(DATE(K263,1,4),2)-1)/7)+1</x:f>
        <x:v>20</x:v>
      </x:c>
      <x:c r="M263" s="1" t="str">
        <x:f>A263&amp;"|"&amp;B263</x:f>
        <x:v>43967|Санкт-Петербург Север</x:v>
      </x:c>
      <x:c r="N263" s="1" t="n">
        <x:f>COUNTIFS('Лист2'!$F$2:$F$505,M263)</x:f>
        <x:v>1</x:v>
      </x:c>
      <x:c r="O263" s="1"/>
      <x:c r="P263" s="1"/>
      <x:c r="Q263" s="1"/>
    </x:row>
    <x:row r="264" ht="21" customHeight="1">
      <x:c r="A264" s="5" t="n">
        <x:f>'Лист1'!A264</x:f>
        <x:v>43967</x:v>
      </x:c>
      <x:c r="B264" s="1" t="str">
        <x:f>'Лист1'!B264</x:f>
        <x:v>Санкт-Петербург Юг</x:v>
      </x:c>
      <x:c r="C264" s="1" t="n">
        <x:f>'Лист1'!C264</x:f>
        <x:v>321412.5</x:v>
      </x:c>
      <x:c r="D264" s="6" t="n">
        <x:f>'Лист1'!D264</x:f>
        <x:v>32235864</x:v>
      </x:c>
      <x:c r="E264" s="6" t="n">
        <x:f>'Лист1'!E264</x:f>
        <x:v>23691368.555</x:v>
      </x:c>
      <x:c r="F264" s="6" t="n">
        <x:f>'Лист1'!F264</x:f>
        <x:v>595097.1592923077</x:v>
      </x:c>
      <x:c r="G264" s="1" t="n">
        <x:f>IF(N264=1,SUMIFS('Лист2'!$C$2:$C$505,'Лист2'!$A$2:$A$505,A264,'Лист2'!$B$2:$B$505,B264),NA())</x:f>
        <x:v>129</x:v>
      </x:c>
      <x:c r="H264" s="1" t="n">
        <x:f>IF(N264=1,SUMIFS('Лист2'!$D$2:$D$505,'Лист2'!$A$2:$A$505,A264,'Лист2'!$B$2:$B$505,B264),NA())</x:f>
        <x:v>17914</x:v>
      </x:c>
      <x:c r="I264" s="1" t="n">
        <x:f>IF(N264=1,SUMIFS('Лист2'!$E$2:$E$505,'Лист2'!$A$2:$A$505,A264,'Лист2'!$B$2:$B$505,B264),NA())</x:f>
        <x:v>16631</x:v>
      </x:c>
      <x:c r="J264" s="5" t="n">
        <x:f>A264-WEEKDAY(A264,2)+1</x:f>
        <x:v>43962</x:v>
      </x:c>
      <x:c r="K264" s="1" t="n">
        <x:f>YEAR(J264+3)</x:f>
        <x:v>2020</x:v>
      </x:c>
      <x:c r="L264" s="1" t="n">
        <x:f>INT((J264-DATE(K264,1,4)+WEEKDAY(DATE(K264,1,4),2)-1)/7)+1</x:f>
        <x:v>20</x:v>
      </x:c>
      <x:c r="M264" s="1" t="str">
        <x:f>A264&amp;"|"&amp;B264</x:f>
        <x:v>43967|Санкт-Петербург Юг</x:v>
      </x:c>
      <x:c r="N264" s="1" t="n">
        <x:f>COUNTIFS('Лист2'!$F$2:$F$505,M264)</x:f>
        <x:v>1</x:v>
      </x:c>
      <x:c r="O264" s="1"/>
      <x:c r="P264" s="1"/>
      <x:c r="Q264" s="1"/>
    </x:row>
    <x:row r="265" ht="21" customHeight="1">
      <x:c r="A265" s="5" t="n">
        <x:f>'Лист1'!A265</x:f>
        <x:v>43967</x:v>
      </x:c>
      <x:c r="B265" s="1" t="str">
        <x:f>'Лист1'!B265</x:f>
        <x:v>Тольятти</x:v>
      </x:c>
      <x:c r="C265" s="1" t="n">
        <x:f>'Лист1'!C265</x:f>
        <x:v>14265</x:v>
      </x:c>
      <x:c r="D265" s="6" t="n">
        <x:f>'Лист1'!D265</x:f>
        <x:v>1130506.5</x:v>
      </x:c>
      <x:c r="E265" s="6" t="n">
        <x:f>'Лист1'!E265</x:f>
        <x:v>1024403.9859999999</x:v>
      </x:c>
      <x:c r="F265" s="6" t="n">
        <x:f>'Лист1'!F265</x:f>
        <x:v>72626.81390769231</x:v>
      </x:c>
      <x:c r="G265" s="1" t="n">
        <x:f>IF(N265=1,SUMIFS('Лист2'!$C$2:$C$505,'Лист2'!$A$2:$A$505,A265,'Лист2'!$B$2:$B$505,B265),NA())</x:f>
        <x:v>10</x:v>
      </x:c>
      <x:c r="H265" s="1" t="n">
        <x:f>IF(N265=1,SUMIFS('Лист2'!$D$2:$D$505,'Лист2'!$A$2:$A$505,A265,'Лист2'!$B$2:$B$505,B265),NA())</x:f>
        <x:v>760</x:v>
      </x:c>
      <x:c r="I265" s="1" t="n">
        <x:f>IF(N265=1,SUMIFS('Лист2'!$E$2:$E$505,'Лист2'!$A$2:$A$505,A265,'Лист2'!$B$2:$B$505,B265),NA())</x:f>
        <x:v>672</x:v>
      </x:c>
      <x:c r="J265" s="5" t="n">
        <x:f>A265-WEEKDAY(A265,2)+1</x:f>
        <x:v>43962</x:v>
      </x:c>
      <x:c r="K265" s="1" t="n">
        <x:f>YEAR(J265+3)</x:f>
        <x:v>2020</x:v>
      </x:c>
      <x:c r="L265" s="1" t="n">
        <x:f>INT((J265-DATE(K265,1,4)+WEEKDAY(DATE(K265,1,4),2)-1)/7)+1</x:f>
        <x:v>20</x:v>
      </x:c>
      <x:c r="M265" s="1" t="str">
        <x:f>A265&amp;"|"&amp;B265</x:f>
        <x:v>43967|Тольятти</x:v>
      </x:c>
      <x:c r="N265" s="1" t="n">
        <x:f>COUNTIFS('Лист2'!$F$2:$F$505,M265)</x:f>
        <x:v>1</x:v>
      </x:c>
      <x:c r="O265" s="1"/>
      <x:c r="P265" s="1"/>
      <x:c r="Q265" s="1"/>
    </x:row>
    <x:row r="266" ht="21" customHeight="1">
      <x:c r="A266" s="5" t="n">
        <x:f>'Лист1'!A266</x:f>
        <x:v>43968</x:v>
      </x:c>
      <x:c r="B266" s="1" t="str">
        <x:f>'Лист1'!B266</x:f>
        <x:v>Волгоград</x:v>
      </x:c>
      <x:c r="C266" s="1" t="n">
        <x:f>'Лист1'!C266</x:f>
        <x:v>72861</x:v>
      </x:c>
      <x:c r="D266" s="6" t="n">
        <x:f>'Лист1'!D266</x:f>
        <x:v>5952802.5</x:v>
      </x:c>
      <x:c r="E266" s="6" t="n">
        <x:f>'Лист1'!E266</x:f>
        <x:v>4711294.200999999</x:v>
      </x:c>
      <x:c r="F266" s="6" t="n">
        <x:f>'Лист1'!F266</x:f>
        <x:v>125880.90000000001</x:v>
      </x:c>
      <x:c r="G266" s="1" t="n">
        <x:f>IF(N266=1,SUMIFS('Лист2'!$C$2:$C$505,'Лист2'!$A$2:$A$505,A266,'Лист2'!$B$2:$B$505,B266),NA())</x:f>
        <x:v>36</x:v>
      </x:c>
      <x:c r="H266" s="1" t="n">
        <x:f>IF(N266=1,SUMIFS('Лист2'!$D$2:$D$505,'Лист2'!$A$2:$A$505,A266,'Лист2'!$B$2:$B$505,B266),NA())</x:f>
        <x:v>4918</x:v>
      </x:c>
      <x:c r="I266" s="1" t="n">
        <x:f>IF(N266=1,SUMIFS('Лист2'!$E$2:$E$505,'Лист2'!$A$2:$A$505,A266,'Лист2'!$B$2:$B$505,B266),NA())</x:f>
        <x:v>4554</x:v>
      </x:c>
      <x:c r="J266" s="5" t="n">
        <x:f>A266-WEEKDAY(A266,2)+1</x:f>
        <x:v>43962</x:v>
      </x:c>
      <x:c r="K266" s="1" t="n">
        <x:f>YEAR(J266+3)</x:f>
        <x:v>2020</x:v>
      </x:c>
      <x:c r="L266" s="1" t="n">
        <x:f>INT((J266-DATE(K266,1,4)+WEEKDAY(DATE(K266,1,4),2)-1)/7)+1</x:f>
        <x:v>20</x:v>
      </x:c>
      <x:c r="M266" s="1" t="str">
        <x:f>A266&amp;"|"&amp;B266</x:f>
        <x:v>43968|Волгоград</x:v>
      </x:c>
      <x:c r="N266" s="1" t="n">
        <x:f>COUNTIFS('Лист2'!$F$2:$F$505,M266)</x:f>
        <x:v>1</x:v>
      </x:c>
      <x:c r="O266" s="1"/>
      <x:c r="P266" s="1"/>
      <x:c r="Q266" s="1"/>
    </x:row>
    <x:row r="267" ht="21" customHeight="1">
      <x:c r="A267" s="5" t="n">
        <x:f>'Лист1'!A267</x:f>
        <x:v>43968</x:v>
      </x:c>
      <x:c r="B267" s="1" t="str">
        <x:f>'Лист1'!B267</x:f>
        <x:v>Екатеринбург</x:v>
      </x:c>
      <x:c r="C267" s="1" t="n">
        <x:f>'Лист1'!C267</x:f>
        <x:v>78057</x:v>
      </x:c>
      <x:c r="D267" s="6" t="n">
        <x:f>'Лист1'!D267</x:f>
        <x:v>6774946.5</x:v>
      </x:c>
      <x:c r="E267" s="6" t="n">
        <x:f>'Лист1'!E267</x:f>
        <x:v>5115462.401</x:v>
      </x:c>
      <x:c r="F267" s="6" t="n">
        <x:f>'Лист1'!F267</x:f>
        <x:v>61149.51538461538</x:v>
      </x:c>
      <x:c r="G267" s="1" t="n">
        <x:f>IF(N267=1,SUMIFS('Лист2'!$C$2:$C$505,'Лист2'!$A$2:$A$505,A267,'Лист2'!$B$2:$B$505,B267),NA())</x:f>
        <x:v>31</x:v>
      </x:c>
      <x:c r="H267" s="1" t="n">
        <x:f>IF(N267=1,SUMIFS('Лист2'!$D$2:$D$505,'Лист2'!$A$2:$A$505,A267,'Лист2'!$B$2:$B$505,B267),NA())</x:f>
        <x:v>5206</x:v>
      </x:c>
      <x:c r="I267" s="1" t="n">
        <x:f>IF(N267=1,SUMIFS('Лист2'!$E$2:$E$505,'Лист2'!$A$2:$A$505,A267,'Лист2'!$B$2:$B$505,B267),NA())</x:f>
        <x:v>4843</x:v>
      </x:c>
      <x:c r="J267" s="5" t="n">
        <x:f>A267-WEEKDAY(A267,2)+1</x:f>
        <x:v>43962</x:v>
      </x:c>
      <x:c r="K267" s="1" t="n">
        <x:f>YEAR(J267+3)</x:f>
        <x:v>2020</x:v>
      </x:c>
      <x:c r="L267" s="1" t="n">
        <x:f>INT((J267-DATE(K267,1,4)+WEEKDAY(DATE(K267,1,4),2)-1)/7)+1</x:f>
        <x:v>20</x:v>
      </x:c>
      <x:c r="M267" s="1" t="str">
        <x:f>A267&amp;"|"&amp;B267</x:f>
        <x:v>43968|Екатеринбург</x:v>
      </x:c>
      <x:c r="N267" s="1" t="n">
        <x:f>COUNTIFS('Лист2'!$F$2:$F$505,M267)</x:f>
        <x:v>1</x:v>
      </x:c>
      <x:c r="O267" s="1"/>
      <x:c r="P267" s="1"/>
      <x:c r="Q267" s="1"/>
    </x:row>
    <x:row r="268" ht="21" customHeight="1">
      <x:c r="A268" s="5" t="n">
        <x:f>'Лист1'!A268</x:f>
        <x:v>43968</x:v>
      </x:c>
      <x:c r="B268" s="1" t="str">
        <x:f>'Лист1'!B268</x:f>
        <x:v>Казань</x:v>
      </x:c>
      <x:c r="C268" s="1" t="n">
        <x:f>'Лист1'!C268</x:f>
        <x:v>34830</x:v>
      </x:c>
      <x:c r="D268" s="6" t="n">
        <x:f>'Лист1'!D268</x:f>
        <x:v>3191155.5</x:v>
      </x:c>
      <x:c r="E268" s="6" t="n">
        <x:f>'Лист1'!E268</x:f>
        <x:v>2528990.584</x:v>
      </x:c>
      <x:c r="F268" s="6" t="n">
        <x:f>'Лист1'!F268</x:f>
        <x:v>292821.2230769231</x:v>
      </x:c>
      <x:c r="G268" s="1" t="n">
        <x:f>IF(N268=1,SUMIFS('Лист2'!$C$2:$C$505,'Лист2'!$A$2:$A$505,A268,'Лист2'!$B$2:$B$505,B268),NA())</x:f>
        <x:v>21</x:v>
      </x:c>
      <x:c r="H268" s="1" t="n">
        <x:f>IF(N268=1,SUMIFS('Лист2'!$D$2:$D$505,'Лист2'!$A$2:$A$505,A268,'Лист2'!$B$2:$B$505,B268),NA())</x:f>
        <x:v>2054</x:v>
      </x:c>
      <x:c r="I268" s="1" t="n">
        <x:f>IF(N268=1,SUMIFS('Лист2'!$E$2:$E$505,'Лист2'!$A$2:$A$505,A268,'Лист2'!$B$2:$B$505,B268),NA())</x:f>
        <x:v>1883</x:v>
      </x:c>
      <x:c r="J268" s="5" t="n">
        <x:f>A268-WEEKDAY(A268,2)+1</x:f>
        <x:v>43962</x:v>
      </x:c>
      <x:c r="K268" s="1" t="n">
        <x:f>YEAR(J268+3)</x:f>
        <x:v>2020</x:v>
      </x:c>
      <x:c r="L268" s="1" t="n">
        <x:f>INT((J268-DATE(K268,1,4)+WEEKDAY(DATE(K268,1,4),2)-1)/7)+1</x:f>
        <x:v>20</x:v>
      </x:c>
      <x:c r="M268" s="1" t="str">
        <x:f>A268&amp;"|"&amp;B268</x:f>
        <x:v>43968|Казань</x:v>
      </x:c>
      <x:c r="N268" s="1" t="n">
        <x:f>COUNTIFS('Лист2'!$F$2:$F$505,M268)</x:f>
        <x:v>1</x:v>
      </x:c>
      <x:c r="O268" s="1"/>
      <x:c r="P268" s="1"/>
      <x:c r="Q268" s="1"/>
    </x:row>
    <x:row r="269" ht="21" customHeight="1">
      <x:c r="A269" s="5" t="n">
        <x:f>'Лист1'!A269</x:f>
        <x:v>43968</x:v>
      </x:c>
      <x:c r="B269" s="1" t="str">
        <x:f>'Лист1'!B269</x:f>
        <x:v>Кемерово</x:v>
      </x:c>
      <x:c r="C269" s="1" t="n">
        <x:f>'Лист1'!C269</x:f>
        <x:v>32023.5</x:v>
      </x:c>
      <x:c r="D269" s="6" t="n">
        <x:f>'Лист1'!D269</x:f>
        <x:v>2882458.5</x:v>
      </x:c>
      <x:c r="E269" s="6" t="n">
        <x:f>'Лист1'!E269</x:f>
        <x:v>2290967.039</x:v>
      </x:c>
      <x:c r="F269" s="6" t="n">
        <x:f>'Лист1'!F269</x:f>
        <x:v>246817.75113846152</x:v>
      </x:c>
      <x:c r="G269" s="1" t="n">
        <x:f>IF(N269=1,SUMIFS('Лист2'!$C$2:$C$505,'Лист2'!$A$2:$A$505,A269,'Лист2'!$B$2:$B$505,B269),NA())</x:f>
        <x:v>21</x:v>
      </x:c>
      <x:c r="H269" s="1" t="n">
        <x:f>IF(N269=1,SUMIFS('Лист2'!$D$2:$D$505,'Лист2'!$A$2:$A$505,A269,'Лист2'!$B$2:$B$505,B269),NA())</x:f>
        <x:v>1874</x:v>
      </x:c>
      <x:c r="I269" s="1" t="n">
        <x:f>IF(N269=1,SUMIFS('Лист2'!$E$2:$E$505,'Лист2'!$A$2:$A$505,A269,'Лист2'!$B$2:$B$505,B269),NA())</x:f>
        <x:v>1705</x:v>
      </x:c>
      <x:c r="J269" s="5" t="n">
        <x:f>A269-WEEKDAY(A269,2)+1</x:f>
        <x:v>43962</x:v>
      </x:c>
      <x:c r="K269" s="1" t="n">
        <x:f>YEAR(J269+3)</x:f>
        <x:v>2020</x:v>
      </x:c>
      <x:c r="L269" s="1" t="n">
        <x:f>INT((J269-DATE(K269,1,4)+WEEKDAY(DATE(K269,1,4),2)-1)/7)+1</x:f>
        <x:v>20</x:v>
      </x:c>
      <x:c r="M269" s="1" t="str">
        <x:f>A269&amp;"|"&amp;B269</x:f>
        <x:v>43968|Кемерово</x:v>
      </x:c>
      <x:c r="N269" s="1" t="n">
        <x:f>COUNTIFS('Лист2'!$F$2:$F$505,M269)</x:f>
        <x:v>1</x:v>
      </x:c>
      <x:c r="O269" s="1"/>
      <x:c r="P269" s="1"/>
      <x:c r="Q269" s="1"/>
    </x:row>
    <x:row r="270" ht="21" customHeight="1">
      <x:c r="A270" s="5" t="n">
        <x:f>'Лист1'!A270</x:f>
        <x:v>43968</x:v>
      </x:c>
      <x:c r="B270" s="1" t="str">
        <x:f>'Лист1'!B270</x:f>
        <x:v>Краснодар</x:v>
      </x:c>
      <x:c r="C270" s="1" t="n">
        <x:f>'Лист1'!C270</x:f>
        <x:v>28275</x:v>
      </x:c>
      <x:c r="D270" s="6" t="n">
        <x:f>'Лист1'!D270</x:f>
        <x:v>2435632.5</x:v>
      </x:c>
      <x:c r="E270" s="6" t="n">
        <x:f>'Лист1'!E270</x:f>
        <x:v>1954139.7149999999</x:v>
      </x:c>
      <x:c r="F270" s="6" t="n">
        <x:f>'Лист1'!F270</x:f>
        <x:v>79541.98461538462</x:v>
      </x:c>
      <x:c r="G270" s="1" t="n">
        <x:f>IF(N270=1,SUMIFS('Лист2'!$C$2:$C$505,'Лист2'!$A$2:$A$505,A270,'Лист2'!$B$2:$B$505,B270),NA())</x:f>
        <x:v>19</x:v>
      </x:c>
      <x:c r="H270" s="1" t="n">
        <x:f>IF(N270=1,SUMIFS('Лист2'!$D$2:$D$505,'Лист2'!$A$2:$A$505,A270,'Лист2'!$B$2:$B$505,B270),NA())</x:f>
        <x:v>1790</x:v>
      </x:c>
      <x:c r="I270" s="1" t="n">
        <x:f>IF(N270=1,SUMIFS('Лист2'!$E$2:$E$505,'Лист2'!$A$2:$A$505,A270,'Лист2'!$B$2:$B$505,B270),NA())</x:f>
        <x:v>1633</x:v>
      </x:c>
      <x:c r="J270" s="5" t="n">
        <x:f>A270-WEEKDAY(A270,2)+1</x:f>
        <x:v>43962</x:v>
      </x:c>
      <x:c r="K270" s="1" t="n">
        <x:f>YEAR(J270+3)</x:f>
        <x:v>2020</x:v>
      </x:c>
      <x:c r="L270" s="1" t="n">
        <x:f>INT((J270-DATE(K270,1,4)+WEEKDAY(DATE(K270,1,4),2)-1)/7)+1</x:f>
        <x:v>20</x:v>
      </x:c>
      <x:c r="M270" s="1" t="str">
        <x:f>A270&amp;"|"&amp;B270</x:f>
        <x:v>43968|Краснодар</x:v>
      </x:c>
      <x:c r="N270" s="1" t="n">
        <x:f>COUNTIFS('Лист2'!$F$2:$F$505,M270)</x:f>
        <x:v>1</x:v>
      </x:c>
      <x:c r="O270" s="1"/>
      <x:c r="P270" s="1"/>
      <x:c r="Q270" s="1"/>
    </x:row>
    <x:row r="271" ht="21" customHeight="1">
      <x:c r="A271" s="5" t="n">
        <x:f>'Лист1'!A271</x:f>
        <x:v>43968</x:v>
      </x:c>
      <x:c r="B271" s="1" t="str">
        <x:f>'Лист1'!B271</x:f>
        <x:v>Москва Восток</x:v>
      </x:c>
      <x:c r="C271" s="1" t="n">
        <x:f>'Лист1'!C271</x:f>
        <x:v>184801.5</x:v>
      </x:c>
      <x:c r="D271" s="6" t="n">
        <x:f>'Лист1'!D271</x:f>
        <x:v>18449091</x:v>
      </x:c>
      <x:c r="E271" s="6" t="n">
        <x:f>'Лист1'!E271</x:f>
        <x:v>13533023.127999999</x:v>
      </x:c>
      <x:c r="F271" s="6" t="n">
        <x:f>'Лист1'!F271</x:f>
        <x:v>246229.69714615386</x:v>
      </x:c>
      <x:c r="G271" s="1" t="n">
        <x:f>IF(N271=1,SUMIFS('Лист2'!$C$2:$C$505,'Лист2'!$A$2:$A$505,A271,'Лист2'!$B$2:$B$505,B271),NA())</x:f>
        <x:v>54</x:v>
      </x:c>
      <x:c r="H271" s="1" t="n">
        <x:f>IF(N271=1,SUMIFS('Лист2'!$D$2:$D$505,'Лист2'!$A$2:$A$505,A271,'Лист2'!$B$2:$B$505,B271),NA())</x:f>
        <x:v>11128</x:v>
      </x:c>
      <x:c r="I271" s="1" t="n">
        <x:f>IF(N271=1,SUMIFS('Лист2'!$E$2:$E$505,'Лист2'!$A$2:$A$505,A271,'Лист2'!$B$2:$B$505,B271),NA())</x:f>
        <x:v>10467</x:v>
      </x:c>
      <x:c r="J271" s="5" t="n">
        <x:f>A271-WEEKDAY(A271,2)+1</x:f>
        <x:v>43962</x:v>
      </x:c>
      <x:c r="K271" s="1" t="n">
        <x:f>YEAR(J271+3)</x:f>
        <x:v>2020</x:v>
      </x:c>
      <x:c r="L271" s="1" t="n">
        <x:f>INT((J271-DATE(K271,1,4)+WEEKDAY(DATE(K271,1,4),2)-1)/7)+1</x:f>
        <x:v>20</x:v>
      </x:c>
      <x:c r="M271" s="1" t="str">
        <x:f>A271&amp;"|"&amp;B271</x:f>
        <x:v>43968|Москва Восток</x:v>
      </x:c>
      <x:c r="N271" s="1" t="n">
        <x:f>COUNTIFS('Лист2'!$F$2:$F$505,M271)</x:f>
        <x:v>1</x:v>
      </x:c>
      <x:c r="O271" s="1"/>
      <x:c r="P271" s="1"/>
      <x:c r="Q271" s="1"/>
    </x:row>
    <x:row r="272" ht="21" customHeight="1">
      <x:c r="A272" s="5" t="n">
        <x:f>'Лист1'!A272</x:f>
        <x:v>43968</x:v>
      </x:c>
      <x:c r="B272" s="1" t="str">
        <x:f>'Лист1'!B272</x:f>
        <x:v>Москва Запад</x:v>
      </x:c>
      <x:c r="C272" s="1" t="n">
        <x:f>'Лист1'!C272</x:f>
        <x:v>193363.5</x:v>
      </x:c>
      <x:c r="D272" s="6" t="n">
        <x:f>'Лист1'!D272</x:f>
        <x:v>19546386</x:v>
      </x:c>
      <x:c r="E272" s="6" t="n">
        <x:f>'Лист1'!E272</x:f>
        <x:v>14278298.844</x:v>
      </x:c>
      <x:c r="F272" s="6" t="n">
        <x:f>'Лист1'!F272</x:f>
        <x:v>264289.06153846154</x:v>
      </x:c>
      <x:c r="G272" s="1" t="n">
        <x:f>IF(N272=1,SUMIFS('Лист2'!$C$2:$C$505,'Лист2'!$A$2:$A$505,A272,'Лист2'!$B$2:$B$505,B272),NA())</x:f>
        <x:v>60</x:v>
      </x:c>
      <x:c r="H272" s="1" t="n">
        <x:f>IF(N272=1,SUMIFS('Лист2'!$D$2:$D$505,'Лист2'!$A$2:$A$505,A272,'Лист2'!$B$2:$B$505,B272),NA())</x:f>
        <x:v>11698</x:v>
      </x:c>
      <x:c r="I272" s="1" t="n">
        <x:f>IF(N272=1,SUMIFS('Лист2'!$E$2:$E$505,'Лист2'!$A$2:$A$505,A272,'Лист2'!$B$2:$B$505,B272),NA())</x:f>
        <x:v>10989</x:v>
      </x:c>
      <x:c r="J272" s="5" t="n">
        <x:f>A272-WEEKDAY(A272,2)+1</x:f>
        <x:v>43962</x:v>
      </x:c>
      <x:c r="K272" s="1" t="n">
        <x:f>YEAR(J272+3)</x:f>
        <x:v>2020</x:v>
      </x:c>
      <x:c r="L272" s="1" t="n">
        <x:f>INT((J272-DATE(K272,1,4)+WEEKDAY(DATE(K272,1,4),2)-1)/7)+1</x:f>
        <x:v>20</x:v>
      </x:c>
      <x:c r="M272" s="1" t="str">
        <x:f>A272&amp;"|"&amp;B272</x:f>
        <x:v>43968|Москва Запад</x:v>
      </x:c>
      <x:c r="N272" s="1" t="n">
        <x:f>COUNTIFS('Лист2'!$F$2:$F$505,M272)</x:f>
        <x:v>1</x:v>
      </x:c>
      <x:c r="O272" s="1"/>
      <x:c r="P272" s="1"/>
      <x:c r="Q272" s="1"/>
    </x:row>
    <x:row r="273" ht="21" customHeight="1">
      <x:c r="A273" s="5" t="n">
        <x:f>'Лист1'!A273</x:f>
        <x:v>43968</x:v>
      </x:c>
      <x:c r="B273" s="1" t="str">
        <x:f>'Лист1'!B273</x:f>
        <x:v>Нижний Новгород</x:v>
      </x:c>
      <x:c r="C273" s="1" t="n">
        <x:f>'Лист1'!C273</x:f>
        <x:v>30486</x:v>
      </x:c>
      <x:c r="D273" s="6" t="n">
        <x:f>'Лист1'!D273</x:f>
        <x:v>2694289.5</x:v>
      </x:c>
      <x:c r="E273" s="6" t="n">
        <x:f>'Лист1'!E273</x:f>
        <x:v>2183502.7290000003</x:v>
      </x:c>
      <x:c r="F273" s="6" t="n">
        <x:f>'Лист1'!F273</x:f>
        <x:v>153558.02257692307</x:v>
      </x:c>
      <x:c r="G273" s="1" t="n">
        <x:f>IF(N273=1,SUMIFS('Лист2'!$C$2:$C$505,'Лист2'!$A$2:$A$505,A273,'Лист2'!$B$2:$B$505,B273),NA())</x:f>
        <x:v>19</x:v>
      </x:c>
      <x:c r="H273" s="1" t="n">
        <x:f>IF(N273=1,SUMIFS('Лист2'!$D$2:$D$505,'Лист2'!$A$2:$A$505,A273,'Лист2'!$B$2:$B$505,B273),NA())</x:f>
        <x:v>1871</x:v>
      </x:c>
      <x:c r="I273" s="1" t="n">
        <x:f>IF(N273=1,SUMIFS('Лист2'!$E$2:$E$505,'Лист2'!$A$2:$A$505,A273,'Лист2'!$B$2:$B$505,B273),NA())</x:f>
        <x:v>1660</x:v>
      </x:c>
      <x:c r="J273" s="5" t="n">
        <x:f>A273-WEEKDAY(A273,2)+1</x:f>
        <x:v>43962</x:v>
      </x:c>
      <x:c r="K273" s="1" t="n">
        <x:f>YEAR(J273+3)</x:f>
        <x:v>2020</x:v>
      </x:c>
      <x:c r="L273" s="1" t="n">
        <x:f>INT((J273-DATE(K273,1,4)+WEEKDAY(DATE(K273,1,4),2)-1)/7)+1</x:f>
        <x:v>20</x:v>
      </x:c>
      <x:c r="M273" s="1" t="str">
        <x:f>A273&amp;"|"&amp;B273</x:f>
        <x:v>43968|Нижний Новгород</x:v>
      </x:c>
      <x:c r="N273" s="1" t="n">
        <x:f>COUNTIFS('Лист2'!$F$2:$F$505,M273)</x:f>
        <x:v>1</x:v>
      </x:c>
      <x:c r="O273" s="1"/>
      <x:c r="P273" s="1"/>
      <x:c r="Q273" s="1"/>
    </x:row>
    <x:row r="274" ht="21" customHeight="1">
      <x:c r="A274" s="5" t="n">
        <x:f>'Лист1'!A274</x:f>
        <x:v>43968</x:v>
      </x:c>
      <x:c r="B274" s="1" t="str">
        <x:f>'Лист1'!B274</x:f>
        <x:v>Новосибирск</x:v>
      </x:c>
      <x:c r="C274" s="1" t="n">
        <x:f>'Лист1'!C274</x:f>
        <x:v>13440</x:v>
      </x:c>
      <x:c r="D274" s="6" t="n">
        <x:f>'Лист1'!D274</x:f>
        <x:v>1157529</x:v>
      </x:c>
      <x:c r="E274" s="6" t="n">
        <x:f>'Лист1'!E274</x:f>
        <x:v>935379.4229999998</x:v>
      </x:c>
      <x:c r="F274" s="6" t="n">
        <x:f>'Лист1'!F274</x:f>
        <x:v>111375.6648</x:v>
      </x:c>
      <x:c r="G274" s="1" t="n">
        <x:f>IF(N274=1,SUMIFS('Лист2'!$C$2:$C$505,'Лист2'!$A$2:$A$505,A274,'Лист2'!$B$2:$B$505,B274),NA())</x:f>
        <x:v>16</x:v>
      </x:c>
      <x:c r="H274" s="1" t="n">
        <x:f>IF(N274=1,SUMIFS('Лист2'!$D$2:$D$505,'Лист2'!$A$2:$A$505,A274,'Лист2'!$B$2:$B$505,B274),NA())</x:f>
        <x:v>859</x:v>
      </x:c>
      <x:c r="I274" s="1" t="n">
        <x:f>IF(N274=1,SUMIFS('Лист2'!$E$2:$E$505,'Лист2'!$A$2:$A$505,A274,'Лист2'!$B$2:$B$505,B274),NA())</x:f>
        <x:v>746</x:v>
      </x:c>
      <x:c r="J274" s="5" t="n">
        <x:f>A274-WEEKDAY(A274,2)+1</x:f>
        <x:v>43962</x:v>
      </x:c>
      <x:c r="K274" s="1" t="n">
        <x:f>YEAR(J274+3)</x:f>
        <x:v>2020</x:v>
      </x:c>
      <x:c r="L274" s="1" t="n">
        <x:f>INT((J274-DATE(K274,1,4)+WEEKDAY(DATE(K274,1,4),2)-1)/7)+1</x:f>
        <x:v>20</x:v>
      </x:c>
      <x:c r="M274" s="1" t="str">
        <x:f>A274&amp;"|"&amp;B274</x:f>
        <x:v>43968|Новосибирск</x:v>
      </x:c>
      <x:c r="N274" s="1" t="n">
        <x:f>COUNTIFS('Лист2'!$F$2:$F$505,M274)</x:f>
        <x:v>1</x:v>
      </x:c>
      <x:c r="O274" s="1"/>
      <x:c r="P274" s="1"/>
      <x:c r="Q274" s="1"/>
    </x:row>
    <x:row r="275" ht="21" customHeight="1">
      <x:c r="A275" s="5" t="n">
        <x:f>'Лист1'!A275</x:f>
        <x:v>43968</x:v>
      </x:c>
      <x:c r="B275" s="1" t="str">
        <x:f>'Лист1'!B275</x:f>
        <x:v>Пермь</x:v>
      </x:c>
      <x:c r="C275" s="1" t="n">
        <x:f>'Лист1'!C275</x:f>
        <x:v>15609</x:v>
      </x:c>
      <x:c r="D275" s="6" t="n">
        <x:f>'Лист1'!D275</x:f>
        <x:v>1377577.5</x:v>
      </x:c>
      <x:c r="E275" s="6" t="n">
        <x:f>'Лист1'!E275</x:f>
        <x:v>1086345.0159999998</x:v>
      </x:c>
      <x:c r="F275" s="6" t="n">
        <x:f>'Лист1'!F275</x:f>
        <x:v>224718.4076923077</x:v>
      </x:c>
      <x:c r="G275" s="1" t="n">
        <x:f>IF(N275=1,SUMIFS('Лист2'!$C$2:$C$505,'Лист2'!$A$2:$A$505,A275,'Лист2'!$B$2:$B$505,B275),NA())</x:f>
        <x:v>15</x:v>
      </x:c>
      <x:c r="H275" s="1" t="n">
        <x:f>IF(N275=1,SUMIFS('Лист2'!$D$2:$D$505,'Лист2'!$A$2:$A$505,A275,'Лист2'!$B$2:$B$505,B275),NA())</x:f>
        <x:v>971</x:v>
      </x:c>
      <x:c r="I275" s="1" t="n">
        <x:f>IF(N275=1,SUMIFS('Лист2'!$E$2:$E$505,'Лист2'!$A$2:$A$505,A275,'Лист2'!$B$2:$B$505,B275),NA())</x:f>
        <x:v>856</x:v>
      </x:c>
      <x:c r="J275" s="5" t="n">
        <x:f>A275-WEEKDAY(A275,2)+1</x:f>
        <x:v>43962</x:v>
      </x:c>
      <x:c r="K275" s="1" t="n">
        <x:f>YEAR(J275+3)</x:f>
        <x:v>2020</x:v>
      </x:c>
      <x:c r="L275" s="1" t="n">
        <x:f>INT((J275-DATE(K275,1,4)+WEEKDAY(DATE(K275,1,4),2)-1)/7)+1</x:f>
        <x:v>20</x:v>
      </x:c>
      <x:c r="M275" s="1" t="str">
        <x:f>A275&amp;"|"&amp;B275</x:f>
        <x:v>43968|Пермь</x:v>
      </x:c>
      <x:c r="N275" s="1" t="n">
        <x:f>COUNTIFS('Лист2'!$F$2:$F$505,M275)</x:f>
        <x:v>1</x:v>
      </x:c>
      <x:c r="O275" s="1"/>
      <x:c r="P275" s="1"/>
      <x:c r="Q275" s="1"/>
    </x:row>
    <x:row r="276" ht="21" customHeight="1">
      <x:c r="A276" s="5" t="n">
        <x:f>'Лист1'!A276</x:f>
        <x:v>43968</x:v>
      </x:c>
      <x:c r="B276" s="1" t="str">
        <x:f>'Лист1'!B276</x:f>
        <x:v>Ростов-на-Дону</x:v>
      </x:c>
      <x:c r="C276" s="1" t="n">
        <x:f>'Лист1'!C276</x:f>
        <x:v>11967</x:v>
      </x:c>
      <x:c r="D276" s="6" t="n">
        <x:f>'Лист1'!D276</x:f>
        <x:v>1060489.5</x:v>
      </x:c>
      <x:c r="E276" s="6" t="n">
        <x:f>'Лист1'!E276</x:f>
        <x:v>851805.179</x:v>
      </x:c>
      <x:c r="F276" s="6" t="n">
        <x:f>'Лист1'!F276</x:f>
        <x:v>171981.49101538458</x:v>
      </x:c>
      <x:c r="G276" s="1" t="n">
        <x:f>IF(N276=1,SUMIFS('Лист2'!$C$2:$C$505,'Лист2'!$A$2:$A$505,A276,'Лист2'!$B$2:$B$505,B276),NA())</x:f>
        <x:v>15</x:v>
      </x:c>
      <x:c r="H276" s="1" t="n">
        <x:f>IF(N276=1,SUMIFS('Лист2'!$D$2:$D$505,'Лист2'!$A$2:$A$505,A276,'Лист2'!$B$2:$B$505,B276),NA())</x:f>
        <x:v>692</x:v>
      </x:c>
      <x:c r="I276" s="1" t="n">
        <x:f>IF(N276=1,SUMIFS('Лист2'!$E$2:$E$505,'Лист2'!$A$2:$A$505,A276,'Лист2'!$B$2:$B$505,B276),NA())</x:f>
        <x:v>591</x:v>
      </x:c>
      <x:c r="J276" s="5" t="n">
        <x:f>A276-WEEKDAY(A276,2)+1</x:f>
        <x:v>43962</x:v>
      </x:c>
      <x:c r="K276" s="1" t="n">
        <x:f>YEAR(J276+3)</x:f>
        <x:v>2020</x:v>
      </x:c>
      <x:c r="L276" s="1" t="n">
        <x:f>INT((J276-DATE(K276,1,4)+WEEKDAY(DATE(K276,1,4),2)-1)/7)+1</x:f>
        <x:v>20</x:v>
      </x:c>
      <x:c r="M276" s="1" t="str">
        <x:f>A276&amp;"|"&amp;B276</x:f>
        <x:v>43968|Ростов-на-Дону</x:v>
      </x:c>
      <x:c r="N276" s="1" t="n">
        <x:f>COUNTIFS('Лист2'!$F$2:$F$505,M276)</x:f>
        <x:v>1</x:v>
      </x:c>
      <x:c r="O276" s="1"/>
      <x:c r="P276" s="1"/>
      <x:c r="Q276" s="1"/>
    </x:row>
    <x:row r="277" ht="21" customHeight="1">
      <x:c r="A277" s="5" t="n">
        <x:f>'Лист1'!A277</x:f>
        <x:v>43968</x:v>
      </x:c>
      <x:c r="B277" s="1" t="str">
        <x:f>'Лист1'!B277</x:f>
        <x:v>Санкт-Петербург Север</x:v>
      </x:c>
      <x:c r="C277" s="1" t="n">
        <x:f>'Лист1'!C277</x:f>
        <x:v>357072</x:v>
      </x:c>
      <x:c r="D277" s="6" t="n">
        <x:f>'Лист1'!D277</x:f>
        <x:v>36834567</x:v>
      </x:c>
      <x:c r="E277" s="6" t="n">
        <x:f>'Лист1'!E277</x:f>
        <x:v>26914635.671</x:v>
      </x:c>
      <x:c r="F277" s="6" t="n">
        <x:f>'Лист1'!F277</x:f>
        <x:v>566638.9257538462</x:v>
      </x:c>
      <x:c r="G277" s="1" t="n">
        <x:f>IF(N277=1,SUMIFS('Лист2'!$C$2:$C$505,'Лист2'!$A$2:$A$505,A277,'Лист2'!$B$2:$B$505,B277),NA())</x:f>
        <x:v>125</x:v>
      </x:c>
      <x:c r="H277" s="1" t="n">
        <x:f>IF(N277=1,SUMIFS('Лист2'!$D$2:$D$505,'Лист2'!$A$2:$A$505,A277,'Лист2'!$B$2:$B$505,B277),NA())</x:f>
        <x:v>20079</x:v>
      </x:c>
      <x:c r="I277" s="1" t="n">
        <x:f>IF(N277=1,SUMIFS('Лист2'!$E$2:$E$505,'Лист2'!$A$2:$A$505,A277,'Лист2'!$B$2:$B$505,B277),NA())</x:f>
        <x:v>18721</x:v>
      </x:c>
      <x:c r="J277" s="5" t="n">
        <x:f>A277-WEEKDAY(A277,2)+1</x:f>
        <x:v>43962</x:v>
      </x:c>
      <x:c r="K277" s="1" t="n">
        <x:f>YEAR(J277+3)</x:f>
        <x:v>2020</x:v>
      </x:c>
      <x:c r="L277" s="1" t="n">
        <x:f>INT((J277-DATE(K277,1,4)+WEEKDAY(DATE(K277,1,4),2)-1)/7)+1</x:f>
        <x:v>20</x:v>
      </x:c>
      <x:c r="M277" s="1" t="str">
        <x:f>A277&amp;"|"&amp;B277</x:f>
        <x:v>43968|Санкт-Петербург Север</x:v>
      </x:c>
      <x:c r="N277" s="1" t="n">
        <x:f>COUNTIFS('Лист2'!$F$2:$F$505,M277)</x:f>
        <x:v>1</x:v>
      </x:c>
      <x:c r="O277" s="1"/>
      <x:c r="P277" s="1"/>
      <x:c r="Q277" s="1"/>
    </x:row>
    <x:row r="278" ht="21" customHeight="1">
      <x:c r="A278" s="5" t="n">
        <x:f>'Лист1'!A278</x:f>
        <x:v>43968</x:v>
      </x:c>
      <x:c r="B278" s="1" t="str">
        <x:f>'Лист1'!B278</x:f>
        <x:v>Санкт-Петербург Юг</x:v>
      </x:c>
      <x:c r="C278" s="1" t="n">
        <x:f>'Лист1'!C278</x:f>
        <x:v>269029.5</x:v>
      </x:c>
      <x:c r="D278" s="6" t="n">
        <x:f>'Лист1'!D278</x:f>
        <x:v>26659930.5</x:v>
      </x:c>
      <x:c r="E278" s="6" t="n">
        <x:f>'Лист1'!E278</x:f>
        <x:v>19515982.116</x:v>
      </x:c>
      <x:c r="F278" s="6" t="n">
        <x:f>'Лист1'!F278</x:f>
        <x:v>551393.4769230769</x:v>
      </x:c>
      <x:c r="G278" s="1" t="n">
        <x:f>IF(N278=1,SUMIFS('Лист2'!$C$2:$C$505,'Лист2'!$A$2:$A$505,A278,'Лист2'!$B$2:$B$505,B278),NA())</x:f>
        <x:v>129</x:v>
      </x:c>
      <x:c r="H278" s="1" t="n">
        <x:f>IF(N278=1,SUMIFS('Лист2'!$D$2:$D$505,'Лист2'!$A$2:$A$505,A278,'Лист2'!$B$2:$B$505,B278),NA())</x:f>
        <x:v>15744</x:v>
      </x:c>
      <x:c r="I278" s="1" t="n">
        <x:f>IF(N278=1,SUMIFS('Лист2'!$E$2:$E$505,'Лист2'!$A$2:$A$505,A278,'Лист2'!$B$2:$B$505,B278),NA())</x:f>
        <x:v>14685</x:v>
      </x:c>
      <x:c r="J278" s="5" t="n">
        <x:f>A278-WEEKDAY(A278,2)+1</x:f>
        <x:v>43962</x:v>
      </x:c>
      <x:c r="K278" s="1" t="n">
        <x:f>YEAR(J278+3)</x:f>
        <x:v>2020</x:v>
      </x:c>
      <x:c r="L278" s="1" t="n">
        <x:f>INT((J278-DATE(K278,1,4)+WEEKDAY(DATE(K278,1,4),2)-1)/7)+1</x:f>
        <x:v>20</x:v>
      </x:c>
      <x:c r="M278" s="1" t="str">
        <x:f>A278&amp;"|"&amp;B278</x:f>
        <x:v>43968|Санкт-Петербург Юг</x:v>
      </x:c>
      <x:c r="N278" s="1" t="n">
        <x:f>COUNTIFS('Лист2'!$F$2:$F$505,M278)</x:f>
        <x:v>1</x:v>
      </x:c>
      <x:c r="O278" s="1"/>
      <x:c r="P278" s="1"/>
      <x:c r="Q278" s="1"/>
    </x:row>
    <x:row r="279" ht="21" customHeight="1">
      <x:c r="A279" s="5" t="n">
        <x:f>'Лист1'!A279</x:f>
        <x:v>43968</x:v>
      </x:c>
      <x:c r="B279" s="1" t="str">
        <x:f>'Лист1'!B279</x:f>
        <x:v>Тольятти</x:v>
      </x:c>
      <x:c r="C279" s="1" t="n">
        <x:f>'Лист1'!C279</x:f>
        <x:v>10402.5</x:v>
      </x:c>
      <x:c r="D279" s="6" t="n">
        <x:f>'Лист1'!D279</x:f>
        <x:v>843727.5</x:v>
      </x:c>
      <x:c r="E279" s="6" t="n">
        <x:f>'Лист1'!E279</x:f>
        <x:v>729677.519</x:v>
      </x:c>
      <x:c r="F279" s="6" t="n">
        <x:f>'Лист1'!F279</x:f>
        <x:v>140731.9646153846</x:v>
      </x:c>
      <x:c r="G279" s="1" t="n">
        <x:f>IF(N279=1,SUMIFS('Лист2'!$C$2:$C$505,'Лист2'!$A$2:$A$505,A279,'Лист2'!$B$2:$B$505,B279),NA())</x:f>
        <x:v>10</x:v>
      </x:c>
      <x:c r="H279" s="1" t="n">
        <x:f>IF(N279=1,SUMIFS('Лист2'!$D$2:$D$505,'Лист2'!$A$2:$A$505,A279,'Лист2'!$B$2:$B$505,B279),NA())</x:f>
        <x:v>591</x:v>
      </x:c>
      <x:c r="I279" s="1" t="n">
        <x:f>IF(N279=1,SUMIFS('Лист2'!$E$2:$E$505,'Лист2'!$A$2:$A$505,A279,'Лист2'!$B$2:$B$505,B279),NA())</x:f>
        <x:v>513</x:v>
      </x:c>
      <x:c r="J279" s="5" t="n">
        <x:f>A279-WEEKDAY(A279,2)+1</x:f>
        <x:v>43962</x:v>
      </x:c>
      <x:c r="K279" s="1" t="n">
        <x:f>YEAR(J279+3)</x:f>
        <x:v>2020</x:v>
      </x:c>
      <x:c r="L279" s="1" t="n">
        <x:f>INT((J279-DATE(K279,1,4)+WEEKDAY(DATE(K279,1,4),2)-1)/7)+1</x:f>
        <x:v>20</x:v>
      </x:c>
      <x:c r="M279" s="1" t="str">
        <x:f>A279&amp;"|"&amp;B279</x:f>
        <x:v>43968|Тольятти</x:v>
      </x:c>
      <x:c r="N279" s="1" t="n">
        <x:f>COUNTIFS('Лист2'!$F$2:$F$505,M279)</x:f>
        <x:v>1</x:v>
      </x:c>
      <x:c r="O279" s="1"/>
      <x:c r="P279" s="1"/>
      <x:c r="Q279" s="1"/>
    </x:row>
    <x:row r="280" ht="21" customHeight="1">
      <x:c r="A280" s="5" t="n">
        <x:f>'Лист1'!A280</x:f>
        <x:v>43969</x:v>
      </x:c>
      <x:c r="B280" s="1" t="str">
        <x:f>'Лист1'!B280</x:f>
        <x:v>Волгоград</x:v>
      </x:c>
      <x:c r="C280" s="1" t="n">
        <x:f>'Лист1'!C280</x:f>
        <x:v>70278</x:v>
      </x:c>
      <x:c r="D280" s="6" t="n">
        <x:f>'Лист1'!D280</x:f>
        <x:v>5798476.5</x:v>
      </x:c>
      <x:c r="E280" s="6" t="n">
        <x:f>'Лист1'!E280</x:f>
        <x:v>4485664.506</x:v>
      </x:c>
      <x:c r="F280" s="6" t="n">
        <x:f>'Лист1'!F280</x:f>
        <x:v>182019.63597692308</x:v>
      </x:c>
      <x:c r="G280" s="1" t="n">
        <x:f>IF(N280=1,SUMIFS('Лист2'!$C$2:$C$505,'Лист2'!$A$2:$A$505,A280,'Лист2'!$B$2:$B$505,B280),NA())</x:f>
        <x:v>36</x:v>
      </x:c>
      <x:c r="H280" s="1" t="n">
        <x:f>IF(N280=1,SUMIFS('Лист2'!$D$2:$D$505,'Лист2'!$A$2:$A$505,A280,'Лист2'!$B$2:$B$505,B280),NA())</x:f>
        <x:v>4885</x:v>
      </x:c>
      <x:c r="I280" s="1" t="n">
        <x:f>IF(N280=1,SUMIFS('Лист2'!$E$2:$E$505,'Лист2'!$A$2:$A$505,A280,'Лист2'!$B$2:$B$505,B280),NA())</x:f>
        <x:v>4502</x:v>
      </x:c>
      <x:c r="J280" s="5" t="n">
        <x:f>A280-WEEKDAY(A280,2)+1</x:f>
        <x:v>43969</x:v>
      </x:c>
      <x:c r="K280" s="1" t="n">
        <x:f>YEAR(J280+3)</x:f>
        <x:v>2020</x:v>
      </x:c>
      <x:c r="L280" s="1" t="n">
        <x:f>INT((J280-DATE(K280,1,4)+WEEKDAY(DATE(K280,1,4),2)-1)/7)+1</x:f>
        <x:v>21</x:v>
      </x:c>
      <x:c r="M280" s="1" t="str">
        <x:f>A280&amp;"|"&amp;B280</x:f>
        <x:v>43969|Волгоград</x:v>
      </x:c>
      <x:c r="N280" s="1" t="n">
        <x:f>COUNTIFS('Лист2'!$F$2:$F$505,M280)</x:f>
        <x:v>1</x:v>
      </x:c>
      <x:c r="O280" s="1"/>
      <x:c r="P280" s="1"/>
      <x:c r="Q280" s="1"/>
    </x:row>
    <x:row r="281" ht="21" customHeight="1">
      <x:c r="A281" s="5" t="n">
        <x:f>'Лист1'!A281</x:f>
        <x:v>43969</x:v>
      </x:c>
      <x:c r="B281" s="1" t="str">
        <x:f>'Лист1'!B281</x:f>
        <x:v>Екатеринбург</x:v>
      </x:c>
      <x:c r="C281" s="1" t="n">
        <x:f>'Лист1'!C281</x:f>
        <x:v>78058.5</x:v>
      </x:c>
      <x:c r="D281" s="6" t="n">
        <x:f>'Лист1'!D281</x:f>
        <x:v>6609714</x:v>
      </x:c>
      <x:c r="E281" s="6" t="n">
        <x:f>'Лист1'!E281</x:f>
        <x:v>5024858.793</x:v>
      </x:c>
      <x:c r="F281" s="6" t="n">
        <x:f>'Лист1'!F281</x:f>
        <x:v>140406.0769230769</x:v>
      </x:c>
      <x:c r="G281" s="1" t="n">
        <x:f>IF(N281=1,SUMIFS('Лист2'!$C$2:$C$505,'Лист2'!$A$2:$A$505,A281,'Лист2'!$B$2:$B$505,B281),NA())</x:f>
        <x:v>31</x:v>
      </x:c>
      <x:c r="H281" s="1" t="n">
        <x:f>IF(N281=1,SUMIFS('Лист2'!$D$2:$D$505,'Лист2'!$A$2:$A$505,A281,'Лист2'!$B$2:$B$505,B281),NA())</x:f>
        <x:v>5165</x:v>
      </x:c>
      <x:c r="I281" s="1" t="n">
        <x:f>IF(N281=1,SUMIFS('Лист2'!$E$2:$E$505,'Лист2'!$A$2:$A$505,A281,'Лист2'!$B$2:$B$505,B281),NA())</x:f>
        <x:v>4813</x:v>
      </x:c>
      <x:c r="J281" s="5" t="n">
        <x:f>A281-WEEKDAY(A281,2)+1</x:f>
        <x:v>43969</x:v>
      </x:c>
      <x:c r="K281" s="1" t="n">
        <x:f>YEAR(J281+3)</x:f>
        <x:v>2020</x:v>
      </x:c>
      <x:c r="L281" s="1" t="n">
        <x:f>INT((J281-DATE(K281,1,4)+WEEKDAY(DATE(K281,1,4),2)-1)/7)+1</x:f>
        <x:v>21</x:v>
      </x:c>
      <x:c r="M281" s="1" t="str">
        <x:f>A281&amp;"|"&amp;B281</x:f>
        <x:v>43969|Екатеринбург</x:v>
      </x:c>
      <x:c r="N281" s="1" t="n">
        <x:f>COUNTIFS('Лист2'!$F$2:$F$505,M281)</x:f>
        <x:v>1</x:v>
      </x:c>
      <x:c r="O281" s="1"/>
      <x:c r="P281" s="1"/>
      <x:c r="Q281" s="1"/>
    </x:row>
    <x:row r="282" ht="21" customHeight="1">
      <x:c r="A282" s="5" t="n">
        <x:f>'Лист1'!A282</x:f>
        <x:v>43969</x:v>
      </x:c>
      <x:c r="B282" s="1" t="str">
        <x:f>'Лист1'!B282</x:f>
        <x:v>Казань</x:v>
      </x:c>
      <x:c r="C282" s="1" t="n">
        <x:f>'Лист1'!C282</x:f>
        <x:v>36655.5</x:v>
      </x:c>
      <x:c r="D282" s="6" t="n">
        <x:f>'Лист1'!D282</x:f>
        <x:v>3360135</x:v>
      </x:c>
      <x:c r="E282" s="6" t="n">
        <x:f>'Лист1'!E282</x:f>
        <x:v>2596293.8219999997</x:v>
      </x:c>
      <x:c r="F282" s="6" t="n">
        <x:f>'Лист1'!F282</x:f>
        <x:v>202175.53846153847</x:v>
      </x:c>
      <x:c r="G282" s="1" t="n">
        <x:f>IF(N282=1,SUMIFS('Лист2'!$C$2:$C$505,'Лист2'!$A$2:$A$505,A282,'Лист2'!$B$2:$B$505,B282),NA())</x:f>
        <x:v>21</x:v>
      </x:c>
      <x:c r="H282" s="1" t="n">
        <x:f>IF(N282=1,SUMIFS('Лист2'!$D$2:$D$505,'Лист2'!$A$2:$A$505,A282,'Лист2'!$B$2:$B$505,B282),NA())</x:f>
        <x:v>2136</x:v>
      </x:c>
      <x:c r="I282" s="1" t="n">
        <x:f>IF(N282=1,SUMIFS('Лист2'!$E$2:$E$505,'Лист2'!$A$2:$A$505,A282,'Лист2'!$B$2:$B$505,B282),NA())</x:f>
        <x:v>1947</x:v>
      </x:c>
      <x:c r="J282" s="5" t="n">
        <x:f>A282-WEEKDAY(A282,2)+1</x:f>
        <x:v>43969</x:v>
      </x:c>
      <x:c r="K282" s="1" t="n">
        <x:f>YEAR(J282+3)</x:f>
        <x:v>2020</x:v>
      </x:c>
      <x:c r="L282" s="1" t="n">
        <x:f>INT((J282-DATE(K282,1,4)+WEEKDAY(DATE(K282,1,4),2)-1)/7)+1</x:f>
        <x:v>21</x:v>
      </x:c>
      <x:c r="M282" s="1" t="str">
        <x:f>A282&amp;"|"&amp;B282</x:f>
        <x:v>43969|Казань</x:v>
      </x:c>
      <x:c r="N282" s="1" t="n">
        <x:f>COUNTIFS('Лист2'!$F$2:$F$505,M282)</x:f>
        <x:v>1</x:v>
      </x:c>
      <x:c r="O282" s="1"/>
      <x:c r="P282" s="1"/>
      <x:c r="Q282" s="1"/>
    </x:row>
    <x:row r="283" ht="21" customHeight="1">
      <x:c r="A283" s="5" t="n">
        <x:f>'Лист1'!A283</x:f>
        <x:v>43969</x:v>
      </x:c>
      <x:c r="B283" s="1" t="str">
        <x:f>'Лист1'!B283</x:f>
        <x:v>Кемерово</x:v>
      </x:c>
      <x:c r="C283" s="1" t="n">
        <x:f>'Лист1'!C283</x:f>
        <x:v>31329</x:v>
      </x:c>
      <x:c r="D283" s="6" t="n">
        <x:f>'Лист1'!D283</x:f>
        <x:v>2826379.5</x:v>
      </x:c>
      <x:c r="E283" s="6" t="n">
        <x:f>'Лист1'!E283</x:f>
        <x:v>2229453.508</x:v>
      </x:c>
      <x:c r="F283" s="6" t="n">
        <x:f>'Лист1'!F283</x:f>
        <x:v>331756.1807230769</x:v>
      </x:c>
      <x:c r="G283" s="1" t="n">
        <x:f>IF(N283=1,SUMIFS('Лист2'!$C$2:$C$505,'Лист2'!$A$2:$A$505,A283,'Лист2'!$B$2:$B$505,B283),NA())</x:f>
        <x:v>21</x:v>
      </x:c>
      <x:c r="H283" s="1" t="n">
        <x:f>IF(N283=1,SUMIFS('Лист2'!$D$2:$D$505,'Лист2'!$A$2:$A$505,A283,'Лист2'!$B$2:$B$505,B283),NA())</x:f>
        <x:v>1834</x:v>
      </x:c>
      <x:c r="I283" s="1" t="n">
        <x:f>IF(N283=1,SUMIFS('Лист2'!$E$2:$E$505,'Лист2'!$A$2:$A$505,A283,'Лист2'!$B$2:$B$505,B283),NA())</x:f>
        <x:v>1660</x:v>
      </x:c>
      <x:c r="J283" s="5" t="n">
        <x:f>A283-WEEKDAY(A283,2)+1</x:f>
        <x:v>43969</x:v>
      </x:c>
      <x:c r="K283" s="1" t="n">
        <x:f>YEAR(J283+3)</x:f>
        <x:v>2020</x:v>
      </x:c>
      <x:c r="L283" s="1" t="n">
        <x:f>INT((J283-DATE(K283,1,4)+WEEKDAY(DATE(K283,1,4),2)-1)/7)+1</x:f>
        <x:v>21</x:v>
      </x:c>
      <x:c r="M283" s="1" t="str">
        <x:f>A283&amp;"|"&amp;B283</x:f>
        <x:v>43969|Кемерово</x:v>
      </x:c>
      <x:c r="N283" s="1" t="n">
        <x:f>COUNTIFS('Лист2'!$F$2:$F$505,M283)</x:f>
        <x:v>1</x:v>
      </x:c>
      <x:c r="O283" s="1"/>
      <x:c r="P283" s="1"/>
      <x:c r="Q283" s="1"/>
    </x:row>
    <x:row r="284" ht="21" customHeight="1">
      <x:c r="A284" s="5" t="n">
        <x:f>'Лист1'!A284</x:f>
        <x:v>43969</x:v>
      </x:c>
      <x:c r="B284" s="1" t="str">
        <x:f>'Лист1'!B284</x:f>
        <x:v>Краснодар</x:v>
      </x:c>
      <x:c r="C284" s="1" t="n">
        <x:f>'Лист1'!C284</x:f>
        <x:v>27181.5</x:v>
      </x:c>
      <x:c r="D284" s="6" t="n">
        <x:f>'Лист1'!D284</x:f>
        <x:v>2324490</x:v>
      </x:c>
      <x:c r="E284" s="6" t="n">
        <x:f>'Лист1'!E284</x:f>
        <x:v>1796459.479</x:v>
      </x:c>
      <x:c r="F284" s="6" t="n">
        <x:f>'Лист1'!F284</x:f>
        <x:v>129793.76153846155</x:v>
      </x:c>
      <x:c r="G284" s="1" t="n">
        <x:f>IF(N284=1,SUMIFS('Лист2'!$C$2:$C$505,'Лист2'!$A$2:$A$505,A284,'Лист2'!$B$2:$B$505,B284),NA())</x:f>
        <x:v>19</x:v>
      </x:c>
      <x:c r="H284" s="1" t="n">
        <x:f>IF(N284=1,SUMIFS('Лист2'!$D$2:$D$505,'Лист2'!$A$2:$A$505,A284,'Лист2'!$B$2:$B$505,B284),NA())</x:f>
        <x:v>1741</x:v>
      </x:c>
      <x:c r="I284" s="1" t="n">
        <x:f>IF(N284=1,SUMIFS('Лист2'!$E$2:$E$505,'Лист2'!$A$2:$A$505,A284,'Лист2'!$B$2:$B$505,B284),NA())</x:f>
        <x:v>1597</x:v>
      </x:c>
      <x:c r="J284" s="5" t="n">
        <x:f>A284-WEEKDAY(A284,2)+1</x:f>
        <x:v>43969</x:v>
      </x:c>
      <x:c r="K284" s="1" t="n">
        <x:f>YEAR(J284+3)</x:f>
        <x:v>2020</x:v>
      </x:c>
      <x:c r="L284" s="1" t="n">
        <x:f>INT((J284-DATE(K284,1,4)+WEEKDAY(DATE(K284,1,4),2)-1)/7)+1</x:f>
        <x:v>21</x:v>
      </x:c>
      <x:c r="M284" s="1" t="str">
        <x:f>A284&amp;"|"&amp;B284</x:f>
        <x:v>43969|Краснодар</x:v>
      </x:c>
      <x:c r="N284" s="1" t="n">
        <x:f>COUNTIFS('Лист2'!$F$2:$F$505,M284)</x:f>
        <x:v>1</x:v>
      </x:c>
      <x:c r="O284" s="1"/>
      <x:c r="P284" s="1"/>
      <x:c r="Q284" s="1"/>
    </x:row>
    <x:row r="285" ht="21" customHeight="1">
      <x:c r="A285" s="5" t="n">
        <x:f>'Лист1'!A285</x:f>
        <x:v>43969</x:v>
      </x:c>
      <x:c r="B285" s="1" t="str">
        <x:f>'Лист1'!B285</x:f>
        <x:v>Москва Восток</x:v>
      </x:c>
      <x:c r="C285" s="1" t="n">
        <x:f>'Лист1'!C285</x:f>
        <x:v>196560</x:v>
      </x:c>
      <x:c r="D285" s="6" t="n">
        <x:f>'Лист1'!D285</x:f>
        <x:v>19855122</x:v>
      </x:c>
      <x:c r="E285" s="6" t="n">
        <x:f>'Лист1'!E285</x:f>
        <x:v>14172342.451</x:v>
      </x:c>
      <x:c r="F285" s="6" t="n">
        <x:f>'Лист1'!F285</x:f>
        <x:v>269626.3076923077</x:v>
      </x:c>
      <x:c r="G285" s="1" t="n">
        <x:f>IF(N285=1,SUMIFS('Лист2'!$C$2:$C$505,'Лист2'!$A$2:$A$505,A285,'Лист2'!$B$2:$B$505,B285),NA())</x:f>
        <x:v>54</x:v>
      </x:c>
      <x:c r="H285" s="1" t="n">
        <x:f>IF(N285=1,SUMIFS('Лист2'!$D$2:$D$505,'Лист2'!$A$2:$A$505,A285,'Лист2'!$B$2:$B$505,B285),NA())</x:f>
        <x:v>12012</x:v>
      </x:c>
      <x:c r="I285" s="1" t="n">
        <x:f>IF(N285=1,SUMIFS('Лист2'!$E$2:$E$505,'Лист2'!$A$2:$A$505,A285,'Лист2'!$B$2:$B$505,B285),NA())</x:f>
        <x:v>11308</x:v>
      </x:c>
      <x:c r="J285" s="5" t="n">
        <x:f>A285-WEEKDAY(A285,2)+1</x:f>
        <x:v>43969</x:v>
      </x:c>
      <x:c r="K285" s="1" t="n">
        <x:f>YEAR(J285+3)</x:f>
        <x:v>2020</x:v>
      </x:c>
      <x:c r="L285" s="1" t="n">
        <x:f>INT((J285-DATE(K285,1,4)+WEEKDAY(DATE(K285,1,4),2)-1)/7)+1</x:f>
        <x:v>21</x:v>
      </x:c>
      <x:c r="M285" s="1" t="str">
        <x:f>A285&amp;"|"&amp;B285</x:f>
        <x:v>43969|Москва Восток</x:v>
      </x:c>
      <x:c r="N285" s="1" t="n">
        <x:f>COUNTIFS('Лист2'!$F$2:$F$505,M285)</x:f>
        <x:v>1</x:v>
      </x:c>
      <x:c r="O285" s="1"/>
      <x:c r="P285" s="1"/>
      <x:c r="Q285" s="1"/>
    </x:row>
    <x:row r="286" ht="21" customHeight="1">
      <x:c r="A286" s="5" t="n">
        <x:f>'Лист1'!A286</x:f>
        <x:v>43969</x:v>
      </x:c>
      <x:c r="B286" s="1" t="str">
        <x:f>'Лист1'!B286</x:f>
        <x:v>Москва Запад</x:v>
      </x:c>
      <x:c r="C286" s="1" t="n">
        <x:f>'Лист1'!C286</x:f>
        <x:v>201999</x:v>
      </x:c>
      <x:c r="D286" s="6" t="n">
        <x:f>'Лист1'!D286</x:f>
        <x:v>20422435.5</x:v>
      </x:c>
      <x:c r="E286" s="6" t="n">
        <x:f>'Лист1'!E286</x:f>
        <x:v>14541626.939999998</x:v>
      </x:c>
      <x:c r="F286" s="6" t="n">
        <x:f>'Лист1'!F286</x:f>
        <x:v>279597.8615384615</x:v>
      </x:c>
      <x:c r="G286" s="1" t="n">
        <x:f>IF(N286=1,SUMIFS('Лист2'!$C$2:$C$505,'Лист2'!$A$2:$A$505,A286,'Лист2'!$B$2:$B$505,B286),NA())</x:f>
        <x:v>60</x:v>
      </x:c>
      <x:c r="H286" s="1" t="n">
        <x:f>IF(N286=1,SUMIFS('Лист2'!$D$2:$D$505,'Лист2'!$A$2:$A$505,A286,'Лист2'!$B$2:$B$505,B286),NA())</x:f>
        <x:v>12460</x:v>
      </x:c>
      <x:c r="I286" s="1" t="n">
        <x:f>IF(N286=1,SUMIFS('Лист2'!$E$2:$E$505,'Лист2'!$A$2:$A$505,A286,'Лист2'!$B$2:$B$505,B286),NA())</x:f>
        <x:v>11665</x:v>
      </x:c>
      <x:c r="J286" s="5" t="n">
        <x:f>A286-WEEKDAY(A286,2)+1</x:f>
        <x:v>43969</x:v>
      </x:c>
      <x:c r="K286" s="1" t="n">
        <x:f>YEAR(J286+3)</x:f>
        <x:v>2020</x:v>
      </x:c>
      <x:c r="L286" s="1" t="n">
        <x:f>INT((J286-DATE(K286,1,4)+WEEKDAY(DATE(K286,1,4),2)-1)/7)+1</x:f>
        <x:v>21</x:v>
      </x:c>
      <x:c r="M286" s="1" t="str">
        <x:f>A286&amp;"|"&amp;B286</x:f>
        <x:v>43969|Москва Запад</x:v>
      </x:c>
      <x:c r="N286" s="1" t="n">
        <x:f>COUNTIFS('Лист2'!$F$2:$F$505,M286)</x:f>
        <x:v>1</x:v>
      </x:c>
      <x:c r="O286" s="1"/>
      <x:c r="P286" s="1"/>
      <x:c r="Q286" s="1"/>
    </x:row>
    <x:row r="287" ht="21" customHeight="1">
      <x:c r="A287" s="5" t="n">
        <x:f>'Лист1'!A287</x:f>
        <x:v>43969</x:v>
      </x:c>
      <x:c r="B287" s="1" t="str">
        <x:f>'Лист1'!B287</x:f>
        <x:v>Нижний Новгород</x:v>
      </x:c>
      <x:c r="C287" s="1" t="n">
        <x:f>'Лист1'!C287</x:f>
        <x:v>28668</x:v>
      </x:c>
      <x:c r="D287" s="6" t="n">
        <x:f>'Лист1'!D287</x:f>
        <x:v>2588148</x:v>
      </x:c>
      <x:c r="E287" s="6" t="n">
        <x:f>'Лист1'!E287</x:f>
        <x:v>2042294.167</x:v>
      </x:c>
      <x:c r="F287" s="6" t="n">
        <x:f>'Лист1'!F287</x:f>
        <x:v>160977.42935384615</x:v>
      </x:c>
      <x:c r="G287" s="1" t="n">
        <x:f>IF(N287=1,SUMIFS('Лист2'!$C$2:$C$505,'Лист2'!$A$2:$A$505,A287,'Лист2'!$B$2:$B$505,B287),NA())</x:f>
        <x:v>19</x:v>
      </x:c>
      <x:c r="H287" s="1" t="n">
        <x:f>IF(N287=1,SUMIFS('Лист2'!$D$2:$D$505,'Лист2'!$A$2:$A$505,A287,'Лист2'!$B$2:$B$505,B287),NA())</x:f>
        <x:v>1858</x:v>
      </x:c>
      <x:c r="I287" s="1" t="n">
        <x:f>IF(N287=1,SUMIFS('Лист2'!$E$2:$E$505,'Лист2'!$A$2:$A$505,A287,'Лист2'!$B$2:$B$505,B287),NA())</x:f>
        <x:v>1648</x:v>
      </x:c>
      <x:c r="J287" s="5" t="n">
        <x:f>A287-WEEKDAY(A287,2)+1</x:f>
        <x:v>43969</x:v>
      </x:c>
      <x:c r="K287" s="1" t="n">
        <x:f>YEAR(J287+3)</x:f>
        <x:v>2020</x:v>
      </x:c>
      <x:c r="L287" s="1" t="n">
        <x:f>INT((J287-DATE(K287,1,4)+WEEKDAY(DATE(K287,1,4),2)-1)/7)+1</x:f>
        <x:v>21</x:v>
      </x:c>
      <x:c r="M287" s="1" t="str">
        <x:f>A287&amp;"|"&amp;B287</x:f>
        <x:v>43969|Нижний Новгород</x:v>
      </x:c>
      <x:c r="N287" s="1" t="n">
        <x:f>COUNTIFS('Лист2'!$F$2:$F$505,M287)</x:f>
        <x:v>1</x:v>
      </x:c>
      <x:c r="O287" s="1"/>
      <x:c r="P287" s="1"/>
      <x:c r="Q287" s="1"/>
    </x:row>
    <x:row r="288" ht="21" customHeight="1">
      <x:c r="A288" s="5" t="n">
        <x:f>'Лист1'!A288</x:f>
        <x:v>43969</x:v>
      </x:c>
      <x:c r="B288" s="1" t="str">
        <x:f>'Лист1'!B288</x:f>
        <x:v>Новосибирск</x:v>
      </x:c>
      <x:c r="C288" s="1" t="n">
        <x:f>'Лист1'!C288</x:f>
        <x:v>14497.5</x:v>
      </x:c>
      <x:c r="D288" s="6" t="n">
        <x:f>'Лист1'!D288</x:f>
        <x:v>1230711</x:v>
      </x:c>
      <x:c r="E288" s="6" t="n">
        <x:f>'Лист1'!E288</x:f>
        <x:v>1005560.455</x:v>
      </x:c>
      <x:c r="F288" s="6" t="n">
        <x:f>'Лист1'!F288</x:f>
        <x:v>171097.83406153845</x:v>
      </x:c>
      <x:c r="G288" s="1" t="n">
        <x:f>IF(N288=1,SUMIFS('Лист2'!$C$2:$C$505,'Лист2'!$A$2:$A$505,A288,'Лист2'!$B$2:$B$505,B288),NA())</x:f>
        <x:v>16</x:v>
      </x:c>
      <x:c r="H288" s="1" t="n">
        <x:f>IF(N288=1,SUMIFS('Лист2'!$D$2:$D$505,'Лист2'!$A$2:$A$505,A288,'Лист2'!$B$2:$B$505,B288),NA())</x:f>
        <x:v>864</x:v>
      </x:c>
      <x:c r="I288" s="1" t="n">
        <x:f>IF(N288=1,SUMIFS('Лист2'!$E$2:$E$505,'Лист2'!$A$2:$A$505,A288,'Лист2'!$B$2:$B$505,B288),NA())</x:f>
        <x:v>765</x:v>
      </x:c>
      <x:c r="J288" s="5" t="n">
        <x:f>A288-WEEKDAY(A288,2)+1</x:f>
        <x:v>43969</x:v>
      </x:c>
      <x:c r="K288" s="1" t="n">
        <x:f>YEAR(J288+3)</x:f>
        <x:v>2020</x:v>
      </x:c>
      <x:c r="L288" s="1" t="n">
        <x:f>INT((J288-DATE(K288,1,4)+WEEKDAY(DATE(K288,1,4),2)-1)/7)+1</x:f>
        <x:v>21</x:v>
      </x:c>
      <x:c r="M288" s="1" t="str">
        <x:f>A288&amp;"|"&amp;B288</x:f>
        <x:v>43969|Новосибирск</x:v>
      </x:c>
      <x:c r="N288" s="1" t="n">
        <x:f>COUNTIFS('Лист2'!$F$2:$F$505,M288)</x:f>
        <x:v>1</x:v>
      </x:c>
      <x:c r="O288" s="1"/>
      <x:c r="P288" s="1"/>
      <x:c r="Q288" s="1"/>
    </x:row>
    <x:row r="289" ht="21" customHeight="1">
      <x:c r="A289" s="5" t="n">
        <x:f>'Лист1'!A289</x:f>
        <x:v>43969</x:v>
      </x:c>
      <x:c r="B289" s="1" t="str">
        <x:f>'Лист1'!B289</x:f>
        <x:v>Пермь</x:v>
      </x:c>
      <x:c r="C289" s="1" t="n">
        <x:f>'Лист1'!C289</x:f>
        <x:v>14290.5</x:v>
      </x:c>
      <x:c r="D289" s="6" t="n">
        <x:f>'Лист1'!D289</x:f>
        <x:v>1246162.5</x:v>
      </x:c>
      <x:c r="E289" s="6" t="n">
        <x:f>'Лист1'!E289</x:f>
        <x:v>983143.4899999999</x:v>
      </x:c>
      <x:c r="F289" s="6" t="n">
        <x:f>'Лист1'!F289</x:f>
        <x:v>263823.3461538461</x:v>
      </x:c>
      <x:c r="G289" s="1" t="n">
        <x:f>IF(N289=1,SUMIFS('Лист2'!$C$2:$C$505,'Лист2'!$A$2:$A$505,A289,'Лист2'!$B$2:$B$505,B289),NA())</x:f>
        <x:v>16</x:v>
      </x:c>
      <x:c r="H289" s="1" t="n">
        <x:f>IF(N289=1,SUMIFS('Лист2'!$D$2:$D$505,'Лист2'!$A$2:$A$505,A289,'Лист2'!$B$2:$B$505,B289),NA())</x:f>
        <x:v>925</x:v>
      </x:c>
      <x:c r="I289" s="1" t="n">
        <x:f>IF(N289=1,SUMIFS('Лист2'!$E$2:$E$505,'Лист2'!$A$2:$A$505,A289,'Лист2'!$B$2:$B$505,B289),NA())</x:f>
        <x:v>816</x:v>
      </x:c>
      <x:c r="J289" s="5" t="n">
        <x:f>A289-WEEKDAY(A289,2)+1</x:f>
        <x:v>43969</x:v>
      </x:c>
      <x:c r="K289" s="1" t="n">
        <x:f>YEAR(J289+3)</x:f>
        <x:v>2020</x:v>
      </x:c>
      <x:c r="L289" s="1" t="n">
        <x:f>INT((J289-DATE(K289,1,4)+WEEKDAY(DATE(K289,1,4),2)-1)/7)+1</x:f>
        <x:v>21</x:v>
      </x:c>
      <x:c r="M289" s="1" t="str">
        <x:f>A289&amp;"|"&amp;B289</x:f>
        <x:v>43969|Пермь</x:v>
      </x:c>
      <x:c r="N289" s="1" t="n">
        <x:f>COUNTIFS('Лист2'!$F$2:$F$505,M289)</x:f>
        <x:v>1</x:v>
      </x:c>
      <x:c r="O289" s="1"/>
      <x:c r="P289" s="1"/>
      <x:c r="Q289" s="1"/>
    </x:row>
    <x:row r="290" ht="21" customHeight="1">
      <x:c r="A290" s="5" t="n">
        <x:f>'Лист1'!A290</x:f>
        <x:v>43969</x:v>
      </x:c>
      <x:c r="B290" s="1" t="str">
        <x:f>'Лист1'!B290</x:f>
        <x:v>Ростов-на-Дону</x:v>
      </x:c>
      <x:c r="C290" s="1" t="n">
        <x:f>'Лист1'!C290</x:f>
        <x:v>12450</x:v>
      </x:c>
      <x:c r="D290" s="6" t="n">
        <x:f>'Лист1'!D290</x:f>
        <x:v>1115146.5</x:v>
      </x:c>
      <x:c r="E290" s="6" t="n">
        <x:f>'Лист1'!E290</x:f>
        <x:v>897555.5109999999</x:v>
      </x:c>
      <x:c r="F290" s="6" t="n">
        <x:f>'Лист1'!F290</x:f>
        <x:v>150809.61403846153</x:v>
      </x:c>
      <x:c r="G290" s="1" t="n">
        <x:f>IF(N290=1,SUMIFS('Лист2'!$C$2:$C$505,'Лист2'!$A$2:$A$505,A290,'Лист2'!$B$2:$B$505,B290),NA())</x:f>
        <x:v>15</x:v>
      </x:c>
      <x:c r="H290" s="1" t="n">
        <x:f>IF(N290=1,SUMIFS('Лист2'!$D$2:$D$505,'Лист2'!$A$2:$A$505,A290,'Лист2'!$B$2:$B$505,B290),NA())</x:f>
        <x:v>729</x:v>
      </x:c>
      <x:c r="I290" s="1" t="n">
        <x:f>IF(N290=1,SUMIFS('Лист2'!$E$2:$E$505,'Лист2'!$A$2:$A$505,A290,'Лист2'!$B$2:$B$505,B290),NA())</x:f>
        <x:v>636</x:v>
      </x:c>
      <x:c r="J290" s="5" t="n">
        <x:f>A290-WEEKDAY(A290,2)+1</x:f>
        <x:v>43969</x:v>
      </x:c>
      <x:c r="K290" s="1" t="n">
        <x:f>YEAR(J290+3)</x:f>
        <x:v>2020</x:v>
      </x:c>
      <x:c r="L290" s="1" t="n">
        <x:f>INT((J290-DATE(K290,1,4)+WEEKDAY(DATE(K290,1,4),2)-1)/7)+1</x:f>
        <x:v>21</x:v>
      </x:c>
      <x:c r="M290" s="1" t="str">
        <x:f>A290&amp;"|"&amp;B290</x:f>
        <x:v>43969|Ростов-на-Дону</x:v>
      </x:c>
      <x:c r="N290" s="1" t="n">
        <x:f>COUNTIFS('Лист2'!$F$2:$F$505,M290)</x:f>
        <x:v>1</x:v>
      </x:c>
      <x:c r="O290" s="1"/>
      <x:c r="P290" s="1"/>
      <x:c r="Q290" s="1"/>
    </x:row>
    <x:row r="291" ht="21" customHeight="1">
      <x:c r="A291" s="5" t="n">
        <x:f>'Лист1'!A291</x:f>
        <x:v>43969</x:v>
      </x:c>
      <x:c r="B291" s="1" t="str">
        <x:f>'Лист1'!B291</x:f>
        <x:v>Санкт-Петербург Север</x:v>
      </x:c>
      <x:c r="C291" s="1" t="n">
        <x:f>'Лист1'!C291</x:f>
        <x:v>355081.5</x:v>
      </x:c>
      <x:c r="D291" s="6" t="n">
        <x:f>'Лист1'!D291</x:f>
        <x:v>36876888</x:v>
      </x:c>
      <x:c r="E291" s="6" t="n">
        <x:f>'Лист1'!E291</x:f>
        <x:v>26228948.559</x:v>
      </x:c>
      <x:c r="F291" s="6" t="n">
        <x:f>'Лист1'!F291</x:f>
        <x:v>898617.7503076922</x:v>
      </x:c>
      <x:c r="G291" s="1" t="n">
        <x:f>IF(N291=1,SUMIFS('Лист2'!$C$2:$C$505,'Лист2'!$A$2:$A$505,A291,'Лист2'!$B$2:$B$505,B291),NA())</x:f>
        <x:v>125</x:v>
      </x:c>
      <x:c r="H291" s="1" t="n">
        <x:f>IF(N291=1,SUMIFS('Лист2'!$D$2:$D$505,'Лист2'!$A$2:$A$505,A291,'Лист2'!$B$2:$B$505,B291),NA())</x:f>
        <x:v>20449</x:v>
      </x:c>
      <x:c r="I291" s="1" t="n">
        <x:f>IF(N291=1,SUMIFS('Лист2'!$E$2:$E$505,'Лист2'!$A$2:$A$505,A291,'Лист2'!$B$2:$B$505,B291),NA())</x:f>
        <x:v>19060</x:v>
      </x:c>
      <x:c r="J291" s="5" t="n">
        <x:f>A291-WEEKDAY(A291,2)+1</x:f>
        <x:v>43969</x:v>
      </x:c>
      <x:c r="K291" s="1" t="n">
        <x:f>YEAR(J291+3)</x:f>
        <x:v>2020</x:v>
      </x:c>
      <x:c r="L291" s="1" t="n">
        <x:f>INT((J291-DATE(K291,1,4)+WEEKDAY(DATE(K291,1,4),2)-1)/7)+1</x:f>
        <x:v>21</x:v>
      </x:c>
      <x:c r="M291" s="1" t="str">
        <x:f>A291&amp;"|"&amp;B291</x:f>
        <x:v>43969|Санкт-Петербург Север</x:v>
      </x:c>
      <x:c r="N291" s="1" t="n">
        <x:f>COUNTIFS('Лист2'!$F$2:$F$505,M291)</x:f>
        <x:v>1</x:v>
      </x:c>
      <x:c r="O291" s="1"/>
      <x:c r="P291" s="1"/>
      <x:c r="Q291" s="1"/>
    </x:row>
    <x:row r="292" ht="21" customHeight="1">
      <x:c r="A292" s="5" t="n">
        <x:f>'Лист1'!A292</x:f>
        <x:v>43969</x:v>
      </x:c>
      <x:c r="B292" s="1" t="str">
        <x:f>'Лист1'!B292</x:f>
        <x:v>Санкт-Петербург Юг</x:v>
      </x:c>
      <x:c r="C292" s="1" t="n">
        <x:f>'Лист1'!C292</x:f>
        <x:v>273900</x:v>
      </x:c>
      <x:c r="D292" s="6" t="n">
        <x:f>'Лист1'!D292</x:f>
        <x:v>27535284.147600003</x:v>
      </x:c>
      <x:c r="E292" s="6" t="n">
        <x:f>'Лист1'!E292</x:f>
        <x:v>19680985.969</x:v>
      </x:c>
      <x:c r="F292" s="6" t="n">
        <x:f>'Лист1'!F292</x:f>
        <x:v>764540.5879230769</x:v>
      </x:c>
      <x:c r="G292" s="1" t="n">
        <x:f>IF(N292=1,SUMIFS('Лист2'!$C$2:$C$505,'Лист2'!$A$2:$A$505,A292,'Лист2'!$B$2:$B$505,B292),NA())</x:f>
        <x:v>129</x:v>
      </x:c>
      <x:c r="H292" s="1" t="n">
        <x:f>IF(N292=1,SUMIFS('Лист2'!$D$2:$D$505,'Лист2'!$A$2:$A$505,A292,'Лист2'!$B$2:$B$505,B292),NA())</x:f>
        <x:v>16110</x:v>
      </x:c>
      <x:c r="I292" s="1" t="n">
        <x:f>IF(N292=1,SUMIFS('Лист2'!$E$2:$E$505,'Лист2'!$A$2:$A$505,A292,'Лист2'!$B$2:$B$505,B292),NA())</x:f>
        <x:v>14992</x:v>
      </x:c>
      <x:c r="J292" s="5" t="n">
        <x:f>A292-WEEKDAY(A292,2)+1</x:f>
        <x:v>43969</x:v>
      </x:c>
      <x:c r="K292" s="1" t="n">
        <x:f>YEAR(J292+3)</x:f>
        <x:v>2020</x:v>
      </x:c>
      <x:c r="L292" s="1" t="n">
        <x:f>INT((J292-DATE(K292,1,4)+WEEKDAY(DATE(K292,1,4),2)-1)/7)+1</x:f>
        <x:v>21</x:v>
      </x:c>
      <x:c r="M292" s="1" t="str">
        <x:f>A292&amp;"|"&amp;B292</x:f>
        <x:v>43969|Санкт-Петербург Юг</x:v>
      </x:c>
      <x:c r="N292" s="1" t="n">
        <x:f>COUNTIFS('Лист2'!$F$2:$F$505,M292)</x:f>
        <x:v>1</x:v>
      </x:c>
      <x:c r="O292" s="1"/>
      <x:c r="P292" s="1"/>
      <x:c r="Q292" s="1"/>
    </x:row>
    <x:row r="293" ht="21" customHeight="1">
      <x:c r="A293" s="5" t="n">
        <x:f>'Лист1'!A293</x:f>
        <x:v>43969</x:v>
      </x:c>
      <x:c r="B293" s="1" t="str">
        <x:f>'Лист1'!B293</x:f>
        <x:v>Тольятти</x:v>
      </x:c>
      <x:c r="C293" s="1" t="n">
        <x:f>'Лист1'!C293</x:f>
        <x:v>11680.5</x:v>
      </x:c>
      <x:c r="D293" s="6" t="n">
        <x:f>'Лист1'!D293</x:f>
        <x:v>936427.5</x:v>
      </x:c>
      <x:c r="E293" s="6" t="n">
        <x:f>'Лист1'!E293</x:f>
        <x:v>813406.684</x:v>
      </x:c>
      <x:c r="F293" s="6" t="n">
        <x:f>'Лист1'!F293</x:f>
        <x:v>117272.7846153846</x:v>
      </x:c>
      <x:c r="G293" s="1" t="n">
        <x:f>IF(N293=1,SUMIFS('Лист2'!$C$2:$C$505,'Лист2'!$A$2:$A$505,A293,'Лист2'!$B$2:$B$505,B293),NA())</x:f>
        <x:v>10</x:v>
      </x:c>
      <x:c r="H293" s="1" t="n">
        <x:f>IF(N293=1,SUMIFS('Лист2'!$D$2:$D$505,'Лист2'!$A$2:$A$505,A293,'Лист2'!$B$2:$B$505,B293),NA())</x:f>
        <x:v>645</x:v>
      </x:c>
      <x:c r="I293" s="1" t="n">
        <x:f>IF(N293=1,SUMIFS('Лист2'!$E$2:$E$505,'Лист2'!$A$2:$A$505,A293,'Лист2'!$B$2:$B$505,B293),NA())</x:f>
        <x:v>565</x:v>
      </x:c>
      <x:c r="J293" s="5" t="n">
        <x:f>A293-WEEKDAY(A293,2)+1</x:f>
        <x:v>43969</x:v>
      </x:c>
      <x:c r="K293" s="1" t="n">
        <x:f>YEAR(J293+3)</x:f>
        <x:v>2020</x:v>
      </x:c>
      <x:c r="L293" s="1" t="n">
        <x:f>INT((J293-DATE(K293,1,4)+WEEKDAY(DATE(K293,1,4),2)-1)/7)+1</x:f>
        <x:v>21</x:v>
      </x:c>
      <x:c r="M293" s="1" t="str">
        <x:f>A293&amp;"|"&amp;B293</x:f>
        <x:v>43969|Тольятти</x:v>
      </x:c>
      <x:c r="N293" s="1" t="n">
        <x:f>COUNTIFS('Лист2'!$F$2:$F$505,M293)</x:f>
        <x:v>1</x:v>
      </x:c>
      <x:c r="O293" s="1"/>
      <x:c r="P293" s="1"/>
      <x:c r="Q293" s="1"/>
    </x:row>
    <x:row r="294" ht="21" customHeight="1">
      <x:c r="A294" s="5" t="n">
        <x:f>'Лист1'!A294</x:f>
        <x:v>43970</x:v>
      </x:c>
      <x:c r="B294" s="1" t="str">
        <x:f>'Лист1'!B294</x:f>
        <x:v>Волгоград</x:v>
      </x:c>
      <x:c r="C294" s="1" t="n">
        <x:f>'Лист1'!C294</x:f>
        <x:v>75796.5</x:v>
      </x:c>
      <x:c r="D294" s="6" t="n">
        <x:f>'Лист1'!D294</x:f>
        <x:v>6173463</x:v>
      </x:c>
      <x:c r="E294" s="6" t="n">
        <x:f>'Лист1'!E294</x:f>
        <x:v>4915101.795</x:v>
      </x:c>
      <x:c r="F294" s="6" t="n">
        <x:f>'Лист1'!F294</x:f>
        <x:v>253686.7171923077</x:v>
      </x:c>
      <x:c r="G294" s="1" t="n">
        <x:f>IF(N294=1,SUMIFS('Лист2'!$C$2:$C$505,'Лист2'!$A$2:$A$505,A294,'Лист2'!$B$2:$B$505,B294),NA())</x:f>
        <x:v>36</x:v>
      </x:c>
      <x:c r="H294" s="1" t="n">
        <x:f>IF(N294=1,SUMIFS('Лист2'!$D$2:$D$505,'Лист2'!$A$2:$A$505,A294,'Лист2'!$B$2:$B$505,B294),NA())</x:f>
        <x:v>5094</x:v>
      </x:c>
      <x:c r="I294" s="1" t="n">
        <x:f>IF(N294=1,SUMIFS('Лист2'!$E$2:$E$505,'Лист2'!$A$2:$A$505,A294,'Лист2'!$B$2:$B$505,B294),NA())</x:f>
        <x:v>4716</x:v>
      </x:c>
      <x:c r="J294" s="5" t="n">
        <x:f>A294-WEEKDAY(A294,2)+1</x:f>
        <x:v>43969</x:v>
      </x:c>
      <x:c r="K294" s="1" t="n">
        <x:f>YEAR(J294+3)</x:f>
        <x:v>2020</x:v>
      </x:c>
      <x:c r="L294" s="1" t="n">
        <x:f>INT((J294-DATE(K294,1,4)+WEEKDAY(DATE(K294,1,4),2)-1)/7)+1</x:f>
        <x:v>21</x:v>
      </x:c>
      <x:c r="M294" s="1" t="str">
        <x:f>A294&amp;"|"&amp;B294</x:f>
        <x:v>43970|Волгоград</x:v>
      </x:c>
      <x:c r="N294" s="1" t="n">
        <x:f>COUNTIFS('Лист2'!$F$2:$F$505,M294)</x:f>
        <x:v>1</x:v>
      </x:c>
      <x:c r="O294" s="1"/>
      <x:c r="P294" s="1"/>
      <x:c r="Q294" s="1"/>
    </x:row>
    <x:row r="295" ht="21" customHeight="1">
      <x:c r="A295" s="5" t="n">
        <x:f>'Лист1'!A295</x:f>
        <x:v>43970</x:v>
      </x:c>
      <x:c r="B295" s="1" t="str">
        <x:f>'Лист1'!B295</x:f>
        <x:v>Екатеринбург</x:v>
      </x:c>
      <x:c r="C295" s="1" t="n">
        <x:f>'Лист1'!C295</x:f>
        <x:v>84024</x:v>
      </x:c>
      <x:c r="D295" s="6" t="n">
        <x:f>'Лист1'!D295</x:f>
        <x:v>6815511</x:v>
      </x:c>
      <x:c r="E295" s="6" t="n">
        <x:f>'Лист1'!E295</x:f>
        <x:v>5426339.5819999995</x:v>
      </x:c>
      <x:c r="F295" s="6" t="n">
        <x:f>'Лист1'!F295</x:f>
        <x:v>195070.2500307692</x:v>
      </x:c>
      <x:c r="G295" s="1" t="n">
        <x:f>IF(N295=1,SUMIFS('Лист2'!$C$2:$C$505,'Лист2'!$A$2:$A$505,A295,'Лист2'!$B$2:$B$505,B295),NA())</x:f>
        <x:v>31</x:v>
      </x:c>
      <x:c r="H295" s="1" t="n">
        <x:f>IF(N295=1,SUMIFS('Лист2'!$D$2:$D$505,'Лист2'!$A$2:$A$505,A295,'Лист2'!$B$2:$B$505,B295),NA())</x:f>
        <x:v>5389</x:v>
      </x:c>
      <x:c r="I295" s="1" t="n">
        <x:f>IF(N295=1,SUMIFS('Лист2'!$E$2:$E$505,'Лист2'!$A$2:$A$505,A295,'Лист2'!$B$2:$B$505,B295),NA())</x:f>
        <x:v>5024</x:v>
      </x:c>
      <x:c r="J295" s="5" t="n">
        <x:f>A295-WEEKDAY(A295,2)+1</x:f>
        <x:v>43969</x:v>
      </x:c>
      <x:c r="K295" s="1" t="n">
        <x:f>YEAR(J295+3)</x:f>
        <x:v>2020</x:v>
      </x:c>
      <x:c r="L295" s="1" t="n">
        <x:f>INT((J295-DATE(K295,1,4)+WEEKDAY(DATE(K295,1,4),2)-1)/7)+1</x:f>
        <x:v>21</x:v>
      </x:c>
      <x:c r="M295" s="1" t="str">
        <x:f>A295&amp;"|"&amp;B295</x:f>
        <x:v>43970|Екатеринбург</x:v>
      </x:c>
      <x:c r="N295" s="1" t="n">
        <x:f>COUNTIFS('Лист2'!$F$2:$F$505,M295)</x:f>
        <x:v>1</x:v>
      </x:c>
      <x:c r="O295" s="1"/>
      <x:c r="P295" s="1"/>
      <x:c r="Q295" s="1"/>
    </x:row>
    <x:row r="296" ht="21" customHeight="1">
      <x:c r="A296" s="5" t="n">
        <x:f>'Лист1'!A296</x:f>
        <x:v>43970</x:v>
      </x:c>
      <x:c r="B296" s="1" t="str">
        <x:f>'Лист1'!B296</x:f>
        <x:v>Казань</x:v>
      </x:c>
      <x:c r="C296" s="1" t="n">
        <x:f>'Лист1'!C296</x:f>
        <x:v>38250</x:v>
      </x:c>
      <x:c r="D296" s="6" t="n">
        <x:f>'Лист1'!D296</x:f>
        <x:v>3552937.5</x:v>
      </x:c>
      <x:c r="E296" s="6" t="n">
        <x:f>'Лист1'!E296</x:f>
        <x:v>2795344.17</x:v>
      </x:c>
      <x:c r="F296" s="6" t="n">
        <x:f>'Лист1'!F296</x:f>
        <x:v>245048.2600769231</x:v>
      </x:c>
      <x:c r="G296" s="1" t="n">
        <x:f>IF(N296=1,SUMIFS('Лист2'!$C$2:$C$505,'Лист2'!$A$2:$A$505,A296,'Лист2'!$B$2:$B$505,B296),NA())</x:f>
        <x:v>21</x:v>
      </x:c>
      <x:c r="H296" s="1" t="n">
        <x:f>IF(N296=1,SUMIFS('Лист2'!$D$2:$D$505,'Лист2'!$A$2:$A$505,A296,'Лист2'!$B$2:$B$505,B296),NA())</x:f>
        <x:v>2245</x:v>
      </x:c>
      <x:c r="I296" s="1" t="n">
        <x:f>IF(N296=1,SUMIFS('Лист2'!$E$2:$E$505,'Лист2'!$A$2:$A$505,A296,'Лист2'!$B$2:$B$505,B296),NA())</x:f>
        <x:v>2053</x:v>
      </x:c>
      <x:c r="J296" s="5" t="n">
        <x:f>A296-WEEKDAY(A296,2)+1</x:f>
        <x:v>43969</x:v>
      </x:c>
      <x:c r="K296" s="1" t="n">
        <x:f>YEAR(J296+3)</x:f>
        <x:v>2020</x:v>
      </x:c>
      <x:c r="L296" s="1" t="n">
        <x:f>INT((J296-DATE(K296,1,4)+WEEKDAY(DATE(K296,1,4),2)-1)/7)+1</x:f>
        <x:v>21</x:v>
      </x:c>
      <x:c r="M296" s="1" t="str">
        <x:f>A296&amp;"|"&amp;B296</x:f>
        <x:v>43970|Казань</x:v>
      </x:c>
      <x:c r="N296" s="1" t="n">
        <x:f>COUNTIFS('Лист2'!$F$2:$F$505,M296)</x:f>
        <x:v>1</x:v>
      </x:c>
      <x:c r="O296" s="1"/>
      <x:c r="P296" s="1"/>
      <x:c r="Q296" s="1"/>
    </x:row>
    <x:row r="297" ht="21" customHeight="1">
      <x:c r="A297" s="5" t="n">
        <x:f>'Лист1'!A297</x:f>
        <x:v>43970</x:v>
      </x:c>
      <x:c r="B297" s="1" t="str">
        <x:f>'Лист1'!B297</x:f>
        <x:v>Кемерово</x:v>
      </x:c>
      <x:c r="C297" s="1" t="n">
        <x:f>'Лист1'!C297</x:f>
        <x:v>31842</x:v>
      </x:c>
      <x:c r="D297" s="6" t="n">
        <x:f>'Лист1'!D297</x:f>
        <x:v>2771116.5</x:v>
      </x:c>
      <x:c r="E297" s="6" t="n">
        <x:f>'Лист1'!E297</x:f>
        <x:v>2269371.4459999995</x:v>
      </x:c>
      <x:c r="F297" s="6" t="n">
        <x:f>'Лист1'!F297</x:f>
        <x:v>328803.8461538461</x:v>
      </x:c>
      <x:c r="G297" s="1" t="n">
        <x:f>IF(N297=1,SUMIFS('Лист2'!$C$2:$C$505,'Лист2'!$A$2:$A$505,A297,'Лист2'!$B$2:$B$505,B297),NA())</x:f>
        <x:v>21</x:v>
      </x:c>
      <x:c r="H297" s="1" t="n">
        <x:f>IF(N297=1,SUMIFS('Лист2'!$D$2:$D$505,'Лист2'!$A$2:$A$505,A297,'Лист2'!$B$2:$B$505,B297),NA())</x:f>
        <x:v>1860</x:v>
      </x:c>
      <x:c r="I297" s="1" t="n">
        <x:f>IF(N297=1,SUMIFS('Лист2'!$E$2:$E$505,'Лист2'!$A$2:$A$505,A297,'Лист2'!$B$2:$B$505,B297),NA())</x:f>
        <x:v>1704</x:v>
      </x:c>
      <x:c r="J297" s="5" t="n">
        <x:f>A297-WEEKDAY(A297,2)+1</x:f>
        <x:v>43969</x:v>
      </x:c>
      <x:c r="K297" s="1" t="n">
        <x:f>YEAR(J297+3)</x:f>
        <x:v>2020</x:v>
      </x:c>
      <x:c r="L297" s="1" t="n">
        <x:f>INT((J297-DATE(K297,1,4)+WEEKDAY(DATE(K297,1,4),2)-1)/7)+1</x:f>
        <x:v>21</x:v>
      </x:c>
      <x:c r="M297" s="1" t="str">
        <x:f>A297&amp;"|"&amp;B297</x:f>
        <x:v>43970|Кемерово</x:v>
      </x:c>
      <x:c r="N297" s="1" t="n">
        <x:f>COUNTIFS('Лист2'!$F$2:$F$505,M297)</x:f>
        <x:v>1</x:v>
      </x:c>
      <x:c r="O297" s="1"/>
      <x:c r="P297" s="1"/>
      <x:c r="Q297" s="1"/>
    </x:row>
    <x:row r="298" ht="21" customHeight="1">
      <x:c r="A298" s="5" t="n">
        <x:f>'Лист1'!A298</x:f>
        <x:v>43970</x:v>
      </x:c>
      <x:c r="B298" s="1" t="str">
        <x:f>'Лист1'!B298</x:f>
        <x:v>Краснодар</x:v>
      </x:c>
      <x:c r="C298" s="1" t="n">
        <x:f>'Лист1'!C298</x:f>
        <x:v>28882.5</x:v>
      </x:c>
      <x:c r="D298" s="6" t="n">
        <x:f>'Лист1'!D298</x:f>
        <x:v>2446530</x:v>
      </x:c>
      <x:c r="E298" s="6" t="n">
        <x:f>'Лист1'!E298</x:f>
        <x:v>1956748.2629999998</x:v>
      </x:c>
      <x:c r="F298" s="6" t="n">
        <x:f>'Лист1'!F298</x:f>
        <x:v>108543.03143076923</x:v>
      </x:c>
      <x:c r="G298" s="1" t="n">
        <x:f>IF(N298=1,SUMIFS('Лист2'!$C$2:$C$505,'Лист2'!$A$2:$A$505,A298,'Лист2'!$B$2:$B$505,B298),NA())</x:f>
        <x:v>19</x:v>
      </x:c>
      <x:c r="H298" s="1" t="n">
        <x:f>IF(N298=1,SUMIFS('Лист2'!$D$2:$D$505,'Лист2'!$A$2:$A$505,A298,'Лист2'!$B$2:$B$505,B298),NA())</x:f>
        <x:v>1831</x:v>
      </x:c>
      <x:c r="I298" s="1" t="n">
        <x:f>IF(N298=1,SUMIFS('Лист2'!$E$2:$E$505,'Лист2'!$A$2:$A$505,A298,'Лист2'!$B$2:$B$505,B298),NA())</x:f>
        <x:v>1667</x:v>
      </x:c>
      <x:c r="J298" s="5" t="n">
        <x:f>A298-WEEKDAY(A298,2)+1</x:f>
        <x:v>43969</x:v>
      </x:c>
      <x:c r="K298" s="1" t="n">
        <x:f>YEAR(J298+3)</x:f>
        <x:v>2020</x:v>
      </x:c>
      <x:c r="L298" s="1" t="n">
        <x:f>INT((J298-DATE(K298,1,4)+WEEKDAY(DATE(K298,1,4),2)-1)/7)+1</x:f>
        <x:v>21</x:v>
      </x:c>
      <x:c r="M298" s="1" t="str">
        <x:f>A298&amp;"|"&amp;B298</x:f>
        <x:v>43970|Краснодар</x:v>
      </x:c>
      <x:c r="N298" s="1" t="n">
        <x:f>COUNTIFS('Лист2'!$F$2:$F$505,M298)</x:f>
        <x:v>1</x:v>
      </x:c>
      <x:c r="O298" s="1"/>
      <x:c r="P298" s="1"/>
      <x:c r="Q298" s="1"/>
    </x:row>
    <x:row r="299" ht="21" customHeight="1">
      <x:c r="A299" s="5" t="n">
        <x:f>'Лист1'!A299</x:f>
        <x:v>43970</x:v>
      </x:c>
      <x:c r="B299" s="1" t="str">
        <x:f>'Лист1'!B299</x:f>
        <x:v>Москва Восток</x:v>
      </x:c>
      <x:c r="C299" s="1" t="n">
        <x:f>'Лист1'!C299</x:f>
        <x:v>211453.5</x:v>
      </x:c>
      <x:c r="D299" s="6" t="n">
        <x:f>'Лист1'!D299</x:f>
        <x:v>20590072.5</x:v>
      </x:c>
      <x:c r="E299" s="6" t="n">
        <x:f>'Лист1'!E299</x:f>
        <x:v>15078027.685</x:v>
      </x:c>
      <x:c r="F299" s="6" t="n">
        <x:f>'Лист1'!F299</x:f>
        <x:v>293452.2923769231</x:v>
      </x:c>
      <x:c r="G299" s="1" t="n">
        <x:f>IF(N299=1,SUMIFS('Лист2'!$C$2:$C$505,'Лист2'!$A$2:$A$505,A299,'Лист2'!$B$2:$B$505,B299),NA())</x:f>
        <x:v>54</x:v>
      </x:c>
      <x:c r="H299" s="1" t="n">
        <x:f>IF(N299=1,SUMIFS('Лист2'!$D$2:$D$505,'Лист2'!$A$2:$A$505,A299,'Лист2'!$B$2:$B$505,B299),NA())</x:f>
        <x:v>13070</x:v>
      </x:c>
      <x:c r="I299" s="1" t="n">
        <x:f>IF(N299=1,SUMIFS('Лист2'!$E$2:$E$505,'Лист2'!$A$2:$A$505,A299,'Лист2'!$B$2:$B$505,B299),NA())</x:f>
        <x:v>12244</x:v>
      </x:c>
      <x:c r="J299" s="5" t="n">
        <x:f>A299-WEEKDAY(A299,2)+1</x:f>
        <x:v>43969</x:v>
      </x:c>
      <x:c r="K299" s="1" t="n">
        <x:f>YEAR(J299+3)</x:f>
        <x:v>2020</x:v>
      </x:c>
      <x:c r="L299" s="1" t="n">
        <x:f>INT((J299-DATE(K299,1,4)+WEEKDAY(DATE(K299,1,4),2)-1)/7)+1</x:f>
        <x:v>21</x:v>
      </x:c>
      <x:c r="M299" s="1" t="str">
        <x:f>A299&amp;"|"&amp;B299</x:f>
        <x:v>43970|Москва Восток</x:v>
      </x:c>
      <x:c r="N299" s="1" t="n">
        <x:f>COUNTIFS('Лист2'!$F$2:$F$505,M299)</x:f>
        <x:v>1</x:v>
      </x:c>
      <x:c r="O299" s="1"/>
      <x:c r="P299" s="1"/>
      <x:c r="Q299" s="1"/>
    </x:row>
    <x:row r="300" ht="21" customHeight="1">
      <x:c r="A300" s="5" t="n">
        <x:f>'Лист1'!A300</x:f>
        <x:v>43970</x:v>
      </x:c>
      <x:c r="B300" s="1" t="str">
        <x:f>'Лист1'!B300</x:f>
        <x:v>Москва Запад</x:v>
      </x:c>
      <x:c r="C300" s="1" t="n">
        <x:f>'Лист1'!C300</x:f>
        <x:v>223597.5</x:v>
      </x:c>
      <x:c r="D300" s="6" t="n">
        <x:f>'Лист1'!D300</x:f>
        <x:v>21945858</x:v>
      </x:c>
      <x:c r="E300" s="6" t="n">
        <x:f>'Лист1'!E300</x:f>
        <x:v>15975681.728</x:v>
      </x:c>
      <x:c r="F300" s="6" t="n">
        <x:f>'Лист1'!F300</x:f>
        <x:v>296759.42307692306</x:v>
      </x:c>
      <x:c r="G300" s="1" t="n">
        <x:f>IF(N300=1,SUMIFS('Лист2'!$C$2:$C$505,'Лист2'!$A$2:$A$505,A300,'Лист2'!$B$2:$B$505,B300),NA())</x:f>
        <x:v>60</x:v>
      </x:c>
      <x:c r="H300" s="1" t="n">
        <x:f>IF(N300=1,SUMIFS('Лист2'!$D$2:$D$505,'Лист2'!$A$2:$A$505,A300,'Лист2'!$B$2:$B$505,B300),NA())</x:f>
        <x:v>13867</x:v>
      </x:c>
      <x:c r="I300" s="1" t="n">
        <x:f>IF(N300=1,SUMIFS('Лист2'!$E$2:$E$505,'Лист2'!$A$2:$A$505,A300,'Лист2'!$B$2:$B$505,B300),NA())</x:f>
        <x:v>12987</x:v>
      </x:c>
      <x:c r="J300" s="5" t="n">
        <x:f>A300-WEEKDAY(A300,2)+1</x:f>
        <x:v>43969</x:v>
      </x:c>
      <x:c r="K300" s="1" t="n">
        <x:f>YEAR(J300+3)</x:f>
        <x:v>2020</x:v>
      </x:c>
      <x:c r="L300" s="1" t="n">
        <x:f>INT((J300-DATE(K300,1,4)+WEEKDAY(DATE(K300,1,4),2)-1)/7)+1</x:f>
        <x:v>21</x:v>
      </x:c>
      <x:c r="M300" s="1" t="str">
        <x:f>A300&amp;"|"&amp;B300</x:f>
        <x:v>43970|Москва Запад</x:v>
      </x:c>
      <x:c r="N300" s="1" t="n">
        <x:f>COUNTIFS('Лист2'!$F$2:$F$505,M300)</x:f>
        <x:v>1</x:v>
      </x:c>
      <x:c r="O300" s="1"/>
      <x:c r="P300" s="1"/>
      <x:c r="Q300" s="1"/>
    </x:row>
    <x:row r="301" ht="21" customHeight="1">
      <x:c r="A301" s="5" t="n">
        <x:f>'Лист1'!A301</x:f>
        <x:v>43970</x:v>
      </x:c>
      <x:c r="B301" s="1" t="str">
        <x:f>'Лист1'!B301</x:f>
        <x:v>Нижний Новгород</x:v>
      </x:c>
      <x:c r="C301" s="1" t="n">
        <x:f>'Лист1'!C301</x:f>
        <x:v>32434.5</x:v>
      </x:c>
      <x:c r="D301" s="6" t="n">
        <x:f>'Лист1'!D301</x:f>
        <x:v>2865337.5</x:v>
      </x:c>
      <x:c r="E301" s="6" t="n">
        <x:f>'Лист1'!E301</x:f>
        <x:v>2368028.685</x:v>
      </x:c>
      <x:c r="F301" s="6" t="n">
        <x:f>'Лист1'!F301</x:f>
        <x:v>225452.8907846154</x:v>
      </x:c>
      <x:c r="G301" s="1" t="n">
        <x:f>IF(N301=1,SUMIFS('Лист2'!$C$2:$C$505,'Лист2'!$A$2:$A$505,A301,'Лист2'!$B$2:$B$505,B301),NA())</x:f>
        <x:v>19</x:v>
      </x:c>
      <x:c r="H301" s="1" t="n">
        <x:f>IF(N301=1,SUMIFS('Лист2'!$D$2:$D$505,'Лист2'!$A$2:$A$505,A301,'Лист2'!$B$2:$B$505,B301),NA())</x:f>
        <x:v>1999</x:v>
      </x:c>
      <x:c r="I301" s="1" t="n">
        <x:f>IF(N301=1,SUMIFS('Лист2'!$E$2:$E$505,'Лист2'!$A$2:$A$505,A301,'Лист2'!$B$2:$B$505,B301),NA())</x:f>
        <x:v>1799</x:v>
      </x:c>
      <x:c r="J301" s="5" t="n">
        <x:f>A301-WEEKDAY(A301,2)+1</x:f>
        <x:v>43969</x:v>
      </x:c>
      <x:c r="K301" s="1" t="n">
        <x:f>YEAR(J301+3)</x:f>
        <x:v>2020</x:v>
      </x:c>
      <x:c r="L301" s="1" t="n">
        <x:f>INT((J301-DATE(K301,1,4)+WEEKDAY(DATE(K301,1,4),2)-1)/7)+1</x:f>
        <x:v>21</x:v>
      </x:c>
      <x:c r="M301" s="1" t="str">
        <x:f>A301&amp;"|"&amp;B301</x:f>
        <x:v>43970|Нижний Новгород</x:v>
      </x:c>
      <x:c r="N301" s="1" t="n">
        <x:f>COUNTIFS('Лист2'!$F$2:$F$505,M301)</x:f>
        <x:v>1</x:v>
      </x:c>
      <x:c r="O301" s="1"/>
      <x:c r="P301" s="1"/>
      <x:c r="Q301" s="1"/>
    </x:row>
    <x:row r="302" ht="21" customHeight="1">
      <x:c r="A302" s="5" t="n">
        <x:f>'Лист1'!A302</x:f>
        <x:v>43970</x:v>
      </x:c>
      <x:c r="B302" s="1" t="str">
        <x:f>'Лист1'!B302</x:f>
        <x:v>Новосибирск</x:v>
      </x:c>
      <x:c r="C302" s="1" t="n">
        <x:f>'Лист1'!C302</x:f>
        <x:v>14427</x:v>
      </x:c>
      <x:c r="D302" s="6" t="n">
        <x:f>'Лист1'!D302</x:f>
        <x:v>1126810.5</x:v>
      </x:c>
      <x:c r="E302" s="6" t="n">
        <x:f>'Лист1'!E302</x:f>
        <x:v>963035.414</x:v>
      </x:c>
      <x:c r="F302" s="6" t="n">
        <x:f>'Лист1'!F302</x:f>
        <x:v>202056.3451923077</x:v>
      </x:c>
      <x:c r="G302" s="1" t="n">
        <x:f>IF(N302=1,SUMIFS('Лист2'!$C$2:$C$505,'Лист2'!$A$2:$A$505,A302,'Лист2'!$B$2:$B$505,B302),NA())</x:f>
        <x:v>17</x:v>
      </x:c>
      <x:c r="H302" s="1" t="n">
        <x:f>IF(N302=1,SUMIFS('Лист2'!$D$2:$D$505,'Лист2'!$A$2:$A$505,A302,'Лист2'!$B$2:$B$505,B302),NA())</x:f>
        <x:v>857</x:v>
      </x:c>
      <x:c r="I302" s="1" t="n">
        <x:f>IF(N302=1,SUMIFS('Лист2'!$E$2:$E$505,'Лист2'!$A$2:$A$505,A302,'Лист2'!$B$2:$B$505,B302),NA())</x:f>
        <x:v>757</x:v>
      </x:c>
      <x:c r="J302" s="5" t="n">
        <x:f>A302-WEEKDAY(A302,2)+1</x:f>
        <x:v>43969</x:v>
      </x:c>
      <x:c r="K302" s="1" t="n">
        <x:f>YEAR(J302+3)</x:f>
        <x:v>2020</x:v>
      </x:c>
      <x:c r="L302" s="1" t="n">
        <x:f>INT((J302-DATE(K302,1,4)+WEEKDAY(DATE(K302,1,4),2)-1)/7)+1</x:f>
        <x:v>21</x:v>
      </x:c>
      <x:c r="M302" s="1" t="str">
        <x:f>A302&amp;"|"&amp;B302</x:f>
        <x:v>43970|Новосибирск</x:v>
      </x:c>
      <x:c r="N302" s="1" t="n">
        <x:f>COUNTIFS('Лист2'!$F$2:$F$505,M302)</x:f>
        <x:v>1</x:v>
      </x:c>
      <x:c r="O302" s="1"/>
      <x:c r="P302" s="1"/>
      <x:c r="Q302" s="1"/>
    </x:row>
    <x:row r="303" ht="21" customHeight="1">
      <x:c r="A303" s="5" t="n">
        <x:f>'Лист1'!A303</x:f>
        <x:v>43970</x:v>
      </x:c>
      <x:c r="B303" s="1" t="str">
        <x:f>'Лист1'!B303</x:f>
        <x:v>Пермь</x:v>
      </x:c>
      <x:c r="C303" s="1" t="n">
        <x:f>'Лист1'!C303</x:f>
        <x:v>16638</x:v>
      </x:c>
      <x:c r="D303" s="6" t="n">
        <x:f>'Лист1'!D303</x:f>
        <x:v>1364847</x:v>
      </x:c>
      <x:c r="E303" s="6" t="n">
        <x:f>'Лист1'!E303</x:f>
        <x:v>1137103.412</x:v>
      </x:c>
      <x:c r="F303" s="6" t="n">
        <x:f>'Лист1'!F303</x:f>
        <x:v>258642.5153846154</x:v>
      </x:c>
      <x:c r="G303" s="1" t="n">
        <x:f>IF(N303=1,SUMIFS('Лист2'!$C$2:$C$505,'Лист2'!$A$2:$A$505,A303,'Лист2'!$B$2:$B$505,B303),NA())</x:f>
        <x:v>16</x:v>
      </x:c>
      <x:c r="H303" s="1" t="n">
        <x:f>IF(N303=1,SUMIFS('Лист2'!$D$2:$D$505,'Лист2'!$A$2:$A$505,A303,'Лист2'!$B$2:$B$505,B303),NA())</x:f>
        <x:v>1012</x:v>
      </x:c>
      <x:c r="I303" s="1" t="n">
        <x:f>IF(N303=1,SUMIFS('Лист2'!$E$2:$E$505,'Лист2'!$A$2:$A$505,A303,'Лист2'!$B$2:$B$505,B303),NA())</x:f>
        <x:v>900</x:v>
      </x:c>
      <x:c r="J303" s="5" t="n">
        <x:f>A303-WEEKDAY(A303,2)+1</x:f>
        <x:v>43969</x:v>
      </x:c>
      <x:c r="K303" s="1" t="n">
        <x:f>YEAR(J303+3)</x:f>
        <x:v>2020</x:v>
      </x:c>
      <x:c r="L303" s="1" t="n">
        <x:f>INT((J303-DATE(K303,1,4)+WEEKDAY(DATE(K303,1,4),2)-1)/7)+1</x:f>
        <x:v>21</x:v>
      </x:c>
      <x:c r="M303" s="1" t="str">
        <x:f>A303&amp;"|"&amp;B303</x:f>
        <x:v>43970|Пермь</x:v>
      </x:c>
      <x:c r="N303" s="1" t="n">
        <x:f>COUNTIFS('Лист2'!$F$2:$F$505,M303)</x:f>
        <x:v>1</x:v>
      </x:c>
      <x:c r="O303" s="1"/>
      <x:c r="P303" s="1"/>
      <x:c r="Q303" s="1"/>
    </x:row>
    <x:row r="304" ht="21" customHeight="1">
      <x:c r="A304" s="5" t="n">
        <x:f>'Лист1'!A304</x:f>
        <x:v>43970</x:v>
      </x:c>
      <x:c r="B304" s="1" t="str">
        <x:f>'Лист1'!B304</x:f>
        <x:v>Ростов-на-Дону</x:v>
      </x:c>
      <x:c r="C304" s="1" t="n">
        <x:f>'Лист1'!C304</x:f>
        <x:v>16237.5</x:v>
      </x:c>
      <x:c r="D304" s="6" t="n">
        <x:f>'Лист1'!D304</x:f>
        <x:v>1403047.5</x:v>
      </x:c>
      <x:c r="E304" s="6" t="n">
        <x:f>'Лист1'!E304</x:f>
        <x:v>1195875.8800000001</x:v>
      </x:c>
      <x:c r="F304" s="6" t="n">
        <x:f>'Лист1'!F304</x:f>
        <x:v>173178.52204615384</x:v>
      </x:c>
      <x:c r="G304" s="1" t="n">
        <x:f>IF(N304=1,SUMIFS('Лист2'!$C$2:$C$505,'Лист2'!$A$2:$A$505,A304,'Лист2'!$B$2:$B$505,B304),NA())</x:f>
        <x:v>15</x:v>
      </x:c>
      <x:c r="H304" s="1" t="n">
        <x:f>IF(N304=1,SUMIFS('Лист2'!$D$2:$D$505,'Лист2'!$A$2:$A$505,A304,'Лист2'!$B$2:$B$505,B304),NA())</x:f>
        <x:v>930</x:v>
      </x:c>
      <x:c r="I304" s="1" t="n">
        <x:f>IF(N304=1,SUMIFS('Лист2'!$E$2:$E$505,'Лист2'!$A$2:$A$505,A304,'Лист2'!$B$2:$B$505,B304),NA())</x:f>
        <x:v>827</x:v>
      </x:c>
      <x:c r="J304" s="5" t="n">
        <x:f>A304-WEEKDAY(A304,2)+1</x:f>
        <x:v>43969</x:v>
      </x:c>
      <x:c r="K304" s="1" t="n">
        <x:f>YEAR(J304+3)</x:f>
        <x:v>2020</x:v>
      </x:c>
      <x:c r="L304" s="1" t="n">
        <x:f>INT((J304-DATE(K304,1,4)+WEEKDAY(DATE(K304,1,4),2)-1)/7)+1</x:f>
        <x:v>21</x:v>
      </x:c>
      <x:c r="M304" s="1" t="str">
        <x:f>A304&amp;"|"&amp;B304</x:f>
        <x:v>43970|Ростов-на-Дону</x:v>
      </x:c>
      <x:c r="N304" s="1" t="n">
        <x:f>COUNTIFS('Лист2'!$F$2:$F$505,M304)</x:f>
        <x:v>1</x:v>
      </x:c>
      <x:c r="O304" s="1"/>
      <x:c r="P304" s="1"/>
      <x:c r="Q304" s="1"/>
    </x:row>
    <x:row r="305" ht="21" customHeight="1">
      <x:c r="A305" s="5" t="n">
        <x:f>'Лист1'!A305</x:f>
        <x:v>43970</x:v>
      </x:c>
      <x:c r="B305" s="1" t="str">
        <x:f>'Лист1'!B305</x:f>
        <x:v>Санкт-Петербург Север</x:v>
      </x:c>
      <x:c r="C305" s="1" t="n">
        <x:f>'Лист1'!C305</x:f>
        <x:v>362536.5</x:v>
      </x:c>
      <x:c r="D305" s="6" t="n">
        <x:f>'Лист1'!D305</x:f>
        <x:v>37023243</x:v>
      </x:c>
      <x:c r="E305" s="6" t="n">
        <x:f>'Лист1'!E305</x:f>
        <x:v>26762183.377</x:v>
      </x:c>
      <x:c r="F305" s="6" t="n">
        <x:f>'Лист1'!F305</x:f>
        <x:v>650375.7684923077</x:v>
      </x:c>
      <x:c r="G305" s="1" t="n">
        <x:f>IF(N305=1,SUMIFS('Лист2'!$C$2:$C$505,'Лист2'!$A$2:$A$505,A305,'Лист2'!$B$2:$B$505,B305),NA())</x:f>
        <x:v>125</x:v>
      </x:c>
      <x:c r="H305" s="1" t="n">
        <x:f>IF(N305=1,SUMIFS('Лист2'!$D$2:$D$505,'Лист2'!$A$2:$A$505,A305,'Лист2'!$B$2:$B$505,B305),NA())</x:f>
        <x:v>20771</x:v>
      </x:c>
      <x:c r="I305" s="1" t="n">
        <x:f>IF(N305=1,SUMIFS('Лист2'!$E$2:$E$505,'Лист2'!$A$2:$A$505,A305,'Лист2'!$B$2:$B$505,B305),NA())</x:f>
        <x:v>19338</x:v>
      </x:c>
      <x:c r="J305" s="5" t="n">
        <x:f>A305-WEEKDAY(A305,2)+1</x:f>
        <x:v>43969</x:v>
      </x:c>
      <x:c r="K305" s="1" t="n">
        <x:f>YEAR(J305+3)</x:f>
        <x:v>2020</x:v>
      </x:c>
      <x:c r="L305" s="1" t="n">
        <x:f>INT((J305-DATE(K305,1,4)+WEEKDAY(DATE(K305,1,4),2)-1)/7)+1</x:f>
        <x:v>21</x:v>
      </x:c>
      <x:c r="M305" s="1" t="str">
        <x:f>A305&amp;"|"&amp;B305</x:f>
        <x:v>43970|Санкт-Петербург Север</x:v>
      </x:c>
      <x:c r="N305" s="1" t="n">
        <x:f>COUNTIFS('Лист2'!$F$2:$F$505,M305)</x:f>
        <x:v>1</x:v>
      </x:c>
      <x:c r="O305" s="1"/>
      <x:c r="P305" s="1"/>
      <x:c r="Q305" s="1"/>
    </x:row>
    <x:row r="306" ht="21" customHeight="1">
      <x:c r="A306" s="5" t="n">
        <x:f>'Лист1'!A306</x:f>
        <x:v>43970</x:v>
      </x:c>
      <x:c r="B306" s="1" t="str">
        <x:f>'Лист1'!B306</x:f>
        <x:v>Санкт-Петербург Юг</x:v>
      </x:c>
      <x:c r="C306" s="1" t="n">
        <x:f>'Лист1'!C306</x:f>
        <x:v>276568.5</x:v>
      </x:c>
      <x:c r="D306" s="6" t="n">
        <x:f>'Лист1'!D306</x:f>
        <x:v>27093624</x:v>
      </x:c>
      <x:c r="E306" s="6" t="n">
        <x:f>'Лист1'!E306</x:f>
        <x:v>19768696.5</x:v>
      </x:c>
      <x:c r="F306" s="6" t="n">
        <x:f>'Лист1'!F306</x:f>
        <x:v>759335.8046923077</x:v>
      </x:c>
      <x:c r="G306" s="1" t="n">
        <x:f>IF(N306=1,SUMIFS('Лист2'!$C$2:$C$505,'Лист2'!$A$2:$A$505,A306,'Лист2'!$B$2:$B$505,B306),NA())</x:f>
        <x:v>129</x:v>
      </x:c>
      <x:c r="H306" s="1" t="n">
        <x:f>IF(N306=1,SUMIFS('Лист2'!$D$2:$D$505,'Лист2'!$A$2:$A$505,A306,'Лист2'!$B$2:$B$505,B306),NA())</x:f>
        <x:v>16191</x:v>
      </x:c>
      <x:c r="I306" s="1" t="n">
        <x:f>IF(N306=1,SUMIFS('Лист2'!$E$2:$E$505,'Лист2'!$A$2:$A$505,A306,'Лист2'!$B$2:$B$505,B306),NA())</x:f>
        <x:v>15102</x:v>
      </x:c>
      <x:c r="J306" s="5" t="n">
        <x:f>A306-WEEKDAY(A306,2)+1</x:f>
        <x:v>43969</x:v>
      </x:c>
      <x:c r="K306" s="1" t="n">
        <x:f>YEAR(J306+3)</x:f>
        <x:v>2020</x:v>
      </x:c>
      <x:c r="L306" s="1" t="n">
        <x:f>INT((J306-DATE(K306,1,4)+WEEKDAY(DATE(K306,1,4),2)-1)/7)+1</x:f>
        <x:v>21</x:v>
      </x:c>
      <x:c r="M306" s="1" t="str">
        <x:f>A306&amp;"|"&amp;B306</x:f>
        <x:v>43970|Санкт-Петербург Юг</x:v>
      </x:c>
      <x:c r="N306" s="1" t="n">
        <x:f>COUNTIFS('Лист2'!$F$2:$F$505,M306)</x:f>
        <x:v>1</x:v>
      </x:c>
      <x:c r="O306" s="1"/>
      <x:c r="P306" s="1"/>
      <x:c r="Q306" s="1"/>
    </x:row>
    <x:row r="307" ht="21" customHeight="1">
      <x:c r="A307" s="5" t="n">
        <x:f>'Лист1'!A307</x:f>
        <x:v>43970</x:v>
      </x:c>
      <x:c r="B307" s="1" t="str">
        <x:f>'Лист1'!B307</x:f>
        <x:v>Тольятти</x:v>
      </x:c>
      <x:c r="C307" s="1" t="n">
        <x:f>'Лист1'!C307</x:f>
        <x:v>11526</x:v>
      </x:c>
      <x:c r="D307" s="6" t="n">
        <x:f>'Лист1'!D307</x:f>
        <x:v>938764.5</x:v>
      </x:c>
      <x:c r="E307" s="6" t="n">
        <x:f>'Лист1'!E307</x:f>
        <x:v>820018.375</x:v>
      </x:c>
      <x:c r="F307" s="6" t="n">
        <x:f>'Лист1'!F307</x:f>
        <x:v>77816.21538461538</x:v>
      </x:c>
      <x:c r="G307" s="1" t="n">
        <x:f>IF(N307=1,SUMIFS('Лист2'!$C$2:$C$505,'Лист2'!$A$2:$A$505,A307,'Лист2'!$B$2:$B$505,B307),NA())</x:f>
        <x:v>10</x:v>
      </x:c>
      <x:c r="H307" s="1" t="n">
        <x:f>IF(N307=1,SUMIFS('Лист2'!$D$2:$D$505,'Лист2'!$A$2:$A$505,A307,'Лист2'!$B$2:$B$505,B307),NA())</x:f>
        <x:v>649</x:v>
      </x:c>
      <x:c r="I307" s="1" t="n">
        <x:f>IF(N307=1,SUMIFS('Лист2'!$E$2:$E$505,'Лист2'!$A$2:$A$505,A307,'Лист2'!$B$2:$B$505,B307),NA())</x:f>
        <x:v>568</x:v>
      </x:c>
      <x:c r="J307" s="5" t="n">
        <x:f>A307-WEEKDAY(A307,2)+1</x:f>
        <x:v>43969</x:v>
      </x:c>
      <x:c r="K307" s="1" t="n">
        <x:f>YEAR(J307+3)</x:f>
        <x:v>2020</x:v>
      </x:c>
      <x:c r="L307" s="1" t="n">
        <x:f>INT((J307-DATE(K307,1,4)+WEEKDAY(DATE(K307,1,4),2)-1)/7)+1</x:f>
        <x:v>21</x:v>
      </x:c>
      <x:c r="M307" s="1" t="str">
        <x:f>A307&amp;"|"&amp;B307</x:f>
        <x:v>43970|Тольятти</x:v>
      </x:c>
      <x:c r="N307" s="1" t="n">
        <x:f>COUNTIFS('Лист2'!$F$2:$F$505,M307)</x:f>
        <x:v>1</x:v>
      </x:c>
      <x:c r="O307" s="1"/>
      <x:c r="P307" s="1"/>
      <x:c r="Q307" s="1"/>
    </x:row>
    <x:row r="308" ht="21" customHeight="1">
      <x:c r="A308" s="5" t="n">
        <x:f>'Лист1'!A308</x:f>
        <x:v>43971</x:v>
      </x:c>
      <x:c r="B308" s="1" t="str">
        <x:f>'Лист1'!B308</x:f>
        <x:v>Волгоград</x:v>
      </x:c>
      <x:c r="C308" s="1" t="n">
        <x:f>'Лист1'!C308</x:f>
        <x:v>99631.5</x:v>
      </x:c>
      <x:c r="D308" s="6" t="n">
        <x:f>'Лист1'!D308</x:f>
        <x:v>7121946</x:v>
      </x:c>
      <x:c r="E308" s="6" t="n">
        <x:f>'Лист1'!E308</x:f>
        <x:v>6279205.85</x:v>
      </x:c>
      <x:c r="F308" s="6" t="n">
        <x:f>'Лист1'!F308</x:f>
        <x:v>279127.2760230769</x:v>
      </x:c>
      <x:c r="G308" s="1" t="n">
        <x:f>IF(N308=1,SUMIFS('Лист2'!$C$2:$C$505,'Лист2'!$A$2:$A$505,A308,'Лист2'!$B$2:$B$505,B308),NA())</x:f>
        <x:v>36</x:v>
      </x:c>
      <x:c r="H308" s="1" t="n">
        <x:f>IF(N308=1,SUMIFS('Лист2'!$D$2:$D$505,'Лист2'!$A$2:$A$505,A308,'Лист2'!$B$2:$B$505,B308),NA())</x:f>
        <x:v>5914</x:v>
      </x:c>
      <x:c r="I308" s="1" t="n">
        <x:f>IF(N308=1,SUMIFS('Лист2'!$E$2:$E$505,'Лист2'!$A$2:$A$505,A308,'Лист2'!$B$2:$B$505,B308),NA())</x:f>
        <x:v>5384</x:v>
      </x:c>
      <x:c r="J308" s="5" t="n">
        <x:f>A308-WEEKDAY(A308,2)+1</x:f>
        <x:v>43969</x:v>
      </x:c>
      <x:c r="K308" s="1" t="n">
        <x:f>YEAR(J308+3)</x:f>
        <x:v>2020</x:v>
      </x:c>
      <x:c r="L308" s="1" t="n">
        <x:f>INT((J308-DATE(K308,1,4)+WEEKDAY(DATE(K308,1,4),2)-1)/7)+1</x:f>
        <x:v>21</x:v>
      </x:c>
      <x:c r="M308" s="1" t="str">
        <x:f>A308&amp;"|"&amp;B308</x:f>
        <x:v>43971|Волгоград</x:v>
      </x:c>
      <x:c r="N308" s="1" t="n">
        <x:f>COUNTIFS('Лист2'!$F$2:$F$505,M308)</x:f>
        <x:v>1</x:v>
      </x:c>
      <x:c r="O308" s="1"/>
      <x:c r="P308" s="1"/>
      <x:c r="Q308" s="1"/>
    </x:row>
    <x:row r="309" ht="21" customHeight="1">
      <x:c r="A309" s="5" t="n">
        <x:f>'Лист1'!A309</x:f>
        <x:v>43971</x:v>
      </x:c>
      <x:c r="B309" s="1" t="str">
        <x:f>'Лист1'!B309</x:f>
        <x:v>Екатеринбург</x:v>
      </x:c>
      <x:c r="C309" s="1" t="n">
        <x:f>'Лист1'!C309</x:f>
        <x:v>93313.5</x:v>
      </x:c>
      <x:c r="D309" s="6" t="n">
        <x:f>'Лист1'!D309</x:f>
        <x:v>7247575.5</x:v>
      </x:c>
      <x:c r="E309" s="6" t="n">
        <x:f>'Лист1'!E309</x:f>
        <x:v>5922822.677999999</x:v>
      </x:c>
      <x:c r="F309" s="6" t="n">
        <x:f>'Лист1'!F309</x:f>
        <x:v>714758.2</x:v>
      </x:c>
      <x:c r="G309" s="1" t="n">
        <x:f>IF(N309=1,SUMIFS('Лист2'!$C$2:$C$505,'Лист2'!$A$2:$A$505,A309,'Лист2'!$B$2:$B$505,B309),NA())</x:f>
        <x:v>31</x:v>
      </x:c>
      <x:c r="H309" s="1" t="n">
        <x:f>IF(N309=1,SUMIFS('Лист2'!$D$2:$D$505,'Лист2'!$A$2:$A$505,A309,'Лист2'!$B$2:$B$505,B309),NA())</x:f>
        <x:v>5698</x:v>
      </x:c>
      <x:c r="I309" s="1" t="n">
        <x:f>IF(N309=1,SUMIFS('Лист2'!$E$2:$E$505,'Лист2'!$A$2:$A$505,A309,'Лист2'!$B$2:$B$505,B309),NA())</x:f>
        <x:v>5258</x:v>
      </x:c>
      <x:c r="J309" s="5" t="n">
        <x:f>A309-WEEKDAY(A309,2)+1</x:f>
        <x:v>43969</x:v>
      </x:c>
      <x:c r="K309" s="1" t="n">
        <x:f>YEAR(J309+3)</x:f>
        <x:v>2020</x:v>
      </x:c>
      <x:c r="L309" s="1" t="n">
        <x:f>INT((J309-DATE(K309,1,4)+WEEKDAY(DATE(K309,1,4),2)-1)/7)+1</x:f>
        <x:v>21</x:v>
      </x:c>
      <x:c r="M309" s="1" t="str">
        <x:f>A309&amp;"|"&amp;B309</x:f>
        <x:v>43971|Екатеринбург</x:v>
      </x:c>
      <x:c r="N309" s="1" t="n">
        <x:f>COUNTIFS('Лист2'!$F$2:$F$505,M309)</x:f>
        <x:v>1</x:v>
      </x:c>
      <x:c r="O309" s="1"/>
      <x:c r="P309" s="1"/>
      <x:c r="Q309" s="1"/>
    </x:row>
    <x:row r="310" ht="21" customHeight="1">
      <x:c r="A310" s="5" t="n">
        <x:f>'Лист1'!A310</x:f>
        <x:v>43971</x:v>
      </x:c>
      <x:c r="B310" s="1" t="str">
        <x:f>'Лист1'!B310</x:f>
        <x:v>Казань</x:v>
      </x:c>
      <x:c r="C310" s="1" t="n">
        <x:f>'Лист1'!C310</x:f>
        <x:v>41391</x:v>
      </x:c>
      <x:c r="D310" s="6" t="n">
        <x:f>'Лист1'!D310</x:f>
        <x:v>3918987</x:v>
      </x:c>
      <x:c r="E310" s="6" t="n">
        <x:f>'Лист1'!E310</x:f>
        <x:v>3141103.957</x:v>
      </x:c>
      <x:c r="F310" s="6" t="n">
        <x:f>'Лист1'!F310</x:f>
        <x:v>205451.17950769232</x:v>
      </x:c>
      <x:c r="G310" s="1" t="n">
        <x:f>IF(N310=1,SUMIFS('Лист2'!$C$2:$C$505,'Лист2'!$A$2:$A$505,A310,'Лист2'!$B$2:$B$505,B310),NA())</x:f>
        <x:v>21</x:v>
      </x:c>
      <x:c r="H310" s="1" t="n">
        <x:f>IF(N310=1,SUMIFS('Лист2'!$D$2:$D$505,'Лист2'!$A$2:$A$505,A310,'Лист2'!$B$2:$B$505,B310),NA())</x:f>
        <x:v>2410</x:v>
      </x:c>
      <x:c r="I310" s="1" t="n">
        <x:f>IF(N310=1,SUMIFS('Лист2'!$E$2:$E$505,'Лист2'!$A$2:$A$505,A310,'Лист2'!$B$2:$B$505,B310),NA())</x:f>
        <x:v>2202</x:v>
      </x:c>
      <x:c r="J310" s="5" t="n">
        <x:f>A310-WEEKDAY(A310,2)+1</x:f>
        <x:v>43969</x:v>
      </x:c>
      <x:c r="K310" s="1" t="n">
        <x:f>YEAR(J310+3)</x:f>
        <x:v>2020</x:v>
      </x:c>
      <x:c r="L310" s="1" t="n">
        <x:f>INT((J310-DATE(K310,1,4)+WEEKDAY(DATE(K310,1,4),2)-1)/7)+1</x:f>
        <x:v>21</x:v>
      </x:c>
      <x:c r="M310" s="1" t="str">
        <x:f>A310&amp;"|"&amp;B310</x:f>
        <x:v>43971|Казань</x:v>
      </x:c>
      <x:c r="N310" s="1" t="n">
        <x:f>COUNTIFS('Лист2'!$F$2:$F$505,M310)</x:f>
        <x:v>1</x:v>
      </x:c>
      <x:c r="O310" s="1"/>
      <x:c r="P310" s="1"/>
      <x:c r="Q310" s="1"/>
    </x:row>
    <x:row r="311" ht="21" customHeight="1">
      <x:c r="A311" s="5" t="n">
        <x:f>'Лист1'!A311</x:f>
        <x:v>43971</x:v>
      </x:c>
      <x:c r="B311" s="1" t="str">
        <x:f>'Лист1'!B311</x:f>
        <x:v>Кемерово</x:v>
      </x:c>
      <x:c r="C311" s="1" t="n">
        <x:f>'Лист1'!C311</x:f>
        <x:v>34077</x:v>
      </x:c>
      <x:c r="D311" s="6" t="n">
        <x:f>'Лист1'!D311</x:f>
        <x:v>2929330.5</x:v>
      </x:c>
      <x:c r="E311" s="6" t="n">
        <x:f>'Лист1'!E311</x:f>
        <x:v>2389543.528</x:v>
      </x:c>
      <x:c r="F311" s="6" t="n">
        <x:f>'Лист1'!F311</x:f>
        <x:v>459604.9079615384</x:v>
      </x:c>
      <x:c r="G311" s="1" t="n">
        <x:f>IF(N311=1,SUMIFS('Лист2'!$C$2:$C$505,'Лист2'!$A$2:$A$505,A311,'Лист2'!$B$2:$B$505,B311),NA())</x:f>
        <x:v>21</x:v>
      </x:c>
      <x:c r="H311" s="1" t="n">
        <x:f>IF(N311=1,SUMIFS('Лист2'!$D$2:$D$505,'Лист2'!$A$2:$A$505,A311,'Лист2'!$B$2:$B$505,B311),NA())</x:f>
        <x:v>1921</x:v>
      </x:c>
      <x:c r="I311" s="1" t="n">
        <x:f>IF(N311=1,SUMIFS('Лист2'!$E$2:$E$505,'Лист2'!$A$2:$A$505,A311,'Лист2'!$B$2:$B$505,B311),NA())</x:f>
        <x:v>1767</x:v>
      </x:c>
      <x:c r="J311" s="5" t="n">
        <x:f>A311-WEEKDAY(A311,2)+1</x:f>
        <x:v>43969</x:v>
      </x:c>
      <x:c r="K311" s="1" t="n">
        <x:f>YEAR(J311+3)</x:f>
        <x:v>2020</x:v>
      </x:c>
      <x:c r="L311" s="1" t="n">
        <x:f>INT((J311-DATE(K311,1,4)+WEEKDAY(DATE(K311,1,4),2)-1)/7)+1</x:f>
        <x:v>21</x:v>
      </x:c>
      <x:c r="M311" s="1" t="str">
        <x:f>A311&amp;"|"&amp;B311</x:f>
        <x:v>43971|Кемерово</x:v>
      </x:c>
      <x:c r="N311" s="1" t="n">
        <x:f>COUNTIFS('Лист2'!$F$2:$F$505,M311)</x:f>
        <x:v>1</x:v>
      </x:c>
      <x:c r="O311" s="1"/>
      <x:c r="P311" s="1"/>
      <x:c r="Q311" s="1"/>
    </x:row>
    <x:row r="312" ht="21" customHeight="1">
      <x:c r="A312" s="5" t="n">
        <x:f>'Лист1'!A312</x:f>
        <x:v>43971</x:v>
      </x:c>
      <x:c r="B312" s="1" t="str">
        <x:f>'Лист1'!B312</x:f>
        <x:v>Краснодар</x:v>
      </x:c>
      <x:c r="C312" s="1" t="n">
        <x:f>'Лист1'!C312</x:f>
        <x:v>28849.5</x:v>
      </x:c>
      <x:c r="D312" s="6" t="n">
        <x:f>'Лист1'!D312</x:f>
        <x:v>2520759</x:v>
      </x:c>
      <x:c r="E312" s="6" t="n">
        <x:f>'Лист1'!E312</x:f>
        <x:v>2010739.0729999999</x:v>
      </x:c>
      <x:c r="F312" s="6" t="n">
        <x:f>'Лист1'!F312</x:f>
        <x:v>106300.0107076923</x:v>
      </x:c>
      <x:c r="G312" s="1" t="n">
        <x:f>IF(N312=1,SUMIFS('Лист2'!$C$2:$C$505,'Лист2'!$A$2:$A$505,A312,'Лист2'!$B$2:$B$505,B312),NA())</x:f>
        <x:v>19</x:v>
      </x:c>
      <x:c r="H312" s="1" t="n">
        <x:f>IF(N312=1,SUMIFS('Лист2'!$D$2:$D$505,'Лист2'!$A$2:$A$505,A312,'Лист2'!$B$2:$B$505,B312),NA())</x:f>
        <x:v>1823</x:v>
      </x:c>
      <x:c r="I312" s="1" t="n">
        <x:f>IF(N312=1,SUMIFS('Лист2'!$E$2:$E$505,'Лист2'!$A$2:$A$505,A312,'Лист2'!$B$2:$B$505,B312),NA())</x:f>
        <x:v>1678</x:v>
      </x:c>
      <x:c r="J312" s="5" t="n">
        <x:f>A312-WEEKDAY(A312,2)+1</x:f>
        <x:v>43969</x:v>
      </x:c>
      <x:c r="K312" s="1" t="n">
        <x:f>YEAR(J312+3)</x:f>
        <x:v>2020</x:v>
      </x:c>
      <x:c r="L312" s="1" t="n">
        <x:f>INT((J312-DATE(K312,1,4)+WEEKDAY(DATE(K312,1,4),2)-1)/7)+1</x:f>
        <x:v>21</x:v>
      </x:c>
      <x:c r="M312" s="1" t="str">
        <x:f>A312&amp;"|"&amp;B312</x:f>
        <x:v>43971|Краснодар</x:v>
      </x:c>
      <x:c r="N312" s="1" t="n">
        <x:f>COUNTIFS('Лист2'!$F$2:$F$505,M312)</x:f>
        <x:v>1</x:v>
      </x:c>
      <x:c r="O312" s="1"/>
      <x:c r="P312" s="1"/>
      <x:c r="Q312" s="1"/>
    </x:row>
    <x:row r="313" ht="21" customHeight="1">
      <x:c r="A313" s="5" t="n">
        <x:f>'Лист1'!A313</x:f>
        <x:v>43971</x:v>
      </x:c>
      <x:c r="B313" s="1" t="str">
        <x:f>'Лист1'!B313</x:f>
        <x:v>Москва Восток</x:v>
      </x:c>
      <x:c r="C313" s="1" t="n">
        <x:f>'Лист1'!C313</x:f>
        <x:v>214885.5</x:v>
      </x:c>
      <x:c r="D313" s="6" t="n">
        <x:f>'Лист1'!D313</x:f>
        <x:v>21411349.5</x:v>
      </x:c>
      <x:c r="E313" s="6" t="n">
        <x:f>'Лист1'!E313</x:f>
        <x:v>15600701.422999999</x:v>
      </x:c>
      <x:c r="F313" s="6" t="n">
        <x:f>'Лист1'!F313</x:f>
        <x:v>410370.5153846154</x:v>
      </x:c>
      <x:c r="G313" s="1" t="n">
        <x:f>IF(N313=1,SUMIFS('Лист2'!$C$2:$C$505,'Лист2'!$A$2:$A$505,A313,'Лист2'!$B$2:$B$505,B313),NA())</x:f>
        <x:v>54</x:v>
      </x:c>
      <x:c r="H313" s="1" t="n">
        <x:f>IF(N313=1,SUMIFS('Лист2'!$D$2:$D$505,'Лист2'!$A$2:$A$505,A313,'Лист2'!$B$2:$B$505,B313),NA())</x:f>
        <x:v>13298</x:v>
      </x:c>
      <x:c r="I313" s="1" t="n">
        <x:f>IF(N313=1,SUMIFS('Лист2'!$E$2:$E$505,'Лист2'!$A$2:$A$505,A313,'Лист2'!$B$2:$B$505,B313),NA())</x:f>
        <x:v>12428</x:v>
      </x:c>
      <x:c r="J313" s="5" t="n">
        <x:f>A313-WEEKDAY(A313,2)+1</x:f>
        <x:v>43969</x:v>
      </x:c>
      <x:c r="K313" s="1" t="n">
        <x:f>YEAR(J313+3)</x:f>
        <x:v>2020</x:v>
      </x:c>
      <x:c r="L313" s="1" t="n">
        <x:f>INT((J313-DATE(K313,1,4)+WEEKDAY(DATE(K313,1,4),2)-1)/7)+1</x:f>
        <x:v>21</x:v>
      </x:c>
      <x:c r="M313" s="1" t="str">
        <x:f>A313&amp;"|"&amp;B313</x:f>
        <x:v>43971|Москва Восток</x:v>
      </x:c>
      <x:c r="N313" s="1" t="n">
        <x:f>COUNTIFS('Лист2'!$F$2:$F$505,M313)</x:f>
        <x:v>1</x:v>
      </x:c>
      <x:c r="O313" s="1"/>
      <x:c r="P313" s="1"/>
      <x:c r="Q313" s="1"/>
    </x:row>
    <x:row r="314" ht="21" customHeight="1">
      <x:c r="A314" s="5" t="n">
        <x:f>'Лист1'!A314</x:f>
        <x:v>43971</x:v>
      </x:c>
      <x:c r="B314" s="1" t="str">
        <x:f>'Лист1'!B314</x:f>
        <x:v>Москва Запад</x:v>
      </x:c>
      <x:c r="C314" s="1" t="n">
        <x:f>'Лист1'!C314</x:f>
        <x:v>219622.5</x:v>
      </x:c>
      <x:c r="D314" s="6" t="n">
        <x:f>'Лист1'!D314</x:f>
        <x:v>21959286</x:v>
      </x:c>
      <x:c r="E314" s="6" t="n">
        <x:f>'Лист1'!E314</x:f>
        <x:v>15958453.928</x:v>
      </x:c>
      <x:c r="F314" s="6" t="n">
        <x:f>'Лист1'!F314</x:f>
        <x:v>417117.17692307686</x:v>
      </x:c>
      <x:c r="G314" s="1" t="n">
        <x:f>IF(N314=1,SUMIFS('Лист2'!$C$2:$C$505,'Лист2'!$A$2:$A$505,A314,'Лист2'!$B$2:$B$505,B314),NA())</x:f>
        <x:v>60</x:v>
      </x:c>
      <x:c r="H314" s="1" t="n">
        <x:f>IF(N314=1,SUMIFS('Лист2'!$D$2:$D$505,'Лист2'!$A$2:$A$505,A314,'Лист2'!$B$2:$B$505,B314),NA())</x:f>
        <x:v>13792</x:v>
      </x:c>
      <x:c r="I314" s="1" t="n">
        <x:f>IF(N314=1,SUMIFS('Лист2'!$E$2:$E$505,'Лист2'!$A$2:$A$505,A314,'Лист2'!$B$2:$B$505,B314),NA())</x:f>
        <x:v>12834</x:v>
      </x:c>
      <x:c r="J314" s="5" t="n">
        <x:f>A314-WEEKDAY(A314,2)+1</x:f>
        <x:v>43969</x:v>
      </x:c>
      <x:c r="K314" s="1" t="n">
        <x:f>YEAR(J314+3)</x:f>
        <x:v>2020</x:v>
      </x:c>
      <x:c r="L314" s="1" t="n">
        <x:f>INT((J314-DATE(K314,1,4)+WEEKDAY(DATE(K314,1,4),2)-1)/7)+1</x:f>
        <x:v>21</x:v>
      </x:c>
      <x:c r="M314" s="1" t="str">
        <x:f>A314&amp;"|"&amp;B314</x:f>
        <x:v>43971|Москва Запад</x:v>
      </x:c>
      <x:c r="N314" s="1" t="n">
        <x:f>COUNTIFS('Лист2'!$F$2:$F$505,M314)</x:f>
        <x:v>1</x:v>
      </x:c>
      <x:c r="O314" s="1"/>
      <x:c r="P314" s="1"/>
      <x:c r="Q314" s="1"/>
    </x:row>
    <x:row r="315" ht="21" customHeight="1">
      <x:c r="A315" s="5" t="n">
        <x:f>'Лист1'!A315</x:f>
        <x:v>43971</x:v>
      </x:c>
      <x:c r="B315" s="1" t="str">
        <x:f>'Лист1'!B315</x:f>
        <x:v>Нижний Новгород</x:v>
      </x:c>
      <x:c r="C315" s="1" t="n">
        <x:f>'Лист1'!C315</x:f>
        <x:v>29955</x:v>
      </x:c>
      <x:c r="D315" s="6" t="n">
        <x:f>'Лист1'!D315</x:f>
        <x:v>2692230</x:v>
      </x:c>
      <x:c r="E315" s="6" t="n">
        <x:f>'Лист1'!E315</x:f>
        <x:v>2195766.121</x:v>
      </x:c>
      <x:c r="F315" s="6" t="n">
        <x:f>'Лист1'!F315</x:f>
        <x:v>202002.14775384613</x:v>
      </x:c>
      <x:c r="G315" s="1" t="n">
        <x:f>IF(N315=1,SUMIFS('Лист2'!$C$2:$C$505,'Лист2'!$A$2:$A$505,A315,'Лист2'!$B$2:$B$505,B315),NA())</x:f>
        <x:v>19</x:v>
      </x:c>
      <x:c r="H315" s="1" t="n">
        <x:f>IF(N315=1,SUMIFS('Лист2'!$D$2:$D$505,'Лист2'!$A$2:$A$505,A315,'Лист2'!$B$2:$B$505,B315),NA())</x:f>
        <x:v>1889</x:v>
      </x:c>
      <x:c r="I315" s="1" t="n">
        <x:f>IF(N315=1,SUMIFS('Лист2'!$E$2:$E$505,'Лист2'!$A$2:$A$505,A315,'Лист2'!$B$2:$B$505,B315),NA())</x:f>
        <x:v>1690</x:v>
      </x:c>
      <x:c r="J315" s="5" t="n">
        <x:f>A315-WEEKDAY(A315,2)+1</x:f>
        <x:v>43969</x:v>
      </x:c>
      <x:c r="K315" s="1" t="n">
        <x:f>YEAR(J315+3)</x:f>
        <x:v>2020</x:v>
      </x:c>
      <x:c r="L315" s="1" t="n">
        <x:f>INT((J315-DATE(K315,1,4)+WEEKDAY(DATE(K315,1,4),2)-1)/7)+1</x:f>
        <x:v>21</x:v>
      </x:c>
      <x:c r="M315" s="1" t="str">
        <x:f>A315&amp;"|"&amp;B315</x:f>
        <x:v>43971|Нижний Новгород</x:v>
      </x:c>
      <x:c r="N315" s="1" t="n">
        <x:f>COUNTIFS('Лист2'!$F$2:$F$505,M315)</x:f>
        <x:v>1</x:v>
      </x:c>
      <x:c r="O315" s="1"/>
      <x:c r="P315" s="1"/>
      <x:c r="Q315" s="1"/>
    </x:row>
    <x:row r="316" ht="21" customHeight="1">
      <x:c r="A316" s="5" t="n">
        <x:f>'Лист1'!A316</x:f>
        <x:v>43971</x:v>
      </x:c>
      <x:c r="B316" s="1" t="str">
        <x:f>'Лист1'!B316</x:f>
        <x:v>Новосибирск</x:v>
      </x:c>
      <x:c r="C316" s="1" t="n">
        <x:f>'Лист1'!C316</x:f>
        <x:v>14928</x:v>
      </x:c>
      <x:c r="D316" s="6" t="n">
        <x:f>'Лист1'!D316</x:f>
        <x:v>1217749.5</x:v>
      </x:c>
      <x:c r="E316" s="6" t="n">
        <x:f>'Лист1'!E316</x:f>
        <x:v>1025585.5199999999</x:v>
      </x:c>
      <x:c r="F316" s="6" t="n">
        <x:f>'Лист1'!F316</x:f>
        <x:v>84618.75436923077</x:v>
      </x:c>
      <x:c r="G316" s="1" t="n">
        <x:f>IF(N316=1,SUMIFS('Лист2'!$C$2:$C$505,'Лист2'!$A$2:$A$505,A316,'Лист2'!$B$2:$B$505,B316),NA())</x:f>
        <x:v>17</x:v>
      </x:c>
      <x:c r="H316" s="1" t="n">
        <x:f>IF(N316=1,SUMIFS('Лист2'!$D$2:$D$505,'Лист2'!$A$2:$A$505,A316,'Лист2'!$B$2:$B$505,B316),NA())</x:f>
        <x:v>890</x:v>
      </x:c>
      <x:c r="I316" s="1" t="n">
        <x:f>IF(N316=1,SUMIFS('Лист2'!$E$2:$E$505,'Лист2'!$A$2:$A$505,A316,'Лист2'!$B$2:$B$505,B316),NA())</x:f>
        <x:v>794</x:v>
      </x:c>
      <x:c r="J316" s="5" t="n">
        <x:f>A316-WEEKDAY(A316,2)+1</x:f>
        <x:v>43969</x:v>
      </x:c>
      <x:c r="K316" s="1" t="n">
        <x:f>YEAR(J316+3)</x:f>
        <x:v>2020</x:v>
      </x:c>
      <x:c r="L316" s="1" t="n">
        <x:f>INT((J316-DATE(K316,1,4)+WEEKDAY(DATE(K316,1,4),2)-1)/7)+1</x:f>
        <x:v>21</x:v>
      </x:c>
      <x:c r="M316" s="1" t="str">
        <x:f>A316&amp;"|"&amp;B316</x:f>
        <x:v>43971|Новосибирск</x:v>
      </x:c>
      <x:c r="N316" s="1" t="n">
        <x:f>COUNTIFS('Лист2'!$F$2:$F$505,M316)</x:f>
        <x:v>1</x:v>
      </x:c>
      <x:c r="O316" s="1"/>
      <x:c r="P316" s="1"/>
      <x:c r="Q316" s="1"/>
    </x:row>
    <x:row r="317" ht="21" customHeight="1">
      <x:c r="A317" s="5" t="n">
        <x:f>'Лист1'!A317</x:f>
        <x:v>43971</x:v>
      </x:c>
      <x:c r="B317" s="1" t="str">
        <x:f>'Лист1'!B317</x:f>
        <x:v>Пермь</x:v>
      </x:c>
      <x:c r="C317" s="1" t="n">
        <x:f>'Лист1'!C317</x:f>
        <x:v>17329.5</x:v>
      </x:c>
      <x:c r="D317" s="6" t="n">
        <x:f>'Лист1'!D317</x:f>
        <x:v>1430254.5</x:v>
      </x:c>
      <x:c r="E317" s="6" t="n">
        <x:f>'Лист1'!E317</x:f>
        <x:v>1175778.837</x:v>
      </x:c>
      <x:c r="F317" s="6" t="n">
        <x:f>'Лист1'!F317</x:f>
        <x:v>286968.8769230769</x:v>
      </x:c>
      <x:c r="G317" s="1" t="n">
        <x:f>IF(N317=1,SUMIFS('Лист2'!$C$2:$C$505,'Лист2'!$A$2:$A$505,A317,'Лист2'!$B$2:$B$505,B317),NA())</x:f>
        <x:v>16</x:v>
      </x:c>
      <x:c r="H317" s="1" t="n">
        <x:f>IF(N317=1,SUMIFS('Лист2'!$D$2:$D$505,'Лист2'!$A$2:$A$505,A317,'Лист2'!$B$2:$B$505,B317),NA())</x:f>
        <x:v>1050</x:v>
      </x:c>
      <x:c r="I317" s="1" t="n">
        <x:f>IF(N317=1,SUMIFS('Лист2'!$E$2:$E$505,'Лист2'!$A$2:$A$505,A317,'Лист2'!$B$2:$B$505,B317),NA())</x:f>
        <x:v>938</x:v>
      </x:c>
      <x:c r="J317" s="5" t="n">
        <x:f>A317-WEEKDAY(A317,2)+1</x:f>
        <x:v>43969</x:v>
      </x:c>
      <x:c r="K317" s="1" t="n">
        <x:f>YEAR(J317+3)</x:f>
        <x:v>2020</x:v>
      </x:c>
      <x:c r="L317" s="1" t="n">
        <x:f>INT((J317-DATE(K317,1,4)+WEEKDAY(DATE(K317,1,4),2)-1)/7)+1</x:f>
        <x:v>21</x:v>
      </x:c>
      <x:c r="M317" s="1" t="str">
        <x:f>A317&amp;"|"&amp;B317</x:f>
        <x:v>43971|Пермь</x:v>
      </x:c>
      <x:c r="N317" s="1" t="n">
        <x:f>COUNTIFS('Лист2'!$F$2:$F$505,M317)</x:f>
        <x:v>1</x:v>
      </x:c>
      <x:c r="O317" s="1"/>
      <x:c r="P317" s="1"/>
      <x:c r="Q317" s="1"/>
    </x:row>
    <x:row r="318" ht="21" customHeight="1">
      <x:c r="A318" s="5" t="n">
        <x:f>'Лист1'!A318</x:f>
        <x:v>43971</x:v>
      </x:c>
      <x:c r="B318" s="1" t="str">
        <x:f>'Лист1'!B318</x:f>
        <x:v>Ростов-на-Дону</x:v>
      </x:c>
      <x:c r="C318" s="1" t="n">
        <x:f>'Лист1'!C318</x:f>
        <x:v>12630</x:v>
      </x:c>
      <x:c r="D318" s="6" t="n">
        <x:f>'Лист1'!D318</x:f>
        <x:v>1104858</x:v>
      </x:c>
      <x:c r="E318" s="6" t="n">
        <x:f>'Лист1'!E318</x:f>
        <x:v>915994.1189999998</x:v>
      </x:c>
      <x:c r="F318" s="6" t="n">
        <x:f>'Лист1'!F318</x:f>
        <x:v>161654.46923076923</x:v>
      </x:c>
      <x:c r="G318" s="1" t="n">
        <x:f>IF(N318=1,SUMIFS('Лист2'!$C$2:$C$505,'Лист2'!$A$2:$A$505,A318,'Лист2'!$B$2:$B$505,B318),NA())</x:f>
        <x:v>15</x:v>
      </x:c>
      <x:c r="H318" s="1" t="n">
        <x:f>IF(N318=1,SUMIFS('Лист2'!$D$2:$D$505,'Лист2'!$A$2:$A$505,A318,'Лист2'!$B$2:$B$505,B318),NA())</x:f>
        <x:v>760</x:v>
      </x:c>
      <x:c r="I318" s="1" t="n">
        <x:f>IF(N318=1,SUMIFS('Лист2'!$E$2:$E$505,'Лист2'!$A$2:$A$505,A318,'Лист2'!$B$2:$B$505,B318),NA())</x:f>
        <x:v>664</x:v>
      </x:c>
      <x:c r="J318" s="5" t="n">
        <x:f>A318-WEEKDAY(A318,2)+1</x:f>
        <x:v>43969</x:v>
      </x:c>
      <x:c r="K318" s="1" t="n">
        <x:f>YEAR(J318+3)</x:f>
        <x:v>2020</x:v>
      </x:c>
      <x:c r="L318" s="1" t="n">
        <x:f>INT((J318-DATE(K318,1,4)+WEEKDAY(DATE(K318,1,4),2)-1)/7)+1</x:f>
        <x:v>21</x:v>
      </x:c>
      <x:c r="M318" s="1" t="str">
        <x:f>A318&amp;"|"&amp;B318</x:f>
        <x:v>43971|Ростов-на-Дону</x:v>
      </x:c>
      <x:c r="N318" s="1" t="n">
        <x:f>COUNTIFS('Лист2'!$F$2:$F$505,M318)</x:f>
        <x:v>1</x:v>
      </x:c>
      <x:c r="O318" s="1"/>
      <x:c r="P318" s="1"/>
      <x:c r="Q318" s="1"/>
    </x:row>
    <x:row r="319" ht="21" customHeight="1">
      <x:c r="A319" s="5" t="n">
        <x:f>'Лист1'!A319</x:f>
        <x:v>43971</x:v>
      </x:c>
      <x:c r="B319" s="1" t="str">
        <x:f>'Лист1'!B319</x:f>
        <x:v>Санкт-Петербург Север</x:v>
      </x:c>
      <x:c r="C319" s="1" t="n">
        <x:f>'Лист1'!C319</x:f>
        <x:v>388668</x:v>
      </x:c>
      <x:c r="D319" s="6" t="n">
        <x:f>'Лист1'!D319</x:f>
        <x:v>39639309</x:v>
      </x:c>
      <x:c r="E319" s="6" t="n">
        <x:f>'Лист1'!E319</x:f>
        <x:v>28736966.634</x:v>
      </x:c>
      <x:c r="F319" s="6" t="n">
        <x:f>'Лист1'!F319</x:f>
        <x:v>997757.7538461538</x:v>
      </x:c>
      <x:c r="G319" s="1" t="n">
        <x:f>IF(N319=1,SUMIFS('Лист2'!$C$2:$C$505,'Лист2'!$A$2:$A$505,A319,'Лист2'!$B$2:$B$505,B319),NA())</x:f>
        <x:v>125</x:v>
      </x:c>
      <x:c r="H319" s="1" t="n">
        <x:f>IF(N319=1,SUMIFS('Лист2'!$D$2:$D$505,'Лист2'!$A$2:$A$505,A319,'Лист2'!$B$2:$B$505,B319),NA())</x:f>
        <x:v>21674</x:v>
      </x:c>
      <x:c r="I319" s="1" t="n">
        <x:f>IF(N319=1,SUMIFS('Лист2'!$E$2:$E$505,'Лист2'!$A$2:$A$505,A319,'Лист2'!$B$2:$B$505,B319),NA())</x:f>
        <x:v>20155</x:v>
      </x:c>
      <x:c r="J319" s="5" t="n">
        <x:f>A319-WEEKDAY(A319,2)+1</x:f>
        <x:v>43969</x:v>
      </x:c>
      <x:c r="K319" s="1" t="n">
        <x:f>YEAR(J319+3)</x:f>
        <x:v>2020</x:v>
      </x:c>
      <x:c r="L319" s="1" t="n">
        <x:f>INT((J319-DATE(K319,1,4)+WEEKDAY(DATE(K319,1,4),2)-1)/7)+1</x:f>
        <x:v>21</x:v>
      </x:c>
      <x:c r="M319" s="1" t="str">
        <x:f>A319&amp;"|"&amp;B319</x:f>
        <x:v>43971|Санкт-Петербург Север</x:v>
      </x:c>
      <x:c r="N319" s="1" t="n">
        <x:f>COUNTIFS('Лист2'!$F$2:$F$505,M319)</x:f>
        <x:v>1</x:v>
      </x:c>
      <x:c r="O319" s="1"/>
      <x:c r="P319" s="1"/>
      <x:c r="Q319" s="1"/>
    </x:row>
    <x:row r="320" ht="21" customHeight="1">
      <x:c r="A320" s="5" t="n">
        <x:f>'Лист1'!A320</x:f>
        <x:v>43971</x:v>
      </x:c>
      <x:c r="B320" s="1" t="str">
        <x:f>'Лист1'!B320</x:f>
        <x:v>Санкт-Петербург Юг</x:v>
      </x:c>
      <x:c r="C320" s="1" t="n">
        <x:f>'Лист1'!C320</x:f>
        <x:v>300151.5</x:v>
      </x:c>
      <x:c r="D320" s="6" t="n">
        <x:f>'Лист1'!D320</x:f>
        <x:v>29368771.61745</x:v>
      </x:c>
      <x:c r="E320" s="6" t="n">
        <x:f>'Лист1'!E320</x:f>
        <x:v>21545834.136</x:v>
      </x:c>
      <x:c r="F320" s="6" t="n">
        <x:f>'Лист1'!F320</x:f>
        <x:v>1052145.9026769232</x:v>
      </x:c>
      <x:c r="G320" s="1" t="n">
        <x:f>IF(N320=1,SUMIFS('Лист2'!$C$2:$C$505,'Лист2'!$A$2:$A$505,A320,'Лист2'!$B$2:$B$505,B320),NA())</x:f>
        <x:v>129</x:v>
      </x:c>
      <x:c r="H320" s="1" t="n">
        <x:f>IF(N320=1,SUMIFS('Лист2'!$D$2:$D$505,'Лист2'!$A$2:$A$505,A320,'Лист2'!$B$2:$B$505,B320),NA())</x:f>
        <x:v>17095</x:v>
      </x:c>
      <x:c r="I320" s="1" t="n">
        <x:f>IF(N320=1,SUMIFS('Лист2'!$E$2:$E$505,'Лист2'!$A$2:$A$505,A320,'Лист2'!$B$2:$B$505,B320),NA())</x:f>
        <x:v>15919</x:v>
      </x:c>
      <x:c r="J320" s="5" t="n">
        <x:f>A320-WEEKDAY(A320,2)+1</x:f>
        <x:v>43969</x:v>
      </x:c>
      <x:c r="K320" s="1" t="n">
        <x:f>YEAR(J320+3)</x:f>
        <x:v>2020</x:v>
      </x:c>
      <x:c r="L320" s="1" t="n">
        <x:f>INT((J320-DATE(K320,1,4)+WEEKDAY(DATE(K320,1,4),2)-1)/7)+1</x:f>
        <x:v>21</x:v>
      </x:c>
      <x:c r="M320" s="1" t="str">
        <x:f>A320&amp;"|"&amp;B320</x:f>
        <x:v>43971|Санкт-Петербург Юг</x:v>
      </x:c>
      <x:c r="N320" s="1" t="n">
        <x:f>COUNTIFS('Лист2'!$F$2:$F$505,M320)</x:f>
        <x:v>1</x:v>
      </x:c>
      <x:c r="O320" s="1"/>
      <x:c r="P320" s="1"/>
      <x:c r="Q320" s="1"/>
    </x:row>
    <x:row r="321" ht="21" customHeight="1">
      <x:c r="A321" s="5" t="n">
        <x:f>'Лист1'!A321</x:f>
        <x:v>43971</x:v>
      </x:c>
      <x:c r="B321" s="1" t="str">
        <x:f>'Лист1'!B321</x:f>
        <x:v>Тольятти</x:v>
      </x:c>
      <x:c r="C321" s="1" t="n">
        <x:f>'Лист1'!C321</x:f>
        <x:v>13063.5</x:v>
      </x:c>
      <x:c r="D321" s="6" t="n">
        <x:f>'Лист1'!D321</x:f>
        <x:v>1037247</x:v>
      </x:c>
      <x:c r="E321" s="6" t="n">
        <x:f>'Лист1'!E321</x:f>
        <x:v>910480.6449999999</x:v>
      </x:c>
      <x:c r="F321" s="6" t="n">
        <x:f>'Лист1'!F321</x:f>
        <x:v>64430.96412307692</x:v>
      </x:c>
      <x:c r="G321" s="1" t="n">
        <x:f>IF(N321=1,SUMIFS('Лист2'!$C$2:$C$505,'Лист2'!$A$2:$A$505,A321,'Лист2'!$B$2:$B$505,B321),NA())</x:f>
        <x:v>10</x:v>
      </x:c>
      <x:c r="H321" s="1" t="n">
        <x:f>IF(N321=1,SUMIFS('Лист2'!$D$2:$D$505,'Лист2'!$A$2:$A$505,A321,'Лист2'!$B$2:$B$505,B321),NA())</x:f>
        <x:v>745</x:v>
      </x:c>
      <x:c r="I321" s="1" t="n">
        <x:f>IF(N321=1,SUMIFS('Лист2'!$E$2:$E$505,'Лист2'!$A$2:$A$505,A321,'Лист2'!$B$2:$B$505,B321),NA())</x:f>
        <x:v>654</x:v>
      </x:c>
      <x:c r="J321" s="5" t="n">
        <x:f>A321-WEEKDAY(A321,2)+1</x:f>
        <x:v>43969</x:v>
      </x:c>
      <x:c r="K321" s="1" t="n">
        <x:f>YEAR(J321+3)</x:f>
        <x:v>2020</x:v>
      </x:c>
      <x:c r="L321" s="1" t="n">
        <x:f>INT((J321-DATE(K321,1,4)+WEEKDAY(DATE(K321,1,4),2)-1)/7)+1</x:f>
        <x:v>21</x:v>
      </x:c>
      <x:c r="M321" s="1" t="str">
        <x:f>A321&amp;"|"&amp;B321</x:f>
        <x:v>43971|Тольятти</x:v>
      </x:c>
      <x:c r="N321" s="1" t="n">
        <x:f>COUNTIFS('Лист2'!$F$2:$F$505,M321)</x:f>
        <x:v>1</x:v>
      </x:c>
      <x:c r="O321" s="1"/>
      <x:c r="P321" s="1"/>
      <x:c r="Q321" s="1"/>
    </x:row>
    <x:row r="322" ht="21" customHeight="1">
      <x:c r="A322" s="5" t="n">
        <x:f>'Лист1'!A322</x:f>
        <x:v>43972</x:v>
      </x:c>
      <x:c r="B322" s="1" t="str">
        <x:f>'Лист1'!B322</x:f>
        <x:v>Волгоград</x:v>
      </x:c>
      <x:c r="C322" s="1" t="n">
        <x:f>'Лист1'!C322</x:f>
        <x:v>73126.5</x:v>
      </x:c>
      <x:c r="D322" s="6" t="n">
        <x:f>'Лист1'!D322</x:f>
        <x:v>5864085</x:v>
      </x:c>
      <x:c r="E322" s="6" t="n">
        <x:f>'Лист1'!E322</x:f>
        <x:v>4847142.986</x:v>
      </x:c>
      <x:c r="F322" s="6" t="n">
        <x:f>'Лист1'!F322</x:f>
        <x:v>142998.2095</x:v>
      </x:c>
      <x:c r="G322" s="1" t="n">
        <x:f>IF(N322=1,SUMIFS('Лист2'!$C$2:$C$505,'Лист2'!$A$2:$A$505,A322,'Лист2'!$B$2:$B$505,B322),NA())</x:f>
        <x:v>36</x:v>
      </x:c>
      <x:c r="H322" s="1" t="n">
        <x:f>IF(N322=1,SUMIFS('Лист2'!$D$2:$D$505,'Лист2'!$A$2:$A$505,A322,'Лист2'!$B$2:$B$505,B322),NA())</x:f>
        <x:v>4816</x:v>
      </x:c>
      <x:c r="I322" s="1" t="n">
        <x:f>IF(N322=1,SUMIFS('Лист2'!$E$2:$E$505,'Лист2'!$A$2:$A$505,A322,'Лист2'!$B$2:$B$505,B322),NA())</x:f>
        <x:v>4452</x:v>
      </x:c>
      <x:c r="J322" s="5" t="n">
        <x:f>A322-WEEKDAY(A322,2)+1</x:f>
        <x:v>43969</x:v>
      </x:c>
      <x:c r="K322" s="1" t="n">
        <x:f>YEAR(J322+3)</x:f>
        <x:v>2020</x:v>
      </x:c>
      <x:c r="L322" s="1" t="n">
        <x:f>INT((J322-DATE(K322,1,4)+WEEKDAY(DATE(K322,1,4),2)-1)/7)+1</x:f>
        <x:v>21</x:v>
      </x:c>
      <x:c r="M322" s="1" t="str">
        <x:f>A322&amp;"|"&amp;B322</x:f>
        <x:v>43972|Волгоград</x:v>
      </x:c>
      <x:c r="N322" s="1" t="n">
        <x:f>COUNTIFS('Лист2'!$F$2:$F$505,M322)</x:f>
        <x:v>1</x:v>
      </x:c>
      <x:c r="O322" s="1"/>
      <x:c r="P322" s="1"/>
      <x:c r="Q322" s="1"/>
    </x:row>
    <x:row r="323" ht="21" customHeight="1">
      <x:c r="A323" s="5" t="n">
        <x:f>'Лист1'!A323</x:f>
        <x:v>43972</x:v>
      </x:c>
      <x:c r="B323" s="1" t="str">
        <x:f>'Лист1'!B323</x:f>
        <x:v>Екатеринбург</x:v>
      </x:c>
      <x:c r="C323" s="1" t="n">
        <x:f>'Лист1'!C323</x:f>
        <x:v>79485</x:v>
      </x:c>
      <x:c r="D323" s="6" t="n">
        <x:f>'Лист1'!D323</x:f>
        <x:v>6633847.5</x:v>
      </x:c>
      <x:c r="E323" s="6" t="n">
        <x:f>'Лист1'!E323</x:f>
        <x:v>5212858.58</x:v>
      </x:c>
      <x:c r="F323" s="6" t="n">
        <x:f>'Лист1'!F323</x:f>
        <x:v>120955.33846153846</x:v>
      </x:c>
      <x:c r="G323" s="1" t="n">
        <x:f>IF(N323=1,SUMIFS('Лист2'!$C$2:$C$505,'Лист2'!$A$2:$A$505,A323,'Лист2'!$B$2:$B$505,B323),NA())</x:f>
        <x:v>31</x:v>
      </x:c>
      <x:c r="H323" s="1" t="n">
        <x:f>IF(N323=1,SUMIFS('Лист2'!$D$2:$D$505,'Лист2'!$A$2:$A$505,A323,'Лист2'!$B$2:$B$505,B323),NA())</x:f>
        <x:v>5207</x:v>
      </x:c>
      <x:c r="I323" s="1" t="n">
        <x:f>IF(N323=1,SUMIFS('Лист2'!$E$2:$E$505,'Лист2'!$A$2:$A$505,A323,'Лист2'!$B$2:$B$505,B323),NA())</x:f>
        <x:v>4868</x:v>
      </x:c>
      <x:c r="J323" s="5" t="n">
        <x:f>A323-WEEKDAY(A323,2)+1</x:f>
        <x:v>43969</x:v>
      </x:c>
      <x:c r="K323" s="1" t="n">
        <x:f>YEAR(J323+3)</x:f>
        <x:v>2020</x:v>
      </x:c>
      <x:c r="L323" s="1" t="n">
        <x:f>INT((J323-DATE(K323,1,4)+WEEKDAY(DATE(K323,1,4),2)-1)/7)+1</x:f>
        <x:v>21</x:v>
      </x:c>
      <x:c r="M323" s="1" t="str">
        <x:f>A323&amp;"|"&amp;B323</x:f>
        <x:v>43972|Екатеринбург</x:v>
      </x:c>
      <x:c r="N323" s="1" t="n">
        <x:f>COUNTIFS('Лист2'!$F$2:$F$505,M323)</x:f>
        <x:v>1</x:v>
      </x:c>
      <x:c r="O323" s="1"/>
      <x:c r="P323" s="1"/>
      <x:c r="Q323" s="1"/>
    </x:row>
    <x:row r="324" ht="21" customHeight="1">
      <x:c r="A324" s="5" t="n">
        <x:f>'Лист1'!A324</x:f>
        <x:v>43972</x:v>
      </x:c>
      <x:c r="B324" s="1" t="str">
        <x:f>'Лист1'!B324</x:f>
        <x:v>Казань</x:v>
      </x:c>
      <x:c r="C324" s="1" t="n">
        <x:f>'Лист1'!C324</x:f>
        <x:v>40819.5</x:v>
      </x:c>
      <x:c r="D324" s="6" t="n">
        <x:f>'Лист1'!D324</x:f>
        <x:v>3810394.5</x:v>
      </x:c>
      <x:c r="E324" s="6" t="n">
        <x:f>'Лист1'!E324</x:f>
        <x:v>3046897.794</x:v>
      </x:c>
      <x:c r="F324" s="6" t="n">
        <x:f>'Лист1'!F324</x:f>
        <x:v>144594.4076923077</x:v>
      </x:c>
      <x:c r="G324" s="1" t="n">
        <x:f>IF(N324=1,SUMIFS('Лист2'!$C$2:$C$505,'Лист2'!$A$2:$A$505,A324,'Лист2'!$B$2:$B$505,B324),NA())</x:f>
        <x:v>21</x:v>
      </x:c>
      <x:c r="H324" s="1" t="n">
        <x:f>IF(N324=1,SUMIFS('Лист2'!$D$2:$D$505,'Лист2'!$A$2:$A$505,A324,'Лист2'!$B$2:$B$505,B324),NA())</x:f>
        <x:v>2335</x:v>
      </x:c>
      <x:c r="I324" s="1" t="n">
        <x:f>IF(N324=1,SUMIFS('Лист2'!$E$2:$E$505,'Лист2'!$A$2:$A$505,A324,'Лист2'!$B$2:$B$505,B324),NA())</x:f>
        <x:v>2126</x:v>
      </x:c>
      <x:c r="J324" s="5" t="n">
        <x:f>A324-WEEKDAY(A324,2)+1</x:f>
        <x:v>43969</x:v>
      </x:c>
      <x:c r="K324" s="1" t="n">
        <x:f>YEAR(J324+3)</x:f>
        <x:v>2020</x:v>
      </x:c>
      <x:c r="L324" s="1" t="n">
        <x:f>INT((J324-DATE(K324,1,4)+WEEKDAY(DATE(K324,1,4),2)-1)/7)+1</x:f>
        <x:v>21</x:v>
      </x:c>
      <x:c r="M324" s="1" t="str">
        <x:f>A324&amp;"|"&amp;B324</x:f>
        <x:v>43972|Казань</x:v>
      </x:c>
      <x:c r="N324" s="1" t="n">
        <x:f>COUNTIFS('Лист2'!$F$2:$F$505,M324)</x:f>
        <x:v>1</x:v>
      </x:c>
      <x:c r="O324" s="1"/>
      <x:c r="P324" s="1"/>
      <x:c r="Q324" s="1"/>
    </x:row>
    <x:row r="325" ht="21" customHeight="1">
      <x:c r="A325" s="5" t="n">
        <x:f>'Лист1'!A325</x:f>
        <x:v>43972</x:v>
      </x:c>
      <x:c r="B325" s="1" t="str">
        <x:f>'Лист1'!B325</x:f>
        <x:v>Кемерово</x:v>
      </x:c>
      <x:c r="C325" s="1" t="n">
        <x:f>'Лист1'!C325</x:f>
        <x:v>31272</x:v>
      </x:c>
      <x:c r="D325" s="6" t="n">
        <x:f>'Лист1'!D325</x:f>
        <x:v>2744382</x:v>
      </x:c>
      <x:c r="E325" s="6" t="n">
        <x:f>'Лист1'!E325</x:f>
        <x:v>2257728.2139999997</x:v>
      </x:c>
      <x:c r="F325" s="6" t="n">
        <x:f>'Лист1'!F325</x:f>
        <x:v>301623.7923076923</x:v>
      </x:c>
      <x:c r="G325" s="1" t="n">
        <x:f>IF(N325=1,SUMIFS('Лист2'!$C$2:$C$505,'Лист2'!$A$2:$A$505,A325,'Лист2'!$B$2:$B$505,B325),NA())</x:f>
        <x:v>21</x:v>
      </x:c>
      <x:c r="H325" s="1" t="n">
        <x:f>IF(N325=1,SUMIFS('Лист2'!$D$2:$D$505,'Лист2'!$A$2:$A$505,A325,'Лист2'!$B$2:$B$505,B325),NA())</x:f>
        <x:v>1787</x:v>
      </x:c>
      <x:c r="I325" s="1" t="n">
        <x:f>IF(N325=1,SUMIFS('Лист2'!$E$2:$E$505,'Лист2'!$A$2:$A$505,A325,'Лист2'!$B$2:$B$505,B325),NA())</x:f>
        <x:v>1626</x:v>
      </x:c>
      <x:c r="J325" s="5" t="n">
        <x:f>A325-WEEKDAY(A325,2)+1</x:f>
        <x:v>43969</x:v>
      </x:c>
      <x:c r="K325" s="1" t="n">
        <x:f>YEAR(J325+3)</x:f>
        <x:v>2020</x:v>
      </x:c>
      <x:c r="L325" s="1" t="n">
        <x:f>INT((J325-DATE(K325,1,4)+WEEKDAY(DATE(K325,1,4),2)-1)/7)+1</x:f>
        <x:v>21</x:v>
      </x:c>
      <x:c r="M325" s="1" t="str">
        <x:f>A325&amp;"|"&amp;B325</x:f>
        <x:v>43972|Кемерово</x:v>
      </x:c>
      <x:c r="N325" s="1" t="n">
        <x:f>COUNTIFS('Лист2'!$F$2:$F$505,M325)</x:f>
        <x:v>1</x:v>
      </x:c>
      <x:c r="O325" s="1"/>
      <x:c r="P325" s="1"/>
      <x:c r="Q325" s="1"/>
    </x:row>
    <x:row r="326" ht="21" customHeight="1">
      <x:c r="A326" s="5" t="n">
        <x:f>'Лист1'!A326</x:f>
        <x:v>43972</x:v>
      </x:c>
      <x:c r="B326" s="1" t="str">
        <x:f>'Лист1'!B326</x:f>
        <x:v>Краснодар</x:v>
      </x:c>
      <x:c r="C326" s="1" t="n">
        <x:f>'Лист1'!C326</x:f>
        <x:v>25362</x:v>
      </x:c>
      <x:c r="D326" s="6" t="n">
        <x:f>'Лист1'!D326</x:f>
        <x:v>2198935.5</x:v>
      </x:c>
      <x:c r="E326" s="6" t="n">
        <x:f>'Лист1'!E326</x:f>
        <x:v>1755958.305</x:v>
      </x:c>
      <x:c r="F326" s="6" t="n">
        <x:f>'Лист1'!F326</x:f>
        <x:v>102833.37792307691</x:v>
      </x:c>
      <x:c r="G326" s="1" t="n">
        <x:f>IF(N326=1,SUMIFS('Лист2'!$C$2:$C$505,'Лист2'!$A$2:$A$505,A326,'Лист2'!$B$2:$B$505,B326),NA())</x:f>
        <x:v>19</x:v>
      </x:c>
      <x:c r="H326" s="1" t="n">
        <x:f>IF(N326=1,SUMIFS('Лист2'!$D$2:$D$505,'Лист2'!$A$2:$A$505,A326,'Лист2'!$B$2:$B$505,B326),NA())</x:f>
        <x:v>1650</x:v>
      </x:c>
      <x:c r="I326" s="1" t="n">
        <x:f>IF(N326=1,SUMIFS('Лист2'!$E$2:$E$505,'Лист2'!$A$2:$A$505,A326,'Лист2'!$B$2:$B$505,B326),NA())</x:f>
        <x:v>1505</x:v>
      </x:c>
      <x:c r="J326" s="5" t="n">
        <x:f>A326-WEEKDAY(A326,2)+1</x:f>
        <x:v>43969</x:v>
      </x:c>
      <x:c r="K326" s="1" t="n">
        <x:f>YEAR(J326+3)</x:f>
        <x:v>2020</x:v>
      </x:c>
      <x:c r="L326" s="1" t="n">
        <x:f>INT((J326-DATE(K326,1,4)+WEEKDAY(DATE(K326,1,4),2)-1)/7)+1</x:f>
        <x:v>21</x:v>
      </x:c>
      <x:c r="M326" s="1" t="str">
        <x:f>A326&amp;"|"&amp;B326</x:f>
        <x:v>43972|Краснодар</x:v>
      </x:c>
      <x:c r="N326" s="1" t="n">
        <x:f>COUNTIFS('Лист2'!$F$2:$F$505,M326)</x:f>
        <x:v>1</x:v>
      </x:c>
      <x:c r="O326" s="1"/>
      <x:c r="P326" s="1"/>
      <x:c r="Q326" s="1"/>
    </x:row>
    <x:row r="327" ht="21" customHeight="1">
      <x:c r="A327" s="5" t="n">
        <x:f>'Лист1'!A327</x:f>
        <x:v>43972</x:v>
      </x:c>
      <x:c r="B327" s="1" t="str">
        <x:f>'Лист1'!B327</x:f>
        <x:v>Москва Восток</x:v>
      </x:c>
      <x:c r="C327" s="1" t="n">
        <x:f>'Лист1'!C327</x:f>
        <x:v>213640.5</x:v>
      </x:c>
      <x:c r="D327" s="6" t="n">
        <x:f>'Лист1'!D327</x:f>
        <x:v>21042673.5</x:v>
      </x:c>
      <x:c r="E327" s="6" t="n">
        <x:f>'Лист1'!E327</x:f>
        <x:v>15681371.557000002</x:v>
      </x:c>
      <x:c r="F327" s="6" t="n">
        <x:f>'Лист1'!F327</x:f>
        <x:v>296732.5961538461</x:v>
      </x:c>
      <x:c r="G327" s="1" t="n">
        <x:f>IF(N327=1,SUMIFS('Лист2'!$C$2:$C$505,'Лист2'!$A$2:$A$505,A327,'Лист2'!$B$2:$B$505,B327),NA())</x:f>
        <x:v>54</x:v>
      </x:c>
      <x:c r="H327" s="1" t="n">
        <x:f>IF(N327=1,SUMIFS('Лист2'!$D$2:$D$505,'Лист2'!$A$2:$A$505,A327,'Лист2'!$B$2:$B$505,B327),NA())</x:f>
        <x:v>13240</x:v>
      </x:c>
      <x:c r="I327" s="1" t="n">
        <x:f>IF(N327=1,SUMIFS('Лист2'!$E$2:$E$505,'Лист2'!$A$2:$A$505,A327,'Лист2'!$B$2:$B$505,B327),NA())</x:f>
        <x:v>12360</x:v>
      </x:c>
      <x:c r="J327" s="5" t="n">
        <x:f>A327-WEEKDAY(A327,2)+1</x:f>
        <x:v>43969</x:v>
      </x:c>
      <x:c r="K327" s="1" t="n">
        <x:f>YEAR(J327+3)</x:f>
        <x:v>2020</x:v>
      </x:c>
      <x:c r="L327" s="1" t="n">
        <x:f>INT((J327-DATE(K327,1,4)+WEEKDAY(DATE(K327,1,4),2)-1)/7)+1</x:f>
        <x:v>21</x:v>
      </x:c>
      <x:c r="M327" s="1" t="str">
        <x:f>A327&amp;"|"&amp;B327</x:f>
        <x:v>43972|Москва Восток</x:v>
      </x:c>
      <x:c r="N327" s="1" t="n">
        <x:f>COUNTIFS('Лист2'!$F$2:$F$505,M327)</x:f>
        <x:v>1</x:v>
      </x:c>
      <x:c r="O327" s="1"/>
      <x:c r="P327" s="1"/>
      <x:c r="Q327" s="1"/>
    </x:row>
    <x:row r="328" ht="21" customHeight="1">
      <x:c r="A328" s="5" t="n">
        <x:f>'Лист1'!A328</x:f>
        <x:v>43972</x:v>
      </x:c>
      <x:c r="B328" s="1" t="str">
        <x:f>'Лист1'!B328</x:f>
        <x:v>Москва Запад</x:v>
      </x:c>
      <x:c r="C328" s="1" t="n">
        <x:f>'Лист1'!C328</x:f>
        <x:v>224233.5</x:v>
      </x:c>
      <x:c r="D328" s="6" t="n">
        <x:f>'Лист1'!D328</x:f>
        <x:v>22253295</x:v>
      </x:c>
      <x:c r="E328" s="6" t="n">
        <x:f>'Лист1'!E328</x:f>
        <x:v>16496134.314</x:v>
      </x:c>
      <x:c r="F328" s="6" t="n">
        <x:f>'Лист1'!F328</x:f>
        <x:v>334550.50769230764</x:v>
      </x:c>
      <x:c r="G328" s="1" t="n">
        <x:f>IF(N328=1,SUMIFS('Лист2'!$C$2:$C$505,'Лист2'!$A$2:$A$505,A328,'Лист2'!$B$2:$B$505,B328),NA())</x:f>
        <x:v>60</x:v>
      </x:c>
      <x:c r="H328" s="1" t="n">
        <x:f>IF(N328=1,SUMIFS('Лист2'!$D$2:$D$505,'Лист2'!$A$2:$A$505,A328,'Лист2'!$B$2:$B$505,B328),NA())</x:f>
        <x:v>14005</x:v>
      </x:c>
      <x:c r="I328" s="1" t="n">
        <x:f>IF(N328=1,SUMIFS('Лист2'!$E$2:$E$505,'Лист2'!$A$2:$A$505,A328,'Лист2'!$B$2:$B$505,B328),NA())</x:f>
        <x:v>13002</x:v>
      </x:c>
      <x:c r="J328" s="5" t="n">
        <x:f>A328-WEEKDAY(A328,2)+1</x:f>
        <x:v>43969</x:v>
      </x:c>
      <x:c r="K328" s="1" t="n">
        <x:f>YEAR(J328+3)</x:f>
        <x:v>2020</x:v>
      </x:c>
      <x:c r="L328" s="1" t="n">
        <x:f>INT((J328-DATE(K328,1,4)+WEEKDAY(DATE(K328,1,4),2)-1)/7)+1</x:f>
        <x:v>21</x:v>
      </x:c>
      <x:c r="M328" s="1" t="str">
        <x:f>A328&amp;"|"&amp;B328</x:f>
        <x:v>43972|Москва Запад</x:v>
      </x:c>
      <x:c r="N328" s="1" t="n">
        <x:f>COUNTIFS('Лист2'!$F$2:$F$505,M328)</x:f>
        <x:v>1</x:v>
      </x:c>
      <x:c r="O328" s="1"/>
      <x:c r="P328" s="1"/>
      <x:c r="Q328" s="1"/>
    </x:row>
    <x:row r="329" ht="21" customHeight="1">
      <x:c r="A329" s="5" t="n">
        <x:f>'Лист1'!A329</x:f>
        <x:v>43972</x:v>
      </x:c>
      <x:c r="B329" s="1" t="str">
        <x:f>'Лист1'!B329</x:f>
        <x:v>Нижний Новгород</x:v>
      </x:c>
      <x:c r="C329" s="1" t="n">
        <x:f>'Лист1'!C329</x:f>
        <x:v>31707</x:v>
      </x:c>
      <x:c r="D329" s="6" t="n">
        <x:f>'Лист1'!D329</x:f>
        <x:v>2853181.5</x:v>
      </x:c>
      <x:c r="E329" s="6" t="n">
        <x:f>'Лист1'!E329</x:f>
        <x:v>2349459.5</x:v>
      </x:c>
      <x:c r="F329" s="6" t="n">
        <x:f>'Лист1'!F329</x:f>
        <x:v>187617.05315384615</x:v>
      </x:c>
      <x:c r="G329" s="1" t="n">
        <x:f>IF(N329=1,SUMIFS('Лист2'!$C$2:$C$505,'Лист2'!$A$2:$A$505,A329,'Лист2'!$B$2:$B$505,B329),NA())</x:f>
        <x:v>19</x:v>
      </x:c>
      <x:c r="H329" s="1" t="n">
        <x:f>IF(N329=1,SUMIFS('Лист2'!$D$2:$D$505,'Лист2'!$A$2:$A$505,A329,'Лист2'!$B$2:$B$505,B329),NA())</x:f>
        <x:v>1949</x:v>
      </x:c>
      <x:c r="I329" s="1" t="n">
        <x:f>IF(N329=1,SUMIFS('Лист2'!$E$2:$E$505,'Лист2'!$A$2:$A$505,A329,'Лист2'!$B$2:$B$505,B329),NA())</x:f>
        <x:v>1724</x:v>
      </x:c>
      <x:c r="J329" s="5" t="n">
        <x:f>A329-WEEKDAY(A329,2)+1</x:f>
        <x:v>43969</x:v>
      </x:c>
      <x:c r="K329" s="1" t="n">
        <x:f>YEAR(J329+3)</x:f>
        <x:v>2020</x:v>
      </x:c>
      <x:c r="L329" s="1" t="n">
        <x:f>INT((J329-DATE(K329,1,4)+WEEKDAY(DATE(K329,1,4),2)-1)/7)+1</x:f>
        <x:v>21</x:v>
      </x:c>
      <x:c r="M329" s="1" t="str">
        <x:f>A329&amp;"|"&amp;B329</x:f>
        <x:v>43972|Нижний Новгород</x:v>
      </x:c>
      <x:c r="N329" s="1" t="n">
        <x:f>COUNTIFS('Лист2'!$F$2:$F$505,M329)</x:f>
        <x:v>1</x:v>
      </x:c>
      <x:c r="O329" s="1"/>
      <x:c r="P329" s="1"/>
      <x:c r="Q329" s="1"/>
    </x:row>
    <x:row r="330" ht="21" customHeight="1">
      <x:c r="A330" s="5" t="n">
        <x:f>'Лист1'!A330</x:f>
        <x:v>43972</x:v>
      </x:c>
      <x:c r="B330" s="1" t="str">
        <x:f>'Лист1'!B330</x:f>
        <x:v>Новосибирск</x:v>
      </x:c>
      <x:c r="C330" s="1" t="n">
        <x:f>'Лист1'!C330</x:f>
        <x:v>14182.5</x:v>
      </x:c>
      <x:c r="D330" s="6" t="n">
        <x:f>'Лист1'!D330</x:f>
        <x:v>1172574</x:v>
      </x:c>
      <x:c r="E330" s="6" t="n">
        <x:f>'Лист1'!E330</x:f>
        <x:v>968784.8649999999</x:v>
      </x:c>
      <x:c r="F330" s="6" t="n">
        <x:f>'Лист1'!F330</x:f>
        <x:v>94547</x:v>
      </x:c>
      <x:c r="G330" s="1" t="n">
        <x:f>IF(N330=1,SUMIFS('Лист2'!$C$2:$C$505,'Лист2'!$A$2:$A$505,A330,'Лист2'!$B$2:$B$505,B330),NA())</x:f>
        <x:v>18</x:v>
      </x:c>
      <x:c r="H330" s="1" t="n">
        <x:f>IF(N330=1,SUMIFS('Лист2'!$D$2:$D$505,'Лист2'!$A$2:$A$505,A330,'Лист2'!$B$2:$B$505,B330),NA())</x:f>
        <x:v>888</x:v>
      </x:c>
      <x:c r="I330" s="1" t="n">
        <x:f>IF(N330=1,SUMIFS('Лист2'!$E$2:$E$505,'Лист2'!$A$2:$A$505,A330,'Лист2'!$B$2:$B$505,B330),NA())</x:f>
        <x:v>786</x:v>
      </x:c>
      <x:c r="J330" s="5" t="n">
        <x:f>A330-WEEKDAY(A330,2)+1</x:f>
        <x:v>43969</x:v>
      </x:c>
      <x:c r="K330" s="1" t="n">
        <x:f>YEAR(J330+3)</x:f>
        <x:v>2020</x:v>
      </x:c>
      <x:c r="L330" s="1" t="n">
        <x:f>INT((J330-DATE(K330,1,4)+WEEKDAY(DATE(K330,1,4),2)-1)/7)+1</x:f>
        <x:v>21</x:v>
      </x:c>
      <x:c r="M330" s="1" t="str">
        <x:f>A330&amp;"|"&amp;B330</x:f>
        <x:v>43972|Новосибирск</x:v>
      </x:c>
      <x:c r="N330" s="1" t="n">
        <x:f>COUNTIFS('Лист2'!$F$2:$F$505,M330)</x:f>
        <x:v>1</x:v>
      </x:c>
      <x:c r="O330" s="1"/>
      <x:c r="P330" s="1"/>
      <x:c r="Q330" s="1"/>
    </x:row>
    <x:row r="331" ht="21" customHeight="1">
      <x:c r="A331" s="5" t="n">
        <x:f>'Лист1'!A331</x:f>
        <x:v>43972</x:v>
      </x:c>
      <x:c r="B331" s="1" t="str">
        <x:f>'Лист1'!B331</x:f>
        <x:v>Пермь</x:v>
      </x:c>
      <x:c r="C331" s="1" t="n">
        <x:f>'Лист1'!C331</x:f>
        <x:v>16554</x:v>
      </x:c>
      <x:c r="D331" s="6" t="n">
        <x:f>'Лист1'!D331</x:f>
        <x:v>1380751.5</x:v>
      </x:c>
      <x:c r="E331" s="6" t="n">
        <x:f>'Лист1'!E331</x:f>
        <x:v>1137748.7319999998</x:v>
      </x:c>
      <x:c r="F331" s="6" t="n">
        <x:f>'Лист1'!F331</x:f>
        <x:v>227139.51416923077</x:v>
      </x:c>
      <x:c r="G331" s="1" t="n">
        <x:f>IF(N331=1,SUMIFS('Лист2'!$C$2:$C$505,'Лист2'!$A$2:$A$505,A331,'Лист2'!$B$2:$B$505,B331),NA())</x:f>
        <x:v>17</x:v>
      </x:c>
      <x:c r="H331" s="1" t="n">
        <x:f>IF(N331=1,SUMIFS('Лист2'!$D$2:$D$505,'Лист2'!$A$2:$A$505,A331,'Лист2'!$B$2:$B$505,B331),NA())</x:f>
        <x:v>1045</x:v>
      </x:c>
      <x:c r="I331" s="1" t="n">
        <x:f>IF(N331=1,SUMIFS('Лист2'!$E$2:$E$505,'Лист2'!$A$2:$A$505,A331,'Лист2'!$B$2:$B$505,B331),NA())</x:f>
        <x:v>930</x:v>
      </x:c>
      <x:c r="J331" s="5" t="n">
        <x:f>A331-WEEKDAY(A331,2)+1</x:f>
        <x:v>43969</x:v>
      </x:c>
      <x:c r="K331" s="1" t="n">
        <x:f>YEAR(J331+3)</x:f>
        <x:v>2020</x:v>
      </x:c>
      <x:c r="L331" s="1" t="n">
        <x:f>INT((J331-DATE(K331,1,4)+WEEKDAY(DATE(K331,1,4),2)-1)/7)+1</x:f>
        <x:v>21</x:v>
      </x:c>
      <x:c r="M331" s="1" t="str">
        <x:f>A331&amp;"|"&amp;B331</x:f>
        <x:v>43972|Пермь</x:v>
      </x:c>
      <x:c r="N331" s="1" t="n">
        <x:f>COUNTIFS('Лист2'!$F$2:$F$505,M331)</x:f>
        <x:v>1</x:v>
      </x:c>
      <x:c r="O331" s="1"/>
      <x:c r="P331" s="1"/>
      <x:c r="Q331" s="1"/>
    </x:row>
    <x:row r="332" ht="21" customHeight="1">
      <x:c r="A332" s="5" t="n">
        <x:f>'Лист1'!A332</x:f>
        <x:v>43972</x:v>
      </x:c>
      <x:c r="B332" s="1" t="str">
        <x:f>'Лист1'!B332</x:f>
        <x:v>Ростов-на-Дону</x:v>
      </x:c>
      <x:c r="C332" s="1" t="n">
        <x:f>'Лист1'!C332</x:f>
        <x:v>12135</x:v>
      </x:c>
      <x:c r="D332" s="6" t="n">
        <x:f>'Лист1'!D332</x:f>
        <x:v>1103623.5</x:v>
      </x:c>
      <x:c r="E332" s="6" t="n">
        <x:f>'Лист1'!E332</x:f>
        <x:v>899589.3060000001</x:v>
      </x:c>
      <x:c r="F332" s="6" t="n">
        <x:f>'Лист1'!F332</x:f>
        <x:v>184440.53076923077</x:v>
      </x:c>
      <x:c r="G332" s="1" t="n">
        <x:f>IF(N332=1,SUMIFS('Лист2'!$C$2:$C$505,'Лист2'!$A$2:$A$505,A332,'Лист2'!$B$2:$B$505,B332),NA())</x:f>
        <x:v>15</x:v>
      </x:c>
      <x:c r="H332" s="1" t="n">
        <x:f>IF(N332=1,SUMIFS('Лист2'!$D$2:$D$505,'Лист2'!$A$2:$A$505,A332,'Лист2'!$B$2:$B$505,B332),NA())</x:f>
        <x:v>749</x:v>
      </x:c>
      <x:c r="I332" s="1" t="n">
        <x:f>IF(N332=1,SUMIFS('Лист2'!$E$2:$E$505,'Лист2'!$A$2:$A$505,A332,'Лист2'!$B$2:$B$505,B332),NA())</x:f>
        <x:v>652</x:v>
      </x:c>
      <x:c r="J332" s="5" t="n">
        <x:f>A332-WEEKDAY(A332,2)+1</x:f>
        <x:v>43969</x:v>
      </x:c>
      <x:c r="K332" s="1" t="n">
        <x:f>YEAR(J332+3)</x:f>
        <x:v>2020</x:v>
      </x:c>
      <x:c r="L332" s="1" t="n">
        <x:f>INT((J332-DATE(K332,1,4)+WEEKDAY(DATE(K332,1,4),2)-1)/7)+1</x:f>
        <x:v>21</x:v>
      </x:c>
      <x:c r="M332" s="1" t="str">
        <x:f>A332&amp;"|"&amp;B332</x:f>
        <x:v>43972|Ростов-на-Дону</x:v>
      </x:c>
      <x:c r="N332" s="1" t="n">
        <x:f>COUNTIFS('Лист2'!$F$2:$F$505,M332)</x:f>
        <x:v>1</x:v>
      </x:c>
      <x:c r="O332" s="1"/>
      <x:c r="P332" s="1"/>
      <x:c r="Q332" s="1"/>
    </x:row>
    <x:row r="333" ht="21" customHeight="1">
      <x:c r="A333" s="5" t="n">
        <x:f>'Лист1'!A333</x:f>
        <x:v>43972</x:v>
      </x:c>
      <x:c r="B333" s="1" t="str">
        <x:f>'Лист1'!B333</x:f>
        <x:v>Санкт-Петербург Север</x:v>
      </x:c>
      <x:c r="C333" s="1" t="n">
        <x:f>'Лист1'!C333</x:f>
        <x:v>378043.5</x:v>
      </x:c>
      <x:c r="D333" s="6" t="n">
        <x:f>'Лист1'!D333</x:f>
        <x:v>37902156.57</x:v>
      </x:c>
      <x:c r="E333" s="6" t="n">
        <x:f>'Лист1'!E333</x:f>
        <x:v>28083686.689999998</x:v>
      </x:c>
      <x:c r="F333" s="6" t="n">
        <x:f>'Лист1'!F333</x:f>
        <x:v>713697.6076923077</x:v>
      </x:c>
      <x:c r="G333" s="1" t="n">
        <x:f>IF(N333=1,SUMIFS('Лист2'!$C$2:$C$505,'Лист2'!$A$2:$A$505,A333,'Лист2'!$B$2:$B$505,B333),NA())</x:f>
        <x:v>125</x:v>
      </x:c>
      <x:c r="H333" s="1" t="n">
        <x:f>IF(N333=1,SUMIFS('Лист2'!$D$2:$D$505,'Лист2'!$A$2:$A$505,A333,'Лист2'!$B$2:$B$505,B333),NA())</x:f>
        <x:v>20911</x:v>
      </x:c>
      <x:c r="I333" s="1" t="n">
        <x:f>IF(N333=1,SUMIFS('Лист2'!$E$2:$E$505,'Лист2'!$A$2:$A$505,A333,'Лист2'!$B$2:$B$505,B333),NA())</x:f>
        <x:v>19358</x:v>
      </x:c>
      <x:c r="J333" s="5" t="n">
        <x:f>A333-WEEKDAY(A333,2)+1</x:f>
        <x:v>43969</x:v>
      </x:c>
      <x:c r="K333" s="1" t="n">
        <x:f>YEAR(J333+3)</x:f>
        <x:v>2020</x:v>
      </x:c>
      <x:c r="L333" s="1" t="n">
        <x:f>INT((J333-DATE(K333,1,4)+WEEKDAY(DATE(K333,1,4),2)-1)/7)+1</x:f>
        <x:v>21</x:v>
      </x:c>
      <x:c r="M333" s="1" t="str">
        <x:f>A333&amp;"|"&amp;B333</x:f>
        <x:v>43972|Санкт-Петербург Север</x:v>
      </x:c>
      <x:c r="N333" s="1" t="n">
        <x:f>COUNTIFS('Лист2'!$F$2:$F$505,M333)</x:f>
        <x:v>1</x:v>
      </x:c>
      <x:c r="O333" s="1"/>
      <x:c r="P333" s="1"/>
      <x:c r="Q333" s="1"/>
    </x:row>
    <x:row r="334" ht="21" customHeight="1">
      <x:c r="A334" s="5" t="n">
        <x:f>'Лист1'!A334</x:f>
        <x:v>43972</x:v>
      </x:c>
      <x:c r="B334" s="1" t="str">
        <x:f>'Лист1'!B334</x:f>
        <x:v>Санкт-Петербург Юг</x:v>
      </x:c>
      <x:c r="C334" s="1" t="n">
        <x:f>'Лист1'!C334</x:f>
        <x:v>288936</x:v>
      </x:c>
      <x:c r="D334" s="6" t="n">
        <x:f>'Лист1'!D334</x:f>
        <x:v>27852900</x:v>
      </x:c>
      <x:c r="E334" s="6" t="n">
        <x:f>'Лист1'!E334</x:f>
        <x:v>20824687.999</x:v>
      </x:c>
      <x:c r="F334" s="6" t="n">
        <x:f>'Лист1'!F334</x:f>
        <x:v>822353.4393615385</x:v>
      </x:c>
      <x:c r="G334" s="1" t="n">
        <x:f>IF(N334=1,SUMIFS('Лист2'!$C$2:$C$505,'Лист2'!$A$2:$A$505,A334,'Лист2'!$B$2:$B$505,B334),NA())</x:f>
        <x:v>129</x:v>
      </x:c>
      <x:c r="H334" s="1" t="n">
        <x:f>IF(N334=1,SUMIFS('Лист2'!$D$2:$D$505,'Лист2'!$A$2:$A$505,A334,'Лист2'!$B$2:$B$505,B334),NA())</x:f>
        <x:v>16373</x:v>
      </x:c>
      <x:c r="I334" s="1" t="n">
        <x:f>IF(N334=1,SUMIFS('Лист2'!$E$2:$E$505,'Лист2'!$A$2:$A$505,A334,'Лист2'!$B$2:$B$505,B334),NA())</x:f>
        <x:v>15223</x:v>
      </x:c>
      <x:c r="J334" s="5" t="n">
        <x:f>A334-WEEKDAY(A334,2)+1</x:f>
        <x:v>43969</x:v>
      </x:c>
      <x:c r="K334" s="1" t="n">
        <x:f>YEAR(J334+3)</x:f>
        <x:v>2020</x:v>
      </x:c>
      <x:c r="L334" s="1" t="n">
        <x:f>INT((J334-DATE(K334,1,4)+WEEKDAY(DATE(K334,1,4),2)-1)/7)+1</x:f>
        <x:v>21</x:v>
      </x:c>
      <x:c r="M334" s="1" t="str">
        <x:f>A334&amp;"|"&amp;B334</x:f>
        <x:v>43972|Санкт-Петербург Юг</x:v>
      </x:c>
      <x:c r="N334" s="1" t="n">
        <x:f>COUNTIFS('Лист2'!$F$2:$F$505,M334)</x:f>
        <x:v>1</x:v>
      </x:c>
      <x:c r="O334" s="1"/>
      <x:c r="P334" s="1"/>
      <x:c r="Q334" s="1"/>
    </x:row>
    <x:row r="335" ht="21" customHeight="1">
      <x:c r="A335" s="5" t="n">
        <x:f>'Лист1'!A335</x:f>
        <x:v>43972</x:v>
      </x:c>
      <x:c r="B335" s="1" t="str">
        <x:f>'Лист1'!B335</x:f>
        <x:v>Тольятти</x:v>
      </x:c>
      <x:c r="C335" s="1" t="n">
        <x:f>'Лист1'!C335</x:f>
        <x:v>11250</x:v>
      </x:c>
      <x:c r="D335" s="6" t="n">
        <x:f>'Лист1'!D335</x:f>
        <x:v>935523</x:v>
      </x:c>
      <x:c r="E335" s="6" t="n">
        <x:f>'Лист1'!E335</x:f>
        <x:v>808524.505</x:v>
      </x:c>
      <x:c r="F335" s="6" t="n">
        <x:f>'Лист1'!F335</x:f>
        <x:v>94344.95384615385</x:v>
      </x:c>
      <x:c r="G335" s="1" t="n">
        <x:f>IF(N335=1,SUMIFS('Лист2'!$C$2:$C$505,'Лист2'!$A$2:$A$505,A335,'Лист2'!$B$2:$B$505,B335),NA())</x:f>
        <x:v>10</x:v>
      </x:c>
      <x:c r="H335" s="1" t="n">
        <x:f>IF(N335=1,SUMIFS('Лист2'!$D$2:$D$505,'Лист2'!$A$2:$A$505,A335,'Лист2'!$B$2:$B$505,B335),NA())</x:f>
        <x:v>677</x:v>
      </x:c>
      <x:c r="I335" s="1" t="n">
        <x:f>IF(N335=1,SUMIFS('Лист2'!$E$2:$E$505,'Лист2'!$A$2:$A$505,A335,'Лист2'!$B$2:$B$505,B335),NA())</x:f>
        <x:v>591</x:v>
      </x:c>
      <x:c r="J335" s="5" t="n">
        <x:f>A335-WEEKDAY(A335,2)+1</x:f>
        <x:v>43969</x:v>
      </x:c>
      <x:c r="K335" s="1" t="n">
        <x:f>YEAR(J335+3)</x:f>
        <x:v>2020</x:v>
      </x:c>
      <x:c r="L335" s="1" t="n">
        <x:f>INT((J335-DATE(K335,1,4)+WEEKDAY(DATE(K335,1,4),2)-1)/7)+1</x:f>
        <x:v>21</x:v>
      </x:c>
      <x:c r="M335" s="1" t="str">
        <x:f>A335&amp;"|"&amp;B335</x:f>
        <x:v>43972|Тольятти</x:v>
      </x:c>
      <x:c r="N335" s="1" t="n">
        <x:f>COUNTIFS('Лист2'!$F$2:$F$505,M335)</x:f>
        <x:v>1</x:v>
      </x:c>
      <x:c r="O335" s="1"/>
      <x:c r="P335" s="1"/>
      <x:c r="Q335" s="1"/>
    </x:row>
    <x:row r="336" ht="21" customHeight="1">
      <x:c r="A336" s="5" t="n">
        <x:f>'Лист1'!A336</x:f>
        <x:v>43973</x:v>
      </x:c>
      <x:c r="B336" s="1" t="str">
        <x:f>'Лист1'!B336</x:f>
        <x:v>Волгоград</x:v>
      </x:c>
      <x:c r="C336" s="1" t="n">
        <x:f>'Лист1'!C336</x:f>
        <x:v>75820.5</x:v>
      </x:c>
      <x:c r="D336" s="6" t="n">
        <x:f>'Лист1'!D336</x:f>
        <x:v>5943489</x:v>
      </x:c>
      <x:c r="E336" s="6" t="n">
        <x:f>'Лист1'!E336</x:f>
        <x:v>5046963.672</x:v>
      </x:c>
      <x:c r="F336" s="6" t="n">
        <x:f>'Лист1'!F336</x:f>
        <x:v>196334.07284615384</x:v>
      </x:c>
      <x:c r="G336" s="1" t="n">
        <x:f>IF(N336=1,SUMIFS('Лист2'!$C$2:$C$505,'Лист2'!$A$2:$A$505,A336,'Лист2'!$B$2:$B$505,B336),NA())</x:f>
        <x:v>36</x:v>
      </x:c>
      <x:c r="H336" s="1" t="n">
        <x:f>IF(N336=1,SUMIFS('Лист2'!$D$2:$D$505,'Лист2'!$A$2:$A$505,A336,'Лист2'!$B$2:$B$505,B336),NA())</x:f>
        <x:v>4857</x:v>
      </x:c>
      <x:c r="I336" s="1" t="n">
        <x:f>IF(N336=1,SUMIFS('Лист2'!$E$2:$E$505,'Лист2'!$A$2:$A$505,A336,'Лист2'!$B$2:$B$505,B336),NA())</x:f>
        <x:v>4456</x:v>
      </x:c>
      <x:c r="J336" s="5" t="n">
        <x:f>A336-WEEKDAY(A336,2)+1</x:f>
        <x:v>43969</x:v>
      </x:c>
      <x:c r="K336" s="1" t="n">
        <x:f>YEAR(J336+3)</x:f>
        <x:v>2020</x:v>
      </x:c>
      <x:c r="L336" s="1" t="n">
        <x:f>INT((J336-DATE(K336,1,4)+WEEKDAY(DATE(K336,1,4),2)-1)/7)+1</x:f>
        <x:v>21</x:v>
      </x:c>
      <x:c r="M336" s="1" t="str">
        <x:f>A336&amp;"|"&amp;B336</x:f>
        <x:v>43973|Волгоград</x:v>
      </x:c>
      <x:c r="N336" s="1" t="n">
        <x:f>COUNTIFS('Лист2'!$F$2:$F$505,M336)</x:f>
        <x:v>1</x:v>
      </x:c>
      <x:c r="O336" s="1"/>
      <x:c r="P336" s="1"/>
      <x:c r="Q336" s="1"/>
    </x:row>
    <x:row r="337" ht="21" customHeight="1">
      <x:c r="A337" s="5" t="n">
        <x:f>'Лист1'!A337</x:f>
        <x:v>43973</x:v>
      </x:c>
      <x:c r="B337" s="1" t="str">
        <x:f>'Лист1'!B337</x:f>
        <x:v>Екатеринбург</x:v>
      </x:c>
      <x:c r="C337" s="1" t="n">
        <x:f>'Лист1'!C337</x:f>
        <x:v>97963.5</x:v>
      </x:c>
      <x:c r="D337" s="6" t="n">
        <x:f>'Лист1'!D337</x:f>
        <x:v>7728465</x:v>
      </x:c>
      <x:c r="E337" s="6" t="n">
        <x:f>'Лист1'!E337</x:f>
        <x:v>6415904.924000001</x:v>
      </x:c>
      <x:c r="F337" s="6" t="n">
        <x:f>'Лист1'!F337</x:f>
        <x:v>150138.8230769231</x:v>
      </x:c>
      <x:c r="G337" s="1" t="n">
        <x:f>IF(N337=1,SUMIFS('Лист2'!$C$2:$C$505,'Лист2'!$A$2:$A$505,A337,'Лист2'!$B$2:$B$505,B337),NA())</x:f>
        <x:v>31</x:v>
      </x:c>
      <x:c r="H337" s="1" t="n">
        <x:f>IF(N337=1,SUMIFS('Лист2'!$D$2:$D$505,'Лист2'!$A$2:$A$505,A337,'Лист2'!$B$2:$B$505,B337),NA())</x:f>
        <x:v>5965</x:v>
      </x:c>
      <x:c r="I337" s="1" t="n">
        <x:f>IF(N337=1,SUMIFS('Лист2'!$E$2:$E$505,'Лист2'!$A$2:$A$505,A337,'Лист2'!$B$2:$B$505,B337),NA())</x:f>
        <x:v>5533</x:v>
      </x:c>
      <x:c r="J337" s="5" t="n">
        <x:f>A337-WEEKDAY(A337,2)+1</x:f>
        <x:v>43969</x:v>
      </x:c>
      <x:c r="K337" s="1" t="n">
        <x:f>YEAR(J337+3)</x:f>
        <x:v>2020</x:v>
      </x:c>
      <x:c r="L337" s="1" t="n">
        <x:f>INT((J337-DATE(K337,1,4)+WEEKDAY(DATE(K337,1,4),2)-1)/7)+1</x:f>
        <x:v>21</x:v>
      </x:c>
      <x:c r="M337" s="1" t="str">
        <x:f>A337&amp;"|"&amp;B337</x:f>
        <x:v>43973|Екатеринбург</x:v>
      </x:c>
      <x:c r="N337" s="1" t="n">
        <x:f>COUNTIFS('Лист2'!$F$2:$F$505,M337)</x:f>
        <x:v>1</x:v>
      </x:c>
      <x:c r="O337" s="1"/>
      <x:c r="P337" s="1"/>
      <x:c r="Q337" s="1"/>
    </x:row>
    <x:row r="338" ht="21" customHeight="1">
      <x:c r="A338" s="5" t="n">
        <x:f>'Лист1'!A338</x:f>
        <x:v>43973</x:v>
      </x:c>
      <x:c r="B338" s="1" t="str">
        <x:f>'Лист1'!B338</x:f>
        <x:v>Казань</x:v>
      </x:c>
      <x:c r="C338" s="1" t="n">
        <x:f>'Лист1'!C338</x:f>
        <x:v>53838</x:v>
      </x:c>
      <x:c r="D338" s="6" t="n">
        <x:f>'Лист1'!D338</x:f>
        <x:v>4840833</x:v>
      </x:c>
      <x:c r="E338" s="6" t="n">
        <x:f>'Лист1'!E338</x:f>
        <x:v>4017247.747</x:v>
      </x:c>
      <x:c r="F338" s="6" t="n">
        <x:f>'Лист1'!F338</x:f>
        <x:v>147709.19777692307</x:v>
      </x:c>
      <x:c r="G338" s="1" t="n">
        <x:f>IF(N338=1,SUMIFS('Лист2'!$C$2:$C$505,'Лист2'!$A$2:$A$505,A338,'Лист2'!$B$2:$B$505,B338),NA())</x:f>
        <x:v>21</x:v>
      </x:c>
      <x:c r="H338" s="1" t="n">
        <x:f>IF(N338=1,SUMIFS('Лист2'!$D$2:$D$505,'Лист2'!$A$2:$A$505,A338,'Лист2'!$B$2:$B$505,B338),NA())</x:f>
        <x:v>2861</x:v>
      </x:c>
      <x:c r="I338" s="1" t="n">
        <x:f>IF(N338=1,SUMIFS('Лист2'!$E$2:$E$505,'Лист2'!$A$2:$A$505,A338,'Лист2'!$B$2:$B$505,B338),NA())</x:f>
        <x:v>2612</x:v>
      </x:c>
      <x:c r="J338" s="5" t="n">
        <x:f>A338-WEEKDAY(A338,2)+1</x:f>
        <x:v>43969</x:v>
      </x:c>
      <x:c r="K338" s="1" t="n">
        <x:f>YEAR(J338+3)</x:f>
        <x:v>2020</x:v>
      </x:c>
      <x:c r="L338" s="1" t="n">
        <x:f>INT((J338-DATE(K338,1,4)+WEEKDAY(DATE(K338,1,4),2)-1)/7)+1</x:f>
        <x:v>21</x:v>
      </x:c>
      <x:c r="M338" s="1" t="str">
        <x:f>A338&amp;"|"&amp;B338</x:f>
        <x:v>43973|Казань</x:v>
      </x:c>
      <x:c r="N338" s="1" t="n">
        <x:f>COUNTIFS('Лист2'!$F$2:$F$505,M338)</x:f>
        <x:v>1</x:v>
      </x:c>
      <x:c r="O338" s="1"/>
      <x:c r="P338" s="1"/>
      <x:c r="Q338" s="1"/>
    </x:row>
    <x:row r="339" ht="21" customHeight="1">
      <x:c r="A339" s="5" t="n">
        <x:f>'Лист1'!A339</x:f>
        <x:v>43973</x:v>
      </x:c>
      <x:c r="B339" s="1" t="str">
        <x:f>'Лист1'!B339</x:f>
        <x:v>Кемерово</x:v>
      </x:c>
      <x:c r="C339" s="1" t="n">
        <x:f>'Лист1'!C339</x:f>
        <x:v>36031.5</x:v>
      </x:c>
      <x:c r="D339" s="6" t="n">
        <x:f>'Лист1'!D339</x:f>
        <x:v>3091069.5</x:v>
      </x:c>
      <x:c r="E339" s="6" t="n">
        <x:f>'Лист1'!E339</x:f>
        <x:v>2549333.4129999997</x:v>
      </x:c>
      <x:c r="F339" s="6" t="n">
        <x:f>'Лист1'!F339</x:f>
        <x:v>289900.0938461538</x:v>
      </x:c>
      <x:c r="G339" s="1" t="n">
        <x:f>IF(N339=1,SUMIFS('Лист2'!$C$2:$C$505,'Лист2'!$A$2:$A$505,A339,'Лист2'!$B$2:$B$505,B339),NA())</x:f>
        <x:v>21</x:v>
      </x:c>
      <x:c r="H339" s="1" t="n">
        <x:f>IF(N339=1,SUMIFS('Лист2'!$D$2:$D$505,'Лист2'!$A$2:$A$505,A339,'Лист2'!$B$2:$B$505,B339),NA())</x:f>
        <x:v>2046</x:v>
      </x:c>
      <x:c r="I339" s="1" t="n">
        <x:f>IF(N339=1,SUMIFS('Лист2'!$E$2:$E$505,'Лист2'!$A$2:$A$505,A339,'Лист2'!$B$2:$B$505,B339),NA())</x:f>
        <x:v>1853</x:v>
      </x:c>
      <x:c r="J339" s="5" t="n">
        <x:f>A339-WEEKDAY(A339,2)+1</x:f>
        <x:v>43969</x:v>
      </x:c>
      <x:c r="K339" s="1" t="n">
        <x:f>YEAR(J339+3)</x:f>
        <x:v>2020</x:v>
      </x:c>
      <x:c r="L339" s="1" t="n">
        <x:f>INT((J339-DATE(K339,1,4)+WEEKDAY(DATE(K339,1,4),2)-1)/7)+1</x:f>
        <x:v>21</x:v>
      </x:c>
      <x:c r="M339" s="1" t="str">
        <x:f>A339&amp;"|"&amp;B339</x:f>
        <x:v>43973|Кемерово</x:v>
      </x:c>
      <x:c r="N339" s="1" t="n">
        <x:f>COUNTIFS('Лист2'!$F$2:$F$505,M339)</x:f>
        <x:v>1</x:v>
      </x:c>
      <x:c r="O339" s="1"/>
      <x:c r="P339" s="1"/>
      <x:c r="Q339" s="1"/>
    </x:row>
    <x:row r="340" ht="21" customHeight="1">
      <x:c r="A340" s="5" t="n">
        <x:f>'Лист1'!A340</x:f>
        <x:v>43973</x:v>
      </x:c>
      <x:c r="B340" s="1" t="str">
        <x:f>'Лист1'!B340</x:f>
        <x:v>Краснодар</x:v>
      </x:c>
      <x:c r="C340" s="1" t="n">
        <x:f>'Лист1'!C340</x:f>
        <x:v>30781.5</x:v>
      </x:c>
      <x:c r="D340" s="6" t="n">
        <x:f>'Лист1'!D340</x:f>
        <x:v>2540715</x:v>
      </x:c>
      <x:c r="E340" s="6" t="n">
        <x:f>'Лист1'!E340</x:f>
        <x:v>2108065.569</x:v>
      </x:c>
      <x:c r="F340" s="6" t="n">
        <x:f>'Лист1'!F340</x:f>
        <x:v>90381.16923076923</x:v>
      </x:c>
      <x:c r="G340" s="1" t="n">
        <x:f>IF(N340=1,SUMIFS('Лист2'!$C$2:$C$505,'Лист2'!$A$2:$A$505,A340,'Лист2'!$B$2:$B$505,B340),NA())</x:f>
        <x:v>19</x:v>
      </x:c>
      <x:c r="H340" s="1" t="n">
        <x:f>IF(N340=1,SUMIFS('Лист2'!$D$2:$D$505,'Лист2'!$A$2:$A$505,A340,'Лист2'!$B$2:$B$505,B340),NA())</x:f>
        <x:v>1859</x:v>
      </x:c>
      <x:c r="I340" s="1" t="n">
        <x:f>IF(N340=1,SUMIFS('Лист2'!$E$2:$E$505,'Лист2'!$A$2:$A$505,A340,'Лист2'!$B$2:$B$505,B340),NA())</x:f>
        <x:v>1697</x:v>
      </x:c>
      <x:c r="J340" s="5" t="n">
        <x:f>A340-WEEKDAY(A340,2)+1</x:f>
        <x:v>43969</x:v>
      </x:c>
      <x:c r="K340" s="1" t="n">
        <x:f>YEAR(J340+3)</x:f>
        <x:v>2020</x:v>
      </x:c>
      <x:c r="L340" s="1" t="n">
        <x:f>INT((J340-DATE(K340,1,4)+WEEKDAY(DATE(K340,1,4),2)-1)/7)+1</x:f>
        <x:v>21</x:v>
      </x:c>
      <x:c r="M340" s="1" t="str">
        <x:f>A340&amp;"|"&amp;B340</x:f>
        <x:v>43973|Краснодар</x:v>
      </x:c>
      <x:c r="N340" s="1" t="n">
        <x:f>COUNTIFS('Лист2'!$F$2:$F$505,M340)</x:f>
        <x:v>1</x:v>
      </x:c>
      <x:c r="O340" s="1"/>
      <x:c r="P340" s="1"/>
      <x:c r="Q340" s="1"/>
    </x:row>
    <x:row r="341" ht="21" customHeight="1">
      <x:c r="A341" s="5" t="n">
        <x:f>'Лист1'!A341</x:f>
        <x:v>43973</x:v>
      </x:c>
      <x:c r="B341" s="1" t="str">
        <x:f>'Лист1'!B341</x:f>
        <x:v>Москва Восток</x:v>
      </x:c>
      <x:c r="C341" s="1" t="n">
        <x:f>'Лист1'!C341</x:f>
        <x:v>214428</x:v>
      </x:c>
      <x:c r="D341" s="6" t="n">
        <x:f>'Лист1'!D341</x:f>
        <x:v>20812585.5</x:v>
      </x:c>
      <x:c r="E341" s="6" t="n">
        <x:f>'Лист1'!E341</x:f>
        <x:v>15857489.721</x:v>
      </x:c>
      <x:c r="F341" s="6" t="n">
        <x:f>'Лист1'!F341</x:f>
        <x:v>256649.1615384615</x:v>
      </x:c>
      <x:c r="G341" s="1" t="n">
        <x:f>IF(N341=1,SUMIFS('Лист2'!$C$2:$C$505,'Лист2'!$A$2:$A$505,A341,'Лист2'!$B$2:$B$505,B341),NA())</x:f>
        <x:v>54</x:v>
      </x:c>
      <x:c r="H341" s="1" t="n">
        <x:f>IF(N341=1,SUMIFS('Лист2'!$D$2:$D$505,'Лист2'!$A$2:$A$505,A341,'Лист2'!$B$2:$B$505,B341),NA())</x:f>
        <x:v>13014</x:v>
      </x:c>
      <x:c r="I341" s="1" t="n">
        <x:f>IF(N341=1,SUMIFS('Лист2'!$E$2:$E$505,'Лист2'!$A$2:$A$505,A341,'Лист2'!$B$2:$B$505,B341),NA())</x:f>
        <x:v>12095</x:v>
      </x:c>
      <x:c r="J341" s="5" t="n">
        <x:f>A341-WEEKDAY(A341,2)+1</x:f>
        <x:v>43969</x:v>
      </x:c>
      <x:c r="K341" s="1" t="n">
        <x:f>YEAR(J341+3)</x:f>
        <x:v>2020</x:v>
      </x:c>
      <x:c r="L341" s="1" t="n">
        <x:f>INT((J341-DATE(K341,1,4)+WEEKDAY(DATE(K341,1,4),2)-1)/7)+1</x:f>
        <x:v>21</x:v>
      </x:c>
      <x:c r="M341" s="1" t="str">
        <x:f>A341&amp;"|"&amp;B341</x:f>
        <x:v>43973|Москва Восток</x:v>
      </x:c>
      <x:c r="N341" s="1" t="n">
        <x:f>COUNTIFS('Лист2'!$F$2:$F$505,M341)</x:f>
        <x:v>1</x:v>
      </x:c>
      <x:c r="O341" s="1"/>
      <x:c r="P341" s="1"/>
      <x:c r="Q341" s="1"/>
    </x:row>
    <x:row r="342" ht="21" customHeight="1">
      <x:c r="A342" s="5" t="n">
        <x:f>'Лист1'!A342</x:f>
        <x:v>43973</x:v>
      </x:c>
      <x:c r="B342" s="1" t="str">
        <x:f>'Лист1'!B342</x:f>
        <x:v>Москва Запад</x:v>
      </x:c>
      <x:c r="C342" s="1" t="n">
        <x:f>'Лист1'!C342</x:f>
        <x:v>228334.5</x:v>
      </x:c>
      <x:c r="D342" s="6" t="n">
        <x:f>'Лист1'!D342</x:f>
        <x:v>22380772.5</x:v>
      </x:c>
      <x:c r="E342" s="6" t="n">
        <x:f>'Лист1'!E342</x:f>
        <x:v>17031004.073</x:v>
      </x:c>
      <x:c r="F342" s="6" t="n">
        <x:f>'Лист1'!F342</x:f>
        <x:v>275436.23846153845</x:v>
      </x:c>
      <x:c r="G342" s="1" t="n">
        <x:f>IF(N342=1,SUMIFS('Лист2'!$C$2:$C$505,'Лист2'!$A$2:$A$505,A342,'Лист2'!$B$2:$B$505,B342),NA())</x:f>
        <x:v>60</x:v>
      </x:c>
      <x:c r="H342" s="1" t="n">
        <x:f>IF(N342=1,SUMIFS('Лист2'!$D$2:$D$505,'Лист2'!$A$2:$A$505,A342,'Лист2'!$B$2:$B$505,B342),NA())</x:f>
        <x:v>14050</x:v>
      </x:c>
      <x:c r="I342" s="1" t="n">
        <x:f>IF(N342=1,SUMIFS('Лист2'!$E$2:$E$505,'Лист2'!$A$2:$A$505,A342,'Лист2'!$B$2:$B$505,B342),NA())</x:f>
        <x:v>13027</x:v>
      </x:c>
      <x:c r="J342" s="5" t="n">
        <x:f>A342-WEEKDAY(A342,2)+1</x:f>
        <x:v>43969</x:v>
      </x:c>
      <x:c r="K342" s="1" t="n">
        <x:f>YEAR(J342+3)</x:f>
        <x:v>2020</x:v>
      </x:c>
      <x:c r="L342" s="1" t="n">
        <x:f>INT((J342-DATE(K342,1,4)+WEEKDAY(DATE(K342,1,4),2)-1)/7)+1</x:f>
        <x:v>21</x:v>
      </x:c>
      <x:c r="M342" s="1" t="str">
        <x:f>A342&amp;"|"&amp;B342</x:f>
        <x:v>43973|Москва Запад</x:v>
      </x:c>
      <x:c r="N342" s="1" t="n">
        <x:f>COUNTIFS('Лист2'!$F$2:$F$505,M342)</x:f>
        <x:v>1</x:v>
      </x:c>
      <x:c r="O342" s="1"/>
      <x:c r="P342" s="1"/>
      <x:c r="Q342" s="1"/>
    </x:row>
    <x:row r="343" ht="21" customHeight="1">
      <x:c r="A343" s="5" t="n">
        <x:f>'Лист1'!A343</x:f>
        <x:v>43973</x:v>
      </x:c>
      <x:c r="B343" s="1" t="str">
        <x:f>'Лист1'!B343</x:f>
        <x:v>Нижний Новгород</x:v>
      </x:c>
      <x:c r="C343" s="1" t="n">
        <x:f>'Лист1'!C343</x:f>
        <x:v>38074.5</x:v>
      </x:c>
      <x:c r="D343" s="6" t="n">
        <x:f>'Лист1'!D343</x:f>
        <x:v>3414180</x:v>
      </x:c>
      <x:c r="E343" s="6" t="n">
        <x:f>'Лист1'!E343</x:f>
        <x:v>2805831.5209999997</x:v>
      </x:c>
      <x:c r="F343" s="6" t="n">
        <x:f>'Лист1'!F343</x:f>
        <x:v>124540.74078461538</x:v>
      </x:c>
      <x:c r="G343" s="1" t="n">
        <x:f>IF(N343=1,SUMIFS('Лист2'!$C$2:$C$505,'Лист2'!$A$2:$A$505,A343,'Лист2'!$B$2:$B$505,B343),NA())</x:f>
        <x:v>20</x:v>
      </x:c>
      <x:c r="H343" s="1" t="n">
        <x:f>IF(N343=1,SUMIFS('Лист2'!$D$2:$D$505,'Лист2'!$A$2:$A$505,A343,'Лист2'!$B$2:$B$505,B343),NA())</x:f>
        <x:v>2306</x:v>
      </x:c>
      <x:c r="I343" s="1" t="n">
        <x:f>IF(N343=1,SUMIFS('Лист2'!$E$2:$E$505,'Лист2'!$A$2:$A$505,A343,'Лист2'!$B$2:$B$505,B343),NA())</x:f>
        <x:v>2054</x:v>
      </x:c>
      <x:c r="J343" s="5" t="n">
        <x:f>A343-WEEKDAY(A343,2)+1</x:f>
        <x:v>43969</x:v>
      </x:c>
      <x:c r="K343" s="1" t="n">
        <x:f>YEAR(J343+3)</x:f>
        <x:v>2020</x:v>
      </x:c>
      <x:c r="L343" s="1" t="n">
        <x:f>INT((J343-DATE(K343,1,4)+WEEKDAY(DATE(K343,1,4),2)-1)/7)+1</x:f>
        <x:v>21</x:v>
      </x:c>
      <x:c r="M343" s="1" t="str">
        <x:f>A343&amp;"|"&amp;B343</x:f>
        <x:v>43973|Нижний Новгород</x:v>
      </x:c>
      <x:c r="N343" s="1" t="n">
        <x:f>COUNTIFS('Лист2'!$F$2:$F$505,M343)</x:f>
        <x:v>1</x:v>
      </x:c>
      <x:c r="O343" s="1"/>
      <x:c r="P343" s="1"/>
      <x:c r="Q343" s="1"/>
    </x:row>
    <x:row r="344" ht="21" customHeight="1">
      <x:c r="A344" s="5" t="n">
        <x:f>'Лист1'!A344</x:f>
        <x:v>43973</x:v>
      </x:c>
      <x:c r="B344" s="1" t="str">
        <x:f>'Лист1'!B344</x:f>
        <x:v>Новосибирск</x:v>
      </x:c>
      <x:c r="C344" s="1" t="n">
        <x:f>'Лист1'!C344</x:f>
        <x:v>17008.5</x:v>
      </x:c>
      <x:c r="D344" s="6" t="n">
        <x:f>'Лист1'!D344</x:f>
        <x:v>1398771</x:v>
      </x:c>
      <x:c r="E344" s="6" t="n">
        <x:f>'Лист1'!E344</x:f>
        <x:v>1144986.397</x:v>
      </x:c>
      <x:c r="F344" s="6" t="n">
        <x:f>'Лист1'!F344</x:f>
        <x:v>158820.4117</x:v>
      </x:c>
      <x:c r="G344" s="1" t="n">
        <x:f>IF(N344=1,SUMIFS('Лист2'!$C$2:$C$505,'Лист2'!$A$2:$A$505,A344,'Лист2'!$B$2:$B$505,B344),NA())</x:f>
        <x:v>18</x:v>
      </x:c>
      <x:c r="H344" s="1" t="n">
        <x:f>IF(N344=1,SUMIFS('Лист2'!$D$2:$D$505,'Лист2'!$A$2:$A$505,A344,'Лист2'!$B$2:$B$505,B344),NA())</x:f>
        <x:v>985</x:v>
      </x:c>
      <x:c r="I344" s="1" t="n">
        <x:f>IF(N344=1,SUMIFS('Лист2'!$E$2:$E$505,'Лист2'!$A$2:$A$505,A344,'Лист2'!$B$2:$B$505,B344),NA())</x:f>
        <x:v>861</x:v>
      </x:c>
      <x:c r="J344" s="5" t="n">
        <x:f>A344-WEEKDAY(A344,2)+1</x:f>
        <x:v>43969</x:v>
      </x:c>
      <x:c r="K344" s="1" t="n">
        <x:f>YEAR(J344+3)</x:f>
        <x:v>2020</x:v>
      </x:c>
      <x:c r="L344" s="1" t="n">
        <x:f>INT((J344-DATE(K344,1,4)+WEEKDAY(DATE(K344,1,4),2)-1)/7)+1</x:f>
        <x:v>21</x:v>
      </x:c>
      <x:c r="M344" s="1" t="str">
        <x:f>A344&amp;"|"&amp;B344</x:f>
        <x:v>43973|Новосибирск</x:v>
      </x:c>
      <x:c r="N344" s="1" t="n">
        <x:f>COUNTIFS('Лист2'!$F$2:$F$505,M344)</x:f>
        <x:v>1</x:v>
      </x:c>
      <x:c r="O344" s="1"/>
      <x:c r="P344" s="1"/>
      <x:c r="Q344" s="1"/>
    </x:row>
    <x:row r="345" ht="21" customHeight="1">
      <x:c r="A345" s="5" t="n">
        <x:f>'Лист1'!A345</x:f>
        <x:v>43973</x:v>
      </x:c>
      <x:c r="B345" s="1" t="str">
        <x:f>'Лист1'!B345</x:f>
        <x:v>Пермь</x:v>
      </x:c>
      <x:c r="C345" s="1" t="n">
        <x:f>'Лист1'!C345</x:f>
        <x:v>21483</x:v>
      </x:c>
      <x:c r="D345" s="6" t="n">
        <x:f>'Лист1'!D345</x:f>
        <x:v>1774329</x:v>
      </x:c>
      <x:c r="E345" s="6" t="n">
        <x:f>'Лист1'!E345</x:f>
        <x:v>1460215.51</x:v>
      </x:c>
      <x:c r="F345" s="6" t="n">
        <x:f>'Лист1'!F345</x:f>
        <x:v>181509.9923076923</x:v>
      </x:c>
      <x:c r="G345" s="1" t="n">
        <x:f>IF(N345=1,SUMIFS('Лист2'!$C$2:$C$505,'Лист2'!$A$2:$A$505,A345,'Лист2'!$B$2:$B$505,B345),NA())</x:f>
        <x:v>17</x:v>
      </x:c>
      <x:c r="H345" s="1" t="n">
        <x:f>IF(N345=1,SUMIFS('Лист2'!$D$2:$D$505,'Лист2'!$A$2:$A$505,A345,'Лист2'!$B$2:$B$505,B345),NA())</x:f>
        <x:v>1268</x:v>
      </x:c>
      <x:c r="I345" s="1" t="n">
        <x:f>IF(N345=1,SUMIFS('Лист2'!$E$2:$E$505,'Лист2'!$A$2:$A$505,A345,'Лист2'!$B$2:$B$505,B345),NA())</x:f>
        <x:v>1129</x:v>
      </x:c>
      <x:c r="J345" s="5" t="n">
        <x:f>A345-WEEKDAY(A345,2)+1</x:f>
        <x:v>43969</x:v>
      </x:c>
      <x:c r="K345" s="1" t="n">
        <x:f>YEAR(J345+3)</x:f>
        <x:v>2020</x:v>
      </x:c>
      <x:c r="L345" s="1" t="n">
        <x:f>INT((J345-DATE(K345,1,4)+WEEKDAY(DATE(K345,1,4),2)-1)/7)+1</x:f>
        <x:v>21</x:v>
      </x:c>
      <x:c r="M345" s="1" t="str">
        <x:f>A345&amp;"|"&amp;B345</x:f>
        <x:v>43973|Пермь</x:v>
      </x:c>
      <x:c r="N345" s="1" t="n">
        <x:f>COUNTIFS('Лист2'!$F$2:$F$505,M345)</x:f>
        <x:v>1</x:v>
      </x:c>
      <x:c r="O345" s="1"/>
      <x:c r="P345" s="1"/>
      <x:c r="Q345" s="1"/>
    </x:row>
    <x:row r="346" ht="21" customHeight="1">
      <x:c r="A346" s="5" t="n">
        <x:f>'Лист1'!A346</x:f>
        <x:v>43973</x:v>
      </x:c>
      <x:c r="B346" s="1" t="str">
        <x:f>'Лист1'!B346</x:f>
        <x:v>Ростов-на-Дону</x:v>
      </x:c>
      <x:c r="C346" s="1" t="n">
        <x:f>'Лист1'!C346</x:f>
        <x:v>15802.5</x:v>
      </x:c>
      <x:c r="D346" s="6" t="n">
        <x:f>'Лист1'!D346</x:f>
        <x:v>1411909.5</x:v>
      </x:c>
      <x:c r="E346" s="6" t="n">
        <x:f>'Лист1'!E346</x:f>
        <x:v>1158841.584</x:v>
      </x:c>
      <x:c r="F346" s="6" t="n">
        <x:f>'Лист1'!F346</x:f>
        <x:v>186035.5973846154</x:v>
      </x:c>
      <x:c r="G346" s="1" t="n">
        <x:f>IF(N346=1,SUMIFS('Лист2'!$C$2:$C$505,'Лист2'!$A$2:$A$505,A346,'Лист2'!$B$2:$B$505,B346),NA())</x:f>
        <x:v>15</x:v>
      </x:c>
      <x:c r="H346" s="1" t="n">
        <x:f>IF(N346=1,SUMIFS('Лист2'!$D$2:$D$505,'Лист2'!$A$2:$A$505,A346,'Лист2'!$B$2:$B$505,B346),NA())</x:f>
        <x:v>903</x:v>
      </x:c>
      <x:c r="I346" s="1" t="n">
        <x:f>IF(N346=1,SUMIFS('Лист2'!$E$2:$E$505,'Лист2'!$A$2:$A$505,A346,'Лист2'!$B$2:$B$505,B346),NA())</x:f>
        <x:v>792</x:v>
      </x:c>
      <x:c r="J346" s="5" t="n">
        <x:f>A346-WEEKDAY(A346,2)+1</x:f>
        <x:v>43969</x:v>
      </x:c>
      <x:c r="K346" s="1" t="n">
        <x:f>YEAR(J346+3)</x:f>
        <x:v>2020</x:v>
      </x:c>
      <x:c r="L346" s="1" t="n">
        <x:f>INT((J346-DATE(K346,1,4)+WEEKDAY(DATE(K346,1,4),2)-1)/7)+1</x:f>
        <x:v>21</x:v>
      </x:c>
      <x:c r="M346" s="1" t="str">
        <x:f>A346&amp;"|"&amp;B346</x:f>
        <x:v>43973|Ростов-на-Дону</x:v>
      </x:c>
      <x:c r="N346" s="1" t="n">
        <x:f>COUNTIFS('Лист2'!$F$2:$F$505,M346)</x:f>
        <x:v>1</x:v>
      </x:c>
      <x:c r="O346" s="1"/>
      <x:c r="P346" s="1"/>
      <x:c r="Q346" s="1"/>
    </x:row>
    <x:row r="347" ht="21" customHeight="1">
      <x:c r="A347" s="5" t="n">
        <x:f>'Лист1'!A347</x:f>
        <x:v>43973</x:v>
      </x:c>
      <x:c r="B347" s="1" t="str">
        <x:f>'Лист1'!B347</x:f>
        <x:v>Санкт-Петербург Север</x:v>
      </x:c>
      <x:c r="C347" s="1" t="n">
        <x:f>'Лист1'!C347</x:f>
        <x:v>393018</x:v>
      </x:c>
      <x:c r="D347" s="6" t="n">
        <x:f>'Лист1'!D347</x:f>
        <x:v>39498373.5</x:v>
      </x:c>
      <x:c r="E347" s="6" t="n">
        <x:f>'Лист1'!E347</x:f>
        <x:v>29683782.432999995</x:v>
      </x:c>
      <x:c r="F347" s="6" t="n">
        <x:f>'Лист1'!F347</x:f>
        <x:v>636230.3201153845</x:v>
      </x:c>
      <x:c r="G347" s="1" t="n">
        <x:f>IF(N347=1,SUMIFS('Лист2'!$C$2:$C$505,'Лист2'!$A$2:$A$505,A347,'Лист2'!$B$2:$B$505,B347),NA())</x:f>
        <x:v>125</x:v>
      </x:c>
      <x:c r="H347" s="1" t="n">
        <x:f>IF(N347=1,SUMIFS('Лист2'!$D$2:$D$505,'Лист2'!$A$2:$A$505,A347,'Лист2'!$B$2:$B$505,B347),NA())</x:f>
        <x:v>21427</x:v>
      </x:c>
      <x:c r="I347" s="1" t="n">
        <x:f>IF(N347=1,SUMIFS('Лист2'!$E$2:$E$505,'Лист2'!$A$2:$A$505,A347,'Лист2'!$B$2:$B$505,B347),NA())</x:f>
        <x:v>19799</x:v>
      </x:c>
      <x:c r="J347" s="5" t="n">
        <x:f>A347-WEEKDAY(A347,2)+1</x:f>
        <x:v>43969</x:v>
      </x:c>
      <x:c r="K347" s="1" t="n">
        <x:f>YEAR(J347+3)</x:f>
        <x:v>2020</x:v>
      </x:c>
      <x:c r="L347" s="1" t="n">
        <x:f>INT((J347-DATE(K347,1,4)+WEEKDAY(DATE(K347,1,4),2)-1)/7)+1</x:f>
        <x:v>21</x:v>
      </x:c>
      <x:c r="M347" s="1" t="str">
        <x:f>A347&amp;"|"&amp;B347</x:f>
        <x:v>43973|Санкт-Петербург Север</x:v>
      </x:c>
      <x:c r="N347" s="1" t="n">
        <x:f>COUNTIFS('Лист2'!$F$2:$F$505,M347)</x:f>
        <x:v>1</x:v>
      </x:c>
      <x:c r="O347" s="1"/>
      <x:c r="P347" s="1"/>
      <x:c r="Q347" s="1"/>
    </x:row>
    <x:row r="348" ht="21" customHeight="1">
      <x:c r="A348" s="5" t="n">
        <x:f>'Лист1'!A348</x:f>
        <x:v>43973</x:v>
      </x:c>
      <x:c r="B348" s="1" t="str">
        <x:f>'Лист1'!B348</x:f>
        <x:v>Санкт-Петербург Юг</x:v>
      </x:c>
      <x:c r="C348" s="1" t="n">
        <x:f>'Лист1'!C348</x:f>
        <x:v>304092</x:v>
      </x:c>
      <x:c r="D348" s="6" t="n">
        <x:f>'Лист1'!D348</x:f>
        <x:v>29465769</x:v>
      </x:c>
      <x:c r="E348" s="6" t="n">
        <x:f>'Лист1'!E348</x:f>
        <x:v>22276452.264999997</x:v>
      </x:c>
      <x:c r="F348" s="6" t="n">
        <x:f>'Лист1'!F348</x:f>
        <x:v>570447.6369538462</x:v>
      </x:c>
      <x:c r="G348" s="1" t="n">
        <x:f>IF(N348=1,SUMIFS('Лист2'!$C$2:$C$505,'Лист2'!$A$2:$A$505,A348,'Лист2'!$B$2:$B$505,B348),NA())</x:f>
        <x:v>129</x:v>
      </x:c>
      <x:c r="H348" s="1" t="n">
        <x:f>IF(N348=1,SUMIFS('Лист2'!$D$2:$D$505,'Лист2'!$A$2:$A$505,A348,'Лист2'!$B$2:$B$505,B348),NA())</x:f>
        <x:v>17088</x:v>
      </x:c>
      <x:c r="I348" s="1" t="n">
        <x:f>IF(N348=1,SUMIFS('Лист2'!$E$2:$E$505,'Лист2'!$A$2:$A$505,A348,'Лист2'!$B$2:$B$505,B348),NA())</x:f>
        <x:v>15804</x:v>
      </x:c>
      <x:c r="J348" s="5" t="n">
        <x:f>A348-WEEKDAY(A348,2)+1</x:f>
        <x:v>43969</x:v>
      </x:c>
      <x:c r="K348" s="1" t="n">
        <x:f>YEAR(J348+3)</x:f>
        <x:v>2020</x:v>
      </x:c>
      <x:c r="L348" s="1" t="n">
        <x:f>INT((J348-DATE(K348,1,4)+WEEKDAY(DATE(K348,1,4),2)-1)/7)+1</x:f>
        <x:v>21</x:v>
      </x:c>
      <x:c r="M348" s="1" t="str">
        <x:f>A348&amp;"|"&amp;B348</x:f>
        <x:v>43973|Санкт-Петербург Юг</x:v>
      </x:c>
      <x:c r="N348" s="1" t="n">
        <x:f>COUNTIFS('Лист2'!$F$2:$F$505,M348)</x:f>
        <x:v>1</x:v>
      </x:c>
      <x:c r="O348" s="1"/>
      <x:c r="P348" s="1"/>
      <x:c r="Q348" s="1"/>
    </x:row>
    <x:row r="349" ht="21" customHeight="1">
      <x:c r="A349" s="5" t="n">
        <x:f>'Лист1'!A349</x:f>
        <x:v>43973</x:v>
      </x:c>
      <x:c r="B349" s="1" t="str">
        <x:f>'Лист1'!B349</x:f>
        <x:v>Тольятти</x:v>
      </x:c>
      <x:c r="C349" s="1" t="n">
        <x:f>'Лист1'!C349</x:f>
        <x:v>18036</x:v>
      </x:c>
      <x:c r="D349" s="6" t="n">
        <x:f>'Лист1'!D349</x:f>
        <x:v>1455049.5</x:v>
      </x:c>
      <x:c r="E349" s="6" t="n">
        <x:f>'Лист1'!E349</x:f>
        <x:v>1301439.284</x:v>
      </x:c>
      <x:c r="F349" s="6" t="n">
        <x:f>'Лист1'!F349</x:f>
        <x:v>69189.12307692308</x:v>
      </x:c>
      <x:c r="G349" s="1" t="n">
        <x:f>IF(N349=1,SUMIFS('Лист2'!$C$2:$C$505,'Лист2'!$A$2:$A$505,A349,'Лист2'!$B$2:$B$505,B349),NA())</x:f>
        <x:v>10</x:v>
      </x:c>
      <x:c r="H349" s="1" t="n">
        <x:f>IF(N349=1,SUMIFS('Лист2'!$D$2:$D$505,'Лист2'!$A$2:$A$505,A349,'Лист2'!$B$2:$B$505,B349),NA())</x:f>
        <x:v>965</x:v>
      </x:c>
      <x:c r="I349" s="1" t="n">
        <x:f>IF(N349=1,SUMIFS('Лист2'!$E$2:$E$505,'Лист2'!$A$2:$A$505,A349,'Лист2'!$B$2:$B$505,B349),NA())</x:f>
        <x:v>861</x:v>
      </x:c>
      <x:c r="J349" s="5" t="n">
        <x:f>A349-WEEKDAY(A349,2)+1</x:f>
        <x:v>43969</x:v>
      </x:c>
      <x:c r="K349" s="1" t="n">
        <x:f>YEAR(J349+3)</x:f>
        <x:v>2020</x:v>
      </x:c>
      <x:c r="L349" s="1" t="n">
        <x:f>INT((J349-DATE(K349,1,4)+WEEKDAY(DATE(K349,1,4),2)-1)/7)+1</x:f>
        <x:v>21</x:v>
      </x:c>
      <x:c r="M349" s="1" t="str">
        <x:f>A349&amp;"|"&amp;B349</x:f>
        <x:v>43973|Тольятти</x:v>
      </x:c>
      <x:c r="N349" s="1" t="n">
        <x:f>COUNTIFS('Лист2'!$F$2:$F$505,M349)</x:f>
        <x:v>1</x:v>
      </x:c>
      <x:c r="O349" s="1"/>
      <x:c r="P349" s="1"/>
      <x:c r="Q349" s="1"/>
    </x:row>
    <x:row r="350" ht="21" customHeight="1">
      <x:c r="A350" s="5" t="n">
        <x:f>'Лист1'!A350</x:f>
        <x:v>43974</x:v>
      </x:c>
      <x:c r="B350" s="1" t="str">
        <x:f>'Лист1'!B350</x:f>
        <x:v>Волгоград</x:v>
      </x:c>
      <x:c r="C350" s="1" t="n">
        <x:f>'Лист1'!C350</x:f>
        <x:v>89556</x:v>
      </x:c>
      <x:c r="D350" s="6" t="n">
        <x:f>'Лист1'!D350</x:f>
        <x:v>7173117</x:v>
      </x:c>
      <x:c r="E350" s="6" t="n">
        <x:f>'Лист1'!E350</x:f>
        <x:v>6068194.523</x:v>
      </x:c>
      <x:c r="F350" s="6" t="n">
        <x:f>'Лист1'!F350</x:f>
        <x:v>139983.69019999998</x:v>
      </x:c>
      <x:c r="G350" s="1" t="n">
        <x:f>IF(N350=1,SUMIFS('Лист2'!$C$2:$C$505,'Лист2'!$A$2:$A$505,A350,'Лист2'!$B$2:$B$505,B350),NA())</x:f>
        <x:v>36</x:v>
      </x:c>
      <x:c r="H350" s="1" t="n">
        <x:f>IF(N350=1,SUMIFS('Лист2'!$D$2:$D$505,'Лист2'!$A$2:$A$505,A350,'Лист2'!$B$2:$B$505,B350),NA())</x:f>
        <x:v>5651</x:v>
      </x:c>
      <x:c r="I350" s="1" t="n">
        <x:f>IF(N350=1,SUMIFS('Лист2'!$E$2:$E$505,'Лист2'!$A$2:$A$505,A350,'Лист2'!$B$2:$B$505,B350),NA())</x:f>
        <x:v>5212</x:v>
      </x:c>
      <x:c r="J350" s="5" t="n">
        <x:f>A350-WEEKDAY(A350,2)+1</x:f>
        <x:v>43969</x:v>
      </x:c>
      <x:c r="K350" s="1" t="n">
        <x:f>YEAR(J350+3)</x:f>
        <x:v>2020</x:v>
      </x:c>
      <x:c r="L350" s="1" t="n">
        <x:f>INT((J350-DATE(K350,1,4)+WEEKDAY(DATE(K350,1,4),2)-1)/7)+1</x:f>
        <x:v>21</x:v>
      </x:c>
      <x:c r="M350" s="1" t="str">
        <x:f>A350&amp;"|"&amp;B350</x:f>
        <x:v>43974|Волгоград</x:v>
      </x:c>
      <x:c r="N350" s="1" t="n">
        <x:f>COUNTIFS('Лист2'!$F$2:$F$505,M350)</x:f>
        <x:v>1</x:v>
      </x:c>
      <x:c r="O350" s="1"/>
      <x:c r="P350" s="1"/>
      <x:c r="Q350" s="1"/>
    </x:row>
    <x:row r="351" ht="21" customHeight="1">
      <x:c r="A351" s="5" t="n">
        <x:f>'Лист1'!A351</x:f>
        <x:v>43974</x:v>
      </x:c>
      <x:c r="B351" s="1" t="str">
        <x:f>'Лист1'!B351</x:f>
        <x:v>Екатеринбург</x:v>
      </x:c>
      <x:c r="C351" s="1" t="n">
        <x:f>'Лист1'!C351</x:f>
        <x:v>102889.5</x:v>
      </x:c>
      <x:c r="D351" s="6" t="n">
        <x:f>'Лист1'!D351</x:f>
        <x:v>8089143</x:v>
      </x:c>
      <x:c r="E351" s="6" t="n">
        <x:f>'Лист1'!E351</x:f>
        <x:v>6673236.372</x:v>
      </x:c>
      <x:c r="F351" s="6" t="n">
        <x:f>'Лист1'!F351</x:f>
        <x:v>127223.84583076923</x:v>
      </x:c>
      <x:c r="G351" s="1" t="n">
        <x:f>IF(N351=1,SUMIFS('Лист2'!$C$2:$C$505,'Лист2'!$A$2:$A$505,A351,'Лист2'!$B$2:$B$505,B351),NA())</x:f>
        <x:v>31</x:v>
      </x:c>
      <x:c r="H351" s="1" t="n">
        <x:f>IF(N351=1,SUMIFS('Лист2'!$D$2:$D$505,'Лист2'!$A$2:$A$505,A351,'Лист2'!$B$2:$B$505,B351),NA())</x:f>
        <x:v>6276</x:v>
      </x:c>
      <x:c r="I351" s="1" t="n">
        <x:f>IF(N351=1,SUMIFS('Лист2'!$E$2:$E$505,'Лист2'!$A$2:$A$505,A351,'Лист2'!$B$2:$B$505,B351),NA())</x:f>
        <x:v>5801</x:v>
      </x:c>
      <x:c r="J351" s="5" t="n">
        <x:f>A351-WEEKDAY(A351,2)+1</x:f>
        <x:v>43969</x:v>
      </x:c>
      <x:c r="K351" s="1" t="n">
        <x:f>YEAR(J351+3)</x:f>
        <x:v>2020</x:v>
      </x:c>
      <x:c r="L351" s="1" t="n">
        <x:f>INT((J351-DATE(K351,1,4)+WEEKDAY(DATE(K351,1,4),2)-1)/7)+1</x:f>
        <x:v>21</x:v>
      </x:c>
      <x:c r="M351" s="1" t="str">
        <x:f>A351&amp;"|"&amp;B351</x:f>
        <x:v>43974|Екатеринбург</x:v>
      </x:c>
      <x:c r="N351" s="1" t="n">
        <x:f>COUNTIFS('Лист2'!$F$2:$F$505,M351)</x:f>
        <x:v>1</x:v>
      </x:c>
      <x:c r="O351" s="1"/>
      <x:c r="P351" s="1"/>
      <x:c r="Q351" s="1"/>
    </x:row>
    <x:row r="352" ht="21" customHeight="1">
      <x:c r="A352" s="5" t="n">
        <x:f>'Лист1'!A352</x:f>
        <x:v>43974</x:v>
      </x:c>
      <x:c r="B352" s="1" t="str">
        <x:f>'Лист1'!B352</x:f>
        <x:v>Казань</x:v>
      </x:c>
      <x:c r="C352" s="1" t="n">
        <x:f>'Лист1'!C352</x:f>
        <x:v>42999</x:v>
      </x:c>
      <x:c r="D352" s="6" t="n">
        <x:f>'Лист1'!D352</x:f>
        <x:v>3883215</x:v>
      </x:c>
      <x:c r="E352" s="6" t="n">
        <x:f>'Лист1'!E352</x:f>
        <x:v>3151914.3419999997</x:v>
      </x:c>
      <x:c r="F352" s="6" t="n">
        <x:f>'Лист1'!F352</x:f>
        <x:v>162279.9956153846</x:v>
      </x:c>
      <x:c r="G352" s="1" t="n">
        <x:f>IF(N352=1,SUMIFS('Лист2'!$C$2:$C$505,'Лист2'!$A$2:$A$505,A352,'Лист2'!$B$2:$B$505,B352),NA())</x:f>
        <x:v>21</x:v>
      </x:c>
      <x:c r="H352" s="1" t="n">
        <x:f>IF(N352=1,SUMIFS('Лист2'!$D$2:$D$505,'Лист2'!$A$2:$A$505,A352,'Лист2'!$B$2:$B$505,B352),NA())</x:f>
        <x:v>2460</x:v>
      </x:c>
      <x:c r="I352" s="1" t="n">
        <x:f>IF(N352=1,SUMIFS('Лист2'!$E$2:$E$505,'Лист2'!$A$2:$A$505,A352,'Лист2'!$B$2:$B$505,B352),NA())</x:f>
        <x:v>2226</x:v>
      </x:c>
      <x:c r="J352" s="5" t="n">
        <x:f>A352-WEEKDAY(A352,2)+1</x:f>
        <x:v>43969</x:v>
      </x:c>
      <x:c r="K352" s="1" t="n">
        <x:f>YEAR(J352+3)</x:f>
        <x:v>2020</x:v>
      </x:c>
      <x:c r="L352" s="1" t="n">
        <x:f>INT((J352-DATE(K352,1,4)+WEEKDAY(DATE(K352,1,4),2)-1)/7)+1</x:f>
        <x:v>21</x:v>
      </x:c>
      <x:c r="M352" s="1" t="str">
        <x:f>A352&amp;"|"&amp;B352</x:f>
        <x:v>43974|Казань</x:v>
      </x:c>
      <x:c r="N352" s="1" t="n">
        <x:f>COUNTIFS('Лист2'!$F$2:$F$505,M352)</x:f>
        <x:v>1</x:v>
      </x:c>
      <x:c r="O352" s="1"/>
      <x:c r="P352" s="1"/>
      <x:c r="Q352" s="1"/>
    </x:row>
    <x:row r="353" ht="21" customHeight="1">
      <x:c r="A353" s="5" t="n">
        <x:f>'Лист1'!A353</x:f>
        <x:v>43974</x:v>
      </x:c>
      <x:c r="B353" s="1" t="str">
        <x:f>'Лист1'!B353</x:f>
        <x:v>Кемерово</x:v>
      </x:c>
      <x:c r="C353" s="1" t="n">
        <x:f>'Лист1'!C353</x:f>
        <x:v>42703.5</x:v>
      </x:c>
      <x:c r="D353" s="6" t="n">
        <x:f>'Лист1'!D353</x:f>
        <x:v>3628726.5</x:v>
      </x:c>
      <x:c r="E353" s="6" t="n">
        <x:f>'Лист1'!E353</x:f>
        <x:v>3056063.735</x:v>
      </x:c>
      <x:c r="F353" s="6" t="n">
        <x:f>'Лист1'!F353</x:f>
        <x:v>223670.01693846151</x:v>
      </x:c>
      <x:c r="G353" s="1" t="n">
        <x:f>IF(N353=1,SUMIFS('Лист2'!$C$2:$C$505,'Лист2'!$A$2:$A$505,A353,'Лист2'!$B$2:$B$505,B353),NA())</x:f>
        <x:v>21</x:v>
      </x:c>
      <x:c r="H353" s="1" t="n">
        <x:f>IF(N353=1,SUMIFS('Лист2'!$D$2:$D$505,'Лист2'!$A$2:$A$505,A353,'Лист2'!$B$2:$B$505,B353),NA())</x:f>
        <x:v>2340</x:v>
      </x:c>
      <x:c r="I353" s="1" t="n">
        <x:f>IF(N353=1,SUMIFS('Лист2'!$E$2:$E$505,'Лист2'!$A$2:$A$505,A353,'Лист2'!$B$2:$B$505,B353),NA())</x:f>
        <x:v>2146</x:v>
      </x:c>
      <x:c r="J353" s="5" t="n">
        <x:f>A353-WEEKDAY(A353,2)+1</x:f>
        <x:v>43969</x:v>
      </x:c>
      <x:c r="K353" s="1" t="n">
        <x:f>YEAR(J353+3)</x:f>
        <x:v>2020</x:v>
      </x:c>
      <x:c r="L353" s="1" t="n">
        <x:f>INT((J353-DATE(K353,1,4)+WEEKDAY(DATE(K353,1,4),2)-1)/7)+1</x:f>
        <x:v>21</x:v>
      </x:c>
      <x:c r="M353" s="1" t="str">
        <x:f>A353&amp;"|"&amp;B353</x:f>
        <x:v>43974|Кемерово</x:v>
      </x:c>
      <x:c r="N353" s="1" t="n">
        <x:f>COUNTIFS('Лист2'!$F$2:$F$505,M353)</x:f>
        <x:v>1</x:v>
      </x:c>
      <x:c r="O353" s="1"/>
      <x:c r="P353" s="1"/>
      <x:c r="Q353" s="1"/>
    </x:row>
    <x:row r="354" ht="21" customHeight="1">
      <x:c r="A354" s="5" t="n">
        <x:f>'Лист1'!A354</x:f>
        <x:v>43974</x:v>
      </x:c>
      <x:c r="B354" s="1" t="str">
        <x:f>'Лист1'!B354</x:f>
        <x:v>Краснодар</x:v>
      </x:c>
      <x:c r="C354" s="1" t="n">
        <x:f>'Лист1'!C354</x:f>
        <x:v>36997.5</x:v>
      </x:c>
      <x:c r="D354" s="6" t="n">
        <x:f>'Лист1'!D354</x:f>
        <x:v>3089140.5</x:v>
      </x:c>
      <x:c r="E354" s="6" t="n">
        <x:f>'Лист1'!E354</x:f>
        <x:v>2533823.174</x:v>
      </x:c>
      <x:c r="F354" s="6" t="n">
        <x:f>'Лист1'!F354</x:f>
        <x:v>109891.53846153845</x:v>
      </x:c>
      <x:c r="G354" s="1" t="n">
        <x:f>IF(N354=1,SUMIFS('Лист2'!$C$2:$C$505,'Лист2'!$A$2:$A$505,A354,'Лист2'!$B$2:$B$505,B354),NA())</x:f>
        <x:v>19</x:v>
      </x:c>
      <x:c r="H354" s="1" t="n">
        <x:f>IF(N354=1,SUMIFS('Лист2'!$D$2:$D$505,'Лист2'!$A$2:$A$505,A354,'Лист2'!$B$2:$B$505,B354),NA())</x:f>
        <x:v>2195</x:v>
      </x:c>
      <x:c r="I354" s="1" t="n">
        <x:f>IF(N354=1,SUMIFS('Лист2'!$E$2:$E$505,'Лист2'!$A$2:$A$505,A354,'Лист2'!$B$2:$B$505,B354),NA())</x:f>
        <x:v>1999</x:v>
      </x:c>
      <x:c r="J354" s="5" t="n">
        <x:f>A354-WEEKDAY(A354,2)+1</x:f>
        <x:v>43969</x:v>
      </x:c>
      <x:c r="K354" s="1" t="n">
        <x:f>YEAR(J354+3)</x:f>
        <x:v>2020</x:v>
      </x:c>
      <x:c r="L354" s="1" t="n">
        <x:f>INT((J354-DATE(K354,1,4)+WEEKDAY(DATE(K354,1,4),2)-1)/7)+1</x:f>
        <x:v>21</x:v>
      </x:c>
      <x:c r="M354" s="1" t="str">
        <x:f>A354&amp;"|"&amp;B354</x:f>
        <x:v>43974|Краснодар</x:v>
      </x:c>
      <x:c r="N354" s="1" t="n">
        <x:f>COUNTIFS('Лист2'!$F$2:$F$505,M354)</x:f>
        <x:v>1</x:v>
      </x:c>
      <x:c r="O354" s="1"/>
      <x:c r="P354" s="1"/>
      <x:c r="Q354" s="1"/>
    </x:row>
    <x:row r="355" ht="21" customHeight="1">
      <x:c r="A355" s="5" t="n">
        <x:f>'Лист1'!A355</x:f>
        <x:v>43974</x:v>
      </x:c>
      <x:c r="B355" s="1" t="str">
        <x:f>'Лист1'!B355</x:f>
        <x:v>Москва Восток</x:v>
      </x:c>
      <x:c r="C355" s="1" t="n">
        <x:f>'Лист1'!C355</x:f>
        <x:v>275793</x:v>
      </x:c>
      <x:c r="D355" s="6" t="n">
        <x:f>'Лист1'!D355</x:f>
        <x:v>26806626</x:v>
      </x:c>
      <x:c r="E355" s="6" t="n">
        <x:f>'Лист1'!E355</x:f>
        <x:v>20508194.544999998</x:v>
      </x:c>
      <x:c r="F355" s="6" t="n">
        <x:f>'Лист1'!F355</x:f>
        <x:v>239346.81538461536</x:v>
      </x:c>
      <x:c r="G355" s="1" t="n">
        <x:f>IF(N355=1,SUMIFS('Лист2'!$C$2:$C$505,'Лист2'!$A$2:$A$505,A355,'Лист2'!$B$2:$B$505,B355),NA())</x:f>
        <x:v>54</x:v>
      </x:c>
      <x:c r="H355" s="1" t="n">
        <x:f>IF(N355=1,SUMIFS('Лист2'!$D$2:$D$505,'Лист2'!$A$2:$A$505,A355,'Лист2'!$B$2:$B$505,B355),NA())</x:f>
        <x:v>16221</x:v>
      </x:c>
      <x:c r="I355" s="1" t="n">
        <x:f>IF(N355=1,SUMIFS('Лист2'!$E$2:$E$505,'Лист2'!$A$2:$A$505,A355,'Лист2'!$B$2:$B$505,B355),NA())</x:f>
        <x:v>15065</x:v>
      </x:c>
      <x:c r="J355" s="5" t="n">
        <x:f>A355-WEEKDAY(A355,2)+1</x:f>
        <x:v>43969</x:v>
      </x:c>
      <x:c r="K355" s="1" t="n">
        <x:f>YEAR(J355+3)</x:f>
        <x:v>2020</x:v>
      </x:c>
      <x:c r="L355" s="1" t="n">
        <x:f>INT((J355-DATE(K355,1,4)+WEEKDAY(DATE(K355,1,4),2)-1)/7)+1</x:f>
        <x:v>21</x:v>
      </x:c>
      <x:c r="M355" s="1" t="str">
        <x:f>A355&amp;"|"&amp;B355</x:f>
        <x:v>43974|Москва Восток</x:v>
      </x:c>
      <x:c r="N355" s="1" t="n">
        <x:f>COUNTIFS('Лист2'!$F$2:$F$505,M355)</x:f>
        <x:v>1</x:v>
      </x:c>
      <x:c r="O355" s="1"/>
      <x:c r="P355" s="1"/>
      <x:c r="Q355" s="1"/>
    </x:row>
    <x:row r="356" ht="21" customHeight="1">
      <x:c r="A356" s="5" t="n">
        <x:f>'Лист1'!A356</x:f>
        <x:v>43974</x:v>
      </x:c>
      <x:c r="B356" s="1" t="str">
        <x:f>'Лист1'!B356</x:f>
        <x:v>Москва Запад</x:v>
      </x:c>
      <x:c r="C356" s="1" t="n">
        <x:f>'Лист1'!C356</x:f>
        <x:v>292018.5</x:v>
      </x:c>
      <x:c r="D356" s="6" t="n">
        <x:f>'Лист1'!D356</x:f>
        <x:v>28590910.5</x:v>
      </x:c>
      <x:c r="E356" s="6" t="n">
        <x:f>'Лист1'!E356</x:f>
        <x:v>21740920.338999998</x:v>
      </x:c>
      <x:c r="F356" s="6" t="n">
        <x:f>'Лист1'!F356</x:f>
        <x:v>206427.73076923075</x:v>
      </x:c>
      <x:c r="G356" s="1" t="n">
        <x:f>IF(N356=1,SUMIFS('Лист2'!$C$2:$C$505,'Лист2'!$A$2:$A$505,A356,'Лист2'!$B$2:$B$505,B356),NA())</x:f>
        <x:v>60</x:v>
      </x:c>
      <x:c r="H356" s="1" t="n">
        <x:f>IF(N356=1,SUMIFS('Лист2'!$D$2:$D$505,'Лист2'!$A$2:$A$505,A356,'Лист2'!$B$2:$B$505,B356),NA())</x:f>
        <x:v>17295</x:v>
      </x:c>
      <x:c r="I356" s="1" t="n">
        <x:f>IF(N356=1,SUMIFS('Лист2'!$E$2:$E$505,'Лист2'!$A$2:$A$505,A356,'Лист2'!$B$2:$B$505,B356),NA())</x:f>
        <x:v>16010</x:v>
      </x:c>
      <x:c r="J356" s="5" t="n">
        <x:f>A356-WEEKDAY(A356,2)+1</x:f>
        <x:v>43969</x:v>
      </x:c>
      <x:c r="K356" s="1" t="n">
        <x:f>YEAR(J356+3)</x:f>
        <x:v>2020</x:v>
      </x:c>
      <x:c r="L356" s="1" t="n">
        <x:f>INT((J356-DATE(K356,1,4)+WEEKDAY(DATE(K356,1,4),2)-1)/7)+1</x:f>
        <x:v>21</x:v>
      </x:c>
      <x:c r="M356" s="1" t="str">
        <x:f>A356&amp;"|"&amp;B356</x:f>
        <x:v>43974|Москва Запад</x:v>
      </x:c>
      <x:c r="N356" s="1" t="n">
        <x:f>COUNTIFS('Лист2'!$F$2:$F$505,M356)</x:f>
        <x:v>1</x:v>
      </x:c>
      <x:c r="O356" s="1"/>
      <x:c r="P356" s="1"/>
      <x:c r="Q356" s="1"/>
    </x:row>
    <x:row r="357" ht="21" customHeight="1">
      <x:c r="A357" s="5" t="n">
        <x:f>'Лист1'!A357</x:f>
        <x:v>43974</x:v>
      </x:c>
      <x:c r="B357" s="1" t="str">
        <x:f>'Лист1'!B357</x:f>
        <x:v>Нижний Новгород</x:v>
      </x:c>
      <x:c r="C357" s="1" t="n">
        <x:f>'Лист1'!C357</x:f>
        <x:v>38176.5</x:v>
      </x:c>
      <x:c r="D357" s="6" t="n">
        <x:f>'Лист1'!D357</x:f>
        <x:v>3385372.5</x:v>
      </x:c>
      <x:c r="E357" s="6" t="n">
        <x:f>'Лист1'!E357</x:f>
        <x:v>2831498.2739999997</x:v>
      </x:c>
      <x:c r="F357" s="6" t="n">
        <x:f>'Лист1'!F357</x:f>
        <x:v>146460.30097692306</x:v>
      </x:c>
      <x:c r="G357" s="1" t="n">
        <x:f>IF(N357=1,SUMIFS('Лист2'!$C$2:$C$505,'Лист2'!$A$2:$A$505,A357,'Лист2'!$B$2:$B$505,B357),NA())</x:f>
        <x:v>20</x:v>
      </x:c>
      <x:c r="H357" s="1" t="n">
        <x:f>IF(N357=1,SUMIFS('Лист2'!$D$2:$D$505,'Лист2'!$A$2:$A$505,A357,'Лист2'!$B$2:$B$505,B357),NA())</x:f>
        <x:v>2266</x:v>
      </x:c>
      <x:c r="I357" s="1" t="n">
        <x:f>IF(N357=1,SUMIFS('Лист2'!$E$2:$E$505,'Лист2'!$A$2:$A$505,A357,'Лист2'!$B$2:$B$505,B357),NA())</x:f>
        <x:v>1993</x:v>
      </x:c>
      <x:c r="J357" s="5" t="n">
        <x:f>A357-WEEKDAY(A357,2)+1</x:f>
        <x:v>43969</x:v>
      </x:c>
      <x:c r="K357" s="1" t="n">
        <x:f>YEAR(J357+3)</x:f>
        <x:v>2020</x:v>
      </x:c>
      <x:c r="L357" s="1" t="n">
        <x:f>INT((J357-DATE(K357,1,4)+WEEKDAY(DATE(K357,1,4),2)-1)/7)+1</x:f>
        <x:v>21</x:v>
      </x:c>
      <x:c r="M357" s="1" t="str">
        <x:f>A357&amp;"|"&amp;B357</x:f>
        <x:v>43974|Нижний Новгород</x:v>
      </x:c>
      <x:c r="N357" s="1" t="n">
        <x:f>COUNTIFS('Лист2'!$F$2:$F$505,M357)</x:f>
        <x:v>1</x:v>
      </x:c>
      <x:c r="O357" s="1"/>
      <x:c r="P357" s="1"/>
      <x:c r="Q357" s="1"/>
    </x:row>
    <x:row r="358" ht="21" customHeight="1">
      <x:c r="A358" s="5" t="n">
        <x:f>'Лист1'!A358</x:f>
        <x:v>43974</x:v>
      </x:c>
      <x:c r="B358" s="1" t="str">
        <x:f>'Лист1'!B358</x:f>
        <x:v>Новосибирск</x:v>
      </x:c>
      <x:c r="C358" s="1" t="n">
        <x:f>'Лист1'!C358</x:f>
        <x:v>17943</x:v>
      </x:c>
      <x:c r="D358" s="6" t="n">
        <x:f>'Лист1'!D358</x:f>
        <x:v>1457391</x:v>
      </x:c>
      <x:c r="E358" s="6" t="n">
        <x:f>'Лист1'!E358</x:f>
        <x:v>1194154.7659999998</x:v>
      </x:c>
      <x:c r="F358" s="6" t="n">
        <x:f>'Лист1'!F358</x:f>
        <x:v>124621.03076923077</x:v>
      </x:c>
      <x:c r="G358" s="1" t="n">
        <x:f>IF(N358=1,SUMIFS('Лист2'!$C$2:$C$505,'Лист2'!$A$2:$A$505,A358,'Лист2'!$B$2:$B$505,B358),NA())</x:f>
        <x:v>18</x:v>
      </x:c>
      <x:c r="H358" s="1" t="n">
        <x:f>IF(N358=1,SUMIFS('Лист2'!$D$2:$D$505,'Лист2'!$A$2:$A$505,A358,'Лист2'!$B$2:$B$505,B358),NA())</x:f>
        <x:v>1031</x:v>
      </x:c>
      <x:c r="I358" s="1" t="n">
        <x:f>IF(N358=1,SUMIFS('Лист2'!$E$2:$E$505,'Лист2'!$A$2:$A$505,A358,'Лист2'!$B$2:$B$505,B358),NA())</x:f>
        <x:v>918</x:v>
      </x:c>
      <x:c r="J358" s="5" t="n">
        <x:f>A358-WEEKDAY(A358,2)+1</x:f>
        <x:v>43969</x:v>
      </x:c>
      <x:c r="K358" s="1" t="n">
        <x:f>YEAR(J358+3)</x:f>
        <x:v>2020</x:v>
      </x:c>
      <x:c r="L358" s="1" t="n">
        <x:f>INT((J358-DATE(K358,1,4)+WEEKDAY(DATE(K358,1,4),2)-1)/7)+1</x:f>
        <x:v>21</x:v>
      </x:c>
      <x:c r="M358" s="1" t="str">
        <x:f>A358&amp;"|"&amp;B358</x:f>
        <x:v>43974|Новосибирск</x:v>
      </x:c>
      <x:c r="N358" s="1" t="n">
        <x:f>COUNTIFS('Лист2'!$F$2:$F$505,M358)</x:f>
        <x:v>1</x:v>
      </x:c>
      <x:c r="O358" s="1"/>
      <x:c r="P358" s="1"/>
      <x:c r="Q358" s="1"/>
    </x:row>
    <x:row r="359" ht="21" customHeight="1">
      <x:c r="A359" s="5" t="n">
        <x:f>'Лист1'!A359</x:f>
        <x:v>43974</x:v>
      </x:c>
      <x:c r="B359" s="1" t="str">
        <x:f>'Лист1'!B359</x:f>
        <x:v>Пермь</x:v>
      </x:c>
      <x:c r="C359" s="1" t="n">
        <x:f>'Лист1'!C359</x:f>
        <x:v>21958.5</x:v>
      </x:c>
      <x:c r="D359" s="6" t="n">
        <x:f>'Лист1'!D359</x:f>
        <x:v>1854001.5</x:v>
      </x:c>
      <x:c r="E359" s="6" t="n">
        <x:f>'Лист1'!E359</x:f>
        <x:v>1515956.368</x:v>
      </x:c>
      <x:c r="F359" s="6" t="n">
        <x:f>'Лист1'!F359</x:f>
        <x:v>206787.93638461537</x:v>
      </x:c>
      <x:c r="G359" s="1" t="n">
        <x:f>IF(N359=1,SUMIFS('Лист2'!$C$2:$C$505,'Лист2'!$A$2:$A$505,A359,'Лист2'!$B$2:$B$505,B359),NA())</x:f>
        <x:v>17</x:v>
      </x:c>
      <x:c r="H359" s="1" t="n">
        <x:f>IF(N359=1,SUMIFS('Лист2'!$D$2:$D$505,'Лист2'!$A$2:$A$505,A359,'Лист2'!$B$2:$B$505,B359),NA())</x:f>
        <x:v>1294</x:v>
      </x:c>
      <x:c r="I359" s="1" t="n">
        <x:f>IF(N359=1,SUMIFS('Лист2'!$E$2:$E$505,'Лист2'!$A$2:$A$505,A359,'Лист2'!$B$2:$B$505,B359),NA())</x:f>
        <x:v>1155</x:v>
      </x:c>
      <x:c r="J359" s="5" t="n">
        <x:f>A359-WEEKDAY(A359,2)+1</x:f>
        <x:v>43969</x:v>
      </x:c>
      <x:c r="K359" s="1" t="n">
        <x:f>YEAR(J359+3)</x:f>
        <x:v>2020</x:v>
      </x:c>
      <x:c r="L359" s="1" t="n">
        <x:f>INT((J359-DATE(K359,1,4)+WEEKDAY(DATE(K359,1,4),2)-1)/7)+1</x:f>
        <x:v>21</x:v>
      </x:c>
      <x:c r="M359" s="1" t="str">
        <x:f>A359&amp;"|"&amp;B359</x:f>
        <x:v>43974|Пермь</x:v>
      </x:c>
      <x:c r="N359" s="1" t="n">
        <x:f>COUNTIFS('Лист2'!$F$2:$F$505,M359)</x:f>
        <x:v>1</x:v>
      </x:c>
      <x:c r="O359" s="1"/>
      <x:c r="P359" s="1"/>
      <x:c r="Q359" s="1"/>
    </x:row>
    <x:row r="360" ht="21" customHeight="1">
      <x:c r="A360" s="5" t="n">
        <x:f>'Лист1'!A360</x:f>
        <x:v>43974</x:v>
      </x:c>
      <x:c r="B360" s="1" t="str">
        <x:f>'Лист1'!B360</x:f>
        <x:v>Ростов-на-Дону</x:v>
      </x:c>
      <x:c r="C360" s="1" t="n">
        <x:f>'Лист1'!C360</x:f>
        <x:v>14167.5</x:v>
      </x:c>
      <x:c r="D360" s="6" t="n">
        <x:f>'Лист1'!D360</x:f>
        <x:v>1315075.5</x:v>
      </x:c>
      <x:c r="E360" s="6" t="n">
        <x:f>'Лист1'!E360</x:f>
        <x:v>1074904.135</x:v>
      </x:c>
      <x:c r="F360" s="6" t="n">
        <x:f>'Лист1'!F360</x:f>
        <x:v>269233.3443692308</x:v>
      </x:c>
      <x:c r="G360" s="1" t="n">
        <x:f>IF(N360=1,SUMIFS('Лист2'!$C$2:$C$505,'Лист2'!$A$2:$A$505,A360,'Лист2'!$B$2:$B$505,B360),NA())</x:f>
        <x:v>15</x:v>
      </x:c>
      <x:c r="H360" s="1" t="n">
        <x:f>IF(N360=1,SUMIFS('Лист2'!$D$2:$D$505,'Лист2'!$A$2:$A$505,A360,'Лист2'!$B$2:$B$505,B360),NA())</x:f>
        <x:v>840</x:v>
      </x:c>
      <x:c r="I360" s="1" t="n">
        <x:f>IF(N360=1,SUMIFS('Лист2'!$E$2:$E$505,'Лист2'!$A$2:$A$505,A360,'Лист2'!$B$2:$B$505,B360),NA())</x:f>
        <x:v>725</x:v>
      </x:c>
      <x:c r="J360" s="5" t="n">
        <x:f>A360-WEEKDAY(A360,2)+1</x:f>
        <x:v>43969</x:v>
      </x:c>
      <x:c r="K360" s="1" t="n">
        <x:f>YEAR(J360+3)</x:f>
        <x:v>2020</x:v>
      </x:c>
      <x:c r="L360" s="1" t="n">
        <x:f>INT((J360-DATE(K360,1,4)+WEEKDAY(DATE(K360,1,4),2)-1)/7)+1</x:f>
        <x:v>21</x:v>
      </x:c>
      <x:c r="M360" s="1" t="str">
        <x:f>A360&amp;"|"&amp;B360</x:f>
        <x:v>43974|Ростов-на-Дону</x:v>
      </x:c>
      <x:c r="N360" s="1" t="n">
        <x:f>COUNTIFS('Лист2'!$F$2:$F$505,M360)</x:f>
        <x:v>1</x:v>
      </x:c>
      <x:c r="O360" s="1"/>
      <x:c r="P360" s="1"/>
      <x:c r="Q360" s="1"/>
    </x:row>
    <x:row r="361" ht="21" customHeight="1">
      <x:c r="A361" s="5" t="n">
        <x:f>'Лист1'!A361</x:f>
        <x:v>43974</x:v>
      </x:c>
      <x:c r="B361" s="1" t="str">
        <x:f>'Лист1'!B361</x:f>
        <x:v>Санкт-Петербург Север</x:v>
      </x:c>
      <x:c r="C361" s="1" t="n">
        <x:f>'Лист1'!C361</x:f>
        <x:v>456885</x:v>
      </x:c>
      <x:c r="D361" s="6" t="n">
        <x:f>'Лист1'!D361</x:f>
        <x:v>46408080</x:v>
      </x:c>
      <x:c r="E361" s="6" t="n">
        <x:f>'Лист1'!E361</x:f>
        <x:v>34793888.933</x:v>
      </x:c>
      <x:c r="F361" s="6" t="n">
        <x:f>'Лист1'!F361</x:f>
        <x:v>595793.090653846</x:v>
      </x:c>
      <x:c r="G361" s="1" t="n">
        <x:f>IF(N361=1,SUMIFS('Лист2'!$C$2:$C$505,'Лист2'!$A$2:$A$505,A361,'Лист2'!$B$2:$B$505,B361),NA())</x:f>
        <x:v>125</x:v>
      </x:c>
      <x:c r="H361" s="1" t="n">
        <x:f>IF(N361=1,SUMIFS('Лист2'!$D$2:$D$505,'Лист2'!$A$2:$A$505,A361,'Лист2'!$B$2:$B$505,B361),NA())</x:f>
        <x:v>24574</x:v>
      </x:c>
      <x:c r="I361" s="1" t="n">
        <x:f>IF(N361=1,SUMIFS('Лист2'!$E$2:$E$505,'Лист2'!$A$2:$A$505,A361,'Лист2'!$B$2:$B$505,B361),NA())</x:f>
        <x:v>22609</x:v>
      </x:c>
      <x:c r="J361" s="5" t="n">
        <x:f>A361-WEEKDAY(A361,2)+1</x:f>
        <x:v>43969</x:v>
      </x:c>
      <x:c r="K361" s="1" t="n">
        <x:f>YEAR(J361+3)</x:f>
        <x:v>2020</x:v>
      </x:c>
      <x:c r="L361" s="1" t="n">
        <x:f>INT((J361-DATE(K361,1,4)+WEEKDAY(DATE(K361,1,4),2)-1)/7)+1</x:f>
        <x:v>21</x:v>
      </x:c>
      <x:c r="M361" s="1" t="str">
        <x:f>A361&amp;"|"&amp;B361</x:f>
        <x:v>43974|Санкт-Петербург Север</x:v>
      </x:c>
      <x:c r="N361" s="1" t="n">
        <x:f>COUNTIFS('Лист2'!$F$2:$F$505,M361)</x:f>
        <x:v>1</x:v>
      </x:c>
      <x:c r="O361" s="1"/>
      <x:c r="P361" s="1"/>
      <x:c r="Q361" s="1"/>
    </x:row>
    <x:row r="362" ht="21" customHeight="1">
      <x:c r="A362" s="5" t="n">
        <x:f>'Лист1'!A362</x:f>
        <x:v>43974</x:v>
      </x:c>
      <x:c r="B362" s="1" t="str">
        <x:f>'Лист1'!B362</x:f>
        <x:v>Санкт-Петербург Юг</x:v>
      </x:c>
      <x:c r="C362" s="1" t="n">
        <x:f>'Лист1'!C362</x:f>
        <x:v>356982</x:v>
      </x:c>
      <x:c r="D362" s="6" t="n">
        <x:f>'Лист1'!D362</x:f>
        <x:v>35103926.71155</x:v>
      </x:c>
      <x:c r="E362" s="6" t="n">
        <x:f>'Лист1'!E362</x:f>
        <x:v>26357141.036999997</x:v>
      </x:c>
      <x:c r="F362" s="6" t="n">
        <x:f>'Лист1'!F362</x:f>
        <x:v>601482.0769230769</x:v>
      </x:c>
      <x:c r="G362" s="1" t="n">
        <x:f>IF(N362=1,SUMIFS('Лист2'!$C$2:$C$505,'Лист2'!$A$2:$A$505,A362,'Лист2'!$B$2:$B$505,B362),NA())</x:f>
        <x:v>129</x:v>
      </x:c>
      <x:c r="H362" s="1" t="n">
        <x:f>IF(N362=1,SUMIFS('Лист2'!$D$2:$D$505,'Лист2'!$A$2:$A$505,A362,'Лист2'!$B$2:$B$505,B362),NA())</x:f>
        <x:v>19856</x:v>
      </x:c>
      <x:c r="I362" s="1" t="n">
        <x:f>IF(N362=1,SUMIFS('Лист2'!$E$2:$E$505,'Лист2'!$A$2:$A$505,A362,'Лист2'!$B$2:$B$505,B362),NA())</x:f>
        <x:v>18325</x:v>
      </x:c>
      <x:c r="J362" s="5" t="n">
        <x:f>A362-WEEKDAY(A362,2)+1</x:f>
        <x:v>43969</x:v>
      </x:c>
      <x:c r="K362" s="1" t="n">
        <x:f>YEAR(J362+3)</x:f>
        <x:v>2020</x:v>
      </x:c>
      <x:c r="L362" s="1" t="n">
        <x:f>INT((J362-DATE(K362,1,4)+WEEKDAY(DATE(K362,1,4),2)-1)/7)+1</x:f>
        <x:v>21</x:v>
      </x:c>
      <x:c r="M362" s="1" t="str">
        <x:f>A362&amp;"|"&amp;B362</x:f>
        <x:v>43974|Санкт-Петербург Юг</x:v>
      </x:c>
      <x:c r="N362" s="1" t="n">
        <x:f>COUNTIFS('Лист2'!$F$2:$F$505,M362)</x:f>
        <x:v>1</x:v>
      </x:c>
      <x:c r="O362" s="1"/>
      <x:c r="P362" s="1"/>
      <x:c r="Q362" s="1"/>
    </x:row>
    <x:row r="363" ht="21" customHeight="1">
      <x:c r="A363" s="5" t="n">
        <x:f>'Лист1'!A363</x:f>
        <x:v>43974</x:v>
      </x:c>
      <x:c r="B363" s="1" t="str">
        <x:f>'Лист1'!B363</x:f>
        <x:v>Тольятти</x:v>
      </x:c>
      <x:c r="C363" s="1" t="n">
        <x:f>'Лист1'!C363</x:f>
        <x:v>14773.5</x:v>
      </x:c>
      <x:c r="D363" s="6" t="n">
        <x:f>'Лист1'!D363</x:f>
        <x:v>1241383.5</x:v>
      </x:c>
      <x:c r="E363" s="6" t="n">
        <x:f>'Лист1'!E363</x:f>
        <x:v>1069622.507</x:v>
      </x:c>
      <x:c r="F363" s="6" t="n">
        <x:f>'Лист1'!F363</x:f>
        <x:v>74049.52307692308</x:v>
      </x:c>
      <x:c r="G363" s="1" t="n">
        <x:f>IF(N363=1,SUMIFS('Лист2'!$C$2:$C$505,'Лист2'!$A$2:$A$505,A363,'Лист2'!$B$2:$B$505,B363),NA())</x:f>
        <x:v>10</x:v>
      </x:c>
      <x:c r="H363" s="1" t="n">
        <x:f>IF(N363=1,SUMIFS('Лист2'!$D$2:$D$505,'Лист2'!$A$2:$A$505,A363,'Лист2'!$B$2:$B$505,B363),NA())</x:f>
        <x:v>828</x:v>
      </x:c>
      <x:c r="I363" s="1" t="n">
        <x:f>IF(N363=1,SUMIFS('Лист2'!$E$2:$E$505,'Лист2'!$A$2:$A$505,A363,'Лист2'!$B$2:$B$505,B363),NA())</x:f>
        <x:v>734</x:v>
      </x:c>
      <x:c r="J363" s="5" t="n">
        <x:f>A363-WEEKDAY(A363,2)+1</x:f>
        <x:v>43969</x:v>
      </x:c>
      <x:c r="K363" s="1" t="n">
        <x:f>YEAR(J363+3)</x:f>
        <x:v>2020</x:v>
      </x:c>
      <x:c r="L363" s="1" t="n">
        <x:f>INT((J363-DATE(K363,1,4)+WEEKDAY(DATE(K363,1,4),2)-1)/7)+1</x:f>
        <x:v>21</x:v>
      </x:c>
      <x:c r="M363" s="1" t="str">
        <x:f>A363&amp;"|"&amp;B363</x:f>
        <x:v>43974|Тольятти</x:v>
      </x:c>
      <x:c r="N363" s="1" t="n">
        <x:f>COUNTIFS('Лист2'!$F$2:$F$505,M363)</x:f>
        <x:v>1</x:v>
      </x:c>
      <x:c r="O363" s="1"/>
      <x:c r="P363" s="1"/>
      <x:c r="Q363" s="1"/>
    </x:row>
    <x:row r="364" ht="21" customHeight="1">
      <x:c r="A364" s="5" t="n">
        <x:f>'Лист1'!A364</x:f>
        <x:v>43975</x:v>
      </x:c>
      <x:c r="B364" s="1" t="str">
        <x:f>'Лист1'!B364</x:f>
        <x:v>Волгоград</x:v>
      </x:c>
      <x:c r="C364" s="1" t="n">
        <x:f>'Лист1'!C364</x:f>
        <x:v>74649</x:v>
      </x:c>
      <x:c r="D364" s="6" t="n">
        <x:f>'Лист1'!D364</x:f>
        <x:v>6098236.5</x:v>
      </x:c>
      <x:c r="E364" s="6" t="n">
        <x:f>'Лист1'!E364</x:f>
        <x:v>5042435.841</x:v>
      </x:c>
      <x:c r="F364" s="6" t="n">
        <x:f>'Лист1'!F364</x:f>
        <x:v>156805.8346153846</x:v>
      </x:c>
      <x:c r="G364" s="1" t="n">
        <x:f>IF(N364=1,SUMIFS('Лист2'!$C$2:$C$505,'Лист2'!$A$2:$A$505,A364,'Лист2'!$B$2:$B$505,B364),NA())</x:f>
        <x:v>36</x:v>
      </x:c>
      <x:c r="H364" s="1" t="n">
        <x:f>IF(N364=1,SUMIFS('Лист2'!$D$2:$D$505,'Лист2'!$A$2:$A$505,A364,'Лист2'!$B$2:$B$505,B364),NA())</x:f>
        <x:v>4915</x:v>
      </x:c>
      <x:c r="I364" s="1" t="n">
        <x:f>IF(N364=1,SUMIFS('Лист2'!$E$2:$E$505,'Лист2'!$A$2:$A$505,A364,'Лист2'!$B$2:$B$505,B364),NA())</x:f>
        <x:v>4562</x:v>
      </x:c>
      <x:c r="J364" s="5" t="n">
        <x:f>A364-WEEKDAY(A364,2)+1</x:f>
        <x:v>43969</x:v>
      </x:c>
      <x:c r="K364" s="1" t="n">
        <x:f>YEAR(J364+3)</x:f>
        <x:v>2020</x:v>
      </x:c>
      <x:c r="L364" s="1" t="n">
        <x:f>INT((J364-DATE(K364,1,4)+WEEKDAY(DATE(K364,1,4),2)-1)/7)+1</x:f>
        <x:v>21</x:v>
      </x:c>
      <x:c r="M364" s="1" t="str">
        <x:f>A364&amp;"|"&amp;B364</x:f>
        <x:v>43975|Волгоград</x:v>
      </x:c>
      <x:c r="N364" s="1" t="n">
        <x:f>COUNTIFS('Лист2'!$F$2:$F$505,M364)</x:f>
        <x:v>1</x:v>
      </x:c>
      <x:c r="O364" s="1"/>
      <x:c r="P364" s="1"/>
      <x:c r="Q364" s="1"/>
    </x:row>
    <x:row r="365" ht="21" customHeight="1">
      <x:c r="A365" s="5" t="n">
        <x:f>'Лист1'!A365</x:f>
        <x:v>43975</x:v>
      </x:c>
      <x:c r="B365" s="1" t="str">
        <x:f>'Лист1'!B365</x:f>
        <x:v>Екатеринбург</x:v>
      </x:c>
      <x:c r="C365" s="1" t="n">
        <x:f>'Лист1'!C365</x:f>
        <x:v>76663.5</x:v>
      </x:c>
      <x:c r="D365" s="6" t="n">
        <x:f>'Лист1'!D365</x:f>
        <x:v>6451032</x:v>
      </x:c>
      <x:c r="E365" s="6" t="n">
        <x:f>'Лист1'!E365</x:f>
        <x:v>5048965.796</x:v>
      </x:c>
      <x:c r="F365" s="6" t="n">
        <x:f>'Лист1'!F365</x:f>
        <x:v>94608.14615384614</x:v>
      </x:c>
      <x:c r="G365" s="1" t="n">
        <x:f>IF(N365=1,SUMIFS('Лист2'!$C$2:$C$505,'Лист2'!$A$2:$A$505,A365,'Лист2'!$B$2:$B$505,B365),NA())</x:f>
        <x:v>31</x:v>
      </x:c>
      <x:c r="H365" s="1" t="n">
        <x:f>IF(N365=1,SUMIFS('Лист2'!$D$2:$D$505,'Лист2'!$A$2:$A$505,A365,'Лист2'!$B$2:$B$505,B365),NA())</x:f>
        <x:v>5035</x:v>
      </x:c>
      <x:c r="I365" s="1" t="n">
        <x:f>IF(N365=1,SUMIFS('Лист2'!$E$2:$E$505,'Лист2'!$A$2:$A$505,A365,'Лист2'!$B$2:$B$505,B365),NA())</x:f>
        <x:v>4683</x:v>
      </x:c>
      <x:c r="J365" s="5" t="n">
        <x:f>A365-WEEKDAY(A365,2)+1</x:f>
        <x:v>43969</x:v>
      </x:c>
      <x:c r="K365" s="1" t="n">
        <x:f>YEAR(J365+3)</x:f>
        <x:v>2020</x:v>
      </x:c>
      <x:c r="L365" s="1" t="n">
        <x:f>INT((J365-DATE(K365,1,4)+WEEKDAY(DATE(K365,1,4),2)-1)/7)+1</x:f>
        <x:v>21</x:v>
      </x:c>
      <x:c r="M365" s="1" t="str">
        <x:f>A365&amp;"|"&amp;B365</x:f>
        <x:v>43975|Екатеринбург</x:v>
      </x:c>
      <x:c r="N365" s="1" t="n">
        <x:f>COUNTIFS('Лист2'!$F$2:$F$505,M365)</x:f>
        <x:v>1</x:v>
      </x:c>
      <x:c r="O365" s="1"/>
      <x:c r="P365" s="1"/>
      <x:c r="Q365" s="1"/>
    </x:row>
    <x:row r="366" ht="21" customHeight="1">
      <x:c r="A366" s="5" t="n">
        <x:f>'Лист1'!A366</x:f>
        <x:v>43975</x:v>
      </x:c>
      <x:c r="B366" s="1" t="str">
        <x:f>'Лист1'!B366</x:f>
        <x:v>Казань</x:v>
      </x:c>
      <x:c r="C366" s="1" t="n">
        <x:f>'Лист1'!C366</x:f>
        <x:v>38194.5</x:v>
      </x:c>
      <x:c r="D366" s="6" t="n">
        <x:f>'Лист1'!D366</x:f>
        <x:v>3449302.5</x:v>
      </x:c>
      <x:c r="E366" s="6" t="n">
        <x:f>'Лист1'!E366</x:f>
        <x:v>2798056.2479999997</x:v>
      </x:c>
      <x:c r="F366" s="6" t="n">
        <x:f>'Лист1'!F366</x:f>
        <x:v>174707.83838461537</x:v>
      </x:c>
      <x:c r="G366" s="1" t="n">
        <x:f>IF(N366=1,SUMIFS('Лист2'!$C$2:$C$505,'Лист2'!$A$2:$A$505,A366,'Лист2'!$B$2:$B$505,B366),NA())</x:f>
        <x:v>21</x:v>
      </x:c>
      <x:c r="H366" s="1" t="n">
        <x:f>IF(N366=1,SUMIFS('Лист2'!$D$2:$D$505,'Лист2'!$A$2:$A$505,A366,'Лист2'!$B$2:$B$505,B366),NA())</x:f>
        <x:v>2254</x:v>
      </x:c>
      <x:c r="I366" s="1" t="n">
        <x:f>IF(N366=1,SUMIFS('Лист2'!$E$2:$E$505,'Лист2'!$A$2:$A$505,A366,'Лист2'!$B$2:$B$505,B366),NA())</x:f>
        <x:v>2061</x:v>
      </x:c>
      <x:c r="J366" s="5" t="n">
        <x:f>A366-WEEKDAY(A366,2)+1</x:f>
        <x:v>43969</x:v>
      </x:c>
      <x:c r="K366" s="1" t="n">
        <x:f>YEAR(J366+3)</x:f>
        <x:v>2020</x:v>
      </x:c>
      <x:c r="L366" s="1" t="n">
        <x:f>INT((J366-DATE(K366,1,4)+WEEKDAY(DATE(K366,1,4),2)-1)/7)+1</x:f>
        <x:v>21</x:v>
      </x:c>
      <x:c r="M366" s="1" t="str">
        <x:f>A366&amp;"|"&amp;B366</x:f>
        <x:v>43975|Казань</x:v>
      </x:c>
      <x:c r="N366" s="1" t="n">
        <x:f>COUNTIFS('Лист2'!$F$2:$F$505,M366)</x:f>
        <x:v>1</x:v>
      </x:c>
      <x:c r="O366" s="1"/>
      <x:c r="P366" s="1"/>
      <x:c r="Q366" s="1"/>
    </x:row>
    <x:row r="367" ht="21" customHeight="1">
      <x:c r="A367" s="5" t="n">
        <x:f>'Лист1'!A367</x:f>
        <x:v>43975</x:v>
      </x:c>
      <x:c r="B367" s="1" t="str">
        <x:f>'Лист1'!B367</x:f>
        <x:v>Кемерово</x:v>
      </x:c>
      <x:c r="C367" s="1" t="n">
        <x:f>'Лист1'!C367</x:f>
        <x:v>34303.5</x:v>
      </x:c>
      <x:c r="D367" s="6" t="n">
        <x:f>'Лист1'!D367</x:f>
        <x:v>2924746.5</x:v>
      </x:c>
      <x:c r="E367" s="6" t="n">
        <x:f>'Лист1'!E367</x:f>
        <x:v>2399312.935</x:v>
      </x:c>
      <x:c r="F367" s="6" t="n">
        <x:f>'Лист1'!F367</x:f>
        <x:v>282325.24615384615</x:v>
      </x:c>
      <x:c r="G367" s="1" t="n">
        <x:f>IF(N367=1,SUMIFS('Лист2'!$C$2:$C$505,'Лист2'!$A$2:$A$505,A367,'Лист2'!$B$2:$B$505,B367),NA())</x:f>
        <x:v>20</x:v>
      </x:c>
      <x:c r="H367" s="1" t="n">
        <x:f>IF(N367=1,SUMIFS('Лист2'!$D$2:$D$505,'Лист2'!$A$2:$A$505,A367,'Лист2'!$B$2:$B$505,B367),NA())</x:f>
        <x:v>1999</x:v>
      </x:c>
      <x:c r="I367" s="1" t="n">
        <x:f>IF(N367=1,SUMIFS('Лист2'!$E$2:$E$505,'Лист2'!$A$2:$A$505,A367,'Лист2'!$B$2:$B$505,B367),NA())</x:f>
        <x:v>1829</x:v>
      </x:c>
      <x:c r="J367" s="5" t="n">
        <x:f>A367-WEEKDAY(A367,2)+1</x:f>
        <x:v>43969</x:v>
      </x:c>
      <x:c r="K367" s="1" t="n">
        <x:f>YEAR(J367+3)</x:f>
        <x:v>2020</x:v>
      </x:c>
      <x:c r="L367" s="1" t="n">
        <x:f>INT((J367-DATE(K367,1,4)+WEEKDAY(DATE(K367,1,4),2)-1)/7)+1</x:f>
        <x:v>21</x:v>
      </x:c>
      <x:c r="M367" s="1" t="str">
        <x:f>A367&amp;"|"&amp;B367</x:f>
        <x:v>43975|Кемерово</x:v>
      </x:c>
      <x:c r="N367" s="1" t="n">
        <x:f>COUNTIFS('Лист2'!$F$2:$F$505,M367)</x:f>
        <x:v>1</x:v>
      </x:c>
      <x:c r="O367" s="1"/>
      <x:c r="P367" s="1"/>
      <x:c r="Q367" s="1"/>
    </x:row>
    <x:row r="368" ht="21" customHeight="1">
      <x:c r="A368" s="5" t="n">
        <x:f>'Лист1'!A368</x:f>
        <x:v>43975</x:v>
      </x:c>
      <x:c r="B368" s="1" t="str">
        <x:f>'Лист1'!B368</x:f>
        <x:v>Краснодар</x:v>
      </x:c>
      <x:c r="C368" s="1" t="n">
        <x:f>'Лист1'!C368</x:f>
        <x:v>29824.5</x:v>
      </x:c>
      <x:c r="D368" s="6" t="n">
        <x:f>'Лист1'!D368</x:f>
        <x:v>2526909</x:v>
      </x:c>
      <x:c r="E368" s="6" t="n">
        <x:f>'Лист1'!E368</x:f>
        <x:v>2092407.26</x:v>
      </x:c>
      <x:c r="F368" s="6" t="n">
        <x:f>'Лист1'!F368</x:f>
        <x:v>62346.41538461538</x:v>
      </x:c>
      <x:c r="G368" s="1" t="n">
        <x:f>IF(N368=1,SUMIFS('Лист2'!$C$2:$C$505,'Лист2'!$A$2:$A$505,A368,'Лист2'!$B$2:$B$505,B368),NA())</x:f>
        <x:v>19</x:v>
      </x:c>
      <x:c r="H368" s="1" t="n">
        <x:f>IF(N368=1,SUMIFS('Лист2'!$D$2:$D$505,'Лист2'!$A$2:$A$505,A368,'Лист2'!$B$2:$B$505,B368),NA())</x:f>
        <x:v>1868</x:v>
      </x:c>
      <x:c r="I368" s="1" t="n">
        <x:f>IF(N368=1,SUMIFS('Лист2'!$E$2:$E$505,'Лист2'!$A$2:$A$505,A368,'Лист2'!$B$2:$B$505,B368),NA())</x:f>
        <x:v>1706</x:v>
      </x:c>
      <x:c r="J368" s="5" t="n">
        <x:f>A368-WEEKDAY(A368,2)+1</x:f>
        <x:v>43969</x:v>
      </x:c>
      <x:c r="K368" s="1" t="n">
        <x:f>YEAR(J368+3)</x:f>
        <x:v>2020</x:v>
      </x:c>
      <x:c r="L368" s="1" t="n">
        <x:f>INT((J368-DATE(K368,1,4)+WEEKDAY(DATE(K368,1,4),2)-1)/7)+1</x:f>
        <x:v>21</x:v>
      </x:c>
      <x:c r="M368" s="1" t="str">
        <x:f>A368&amp;"|"&amp;B368</x:f>
        <x:v>43975|Краснодар</x:v>
      </x:c>
      <x:c r="N368" s="1" t="n">
        <x:f>COUNTIFS('Лист2'!$F$2:$F$505,M368)</x:f>
        <x:v>1</x:v>
      </x:c>
      <x:c r="O368" s="1"/>
      <x:c r="P368" s="1"/>
      <x:c r="Q368" s="1"/>
    </x:row>
    <x:row r="369" ht="21" customHeight="1">
      <x:c r="A369" s="5" t="n">
        <x:f>'Лист1'!A369</x:f>
        <x:v>43975</x:v>
      </x:c>
      <x:c r="B369" s="1" t="str">
        <x:f>'Лист1'!B369</x:f>
        <x:v>Москва Восток</x:v>
      </x:c>
      <x:c r="C369" s="1" t="n">
        <x:f>'Лист1'!C369</x:f>
        <x:v>193719</x:v>
      </x:c>
      <x:c r="D369" s="6" t="n">
        <x:f>'Лист1'!D369</x:f>
        <x:v>19071117</x:v>
      </x:c>
      <x:c r="E369" s="6" t="n">
        <x:f>'Лист1'!E369</x:f>
        <x:v>14541424.877999999</x:v>
      </x:c>
      <x:c r="F369" s="6" t="n">
        <x:f>'Лист1'!F369</x:f>
        <x:v>304806.9854230769</x:v>
      </x:c>
      <x:c r="G369" s="1" t="n">
        <x:f>IF(N369=1,SUMIFS('Лист2'!$C$2:$C$505,'Лист2'!$A$2:$A$505,A369,'Лист2'!$B$2:$B$505,B369),NA())</x:f>
        <x:v>54</x:v>
      </x:c>
      <x:c r="H369" s="1" t="n">
        <x:f>IF(N369=1,SUMIFS('Лист2'!$D$2:$D$505,'Лист2'!$A$2:$A$505,A369,'Лист2'!$B$2:$B$505,B369),NA())</x:f>
        <x:v>12211</x:v>
      </x:c>
      <x:c r="I369" s="1" t="n">
        <x:f>IF(N369=1,SUMIFS('Лист2'!$E$2:$E$505,'Лист2'!$A$2:$A$505,A369,'Лист2'!$B$2:$B$505,B369),NA())</x:f>
        <x:v>11427</x:v>
      </x:c>
      <x:c r="J369" s="5" t="n">
        <x:f>A369-WEEKDAY(A369,2)+1</x:f>
        <x:v>43969</x:v>
      </x:c>
      <x:c r="K369" s="1" t="n">
        <x:f>YEAR(J369+3)</x:f>
        <x:v>2020</x:v>
      </x:c>
      <x:c r="L369" s="1" t="n">
        <x:f>INT((J369-DATE(K369,1,4)+WEEKDAY(DATE(K369,1,4),2)-1)/7)+1</x:f>
        <x:v>21</x:v>
      </x:c>
      <x:c r="M369" s="1" t="str">
        <x:f>A369&amp;"|"&amp;B369</x:f>
        <x:v>43975|Москва Восток</x:v>
      </x:c>
      <x:c r="N369" s="1" t="n">
        <x:f>COUNTIFS('Лист2'!$F$2:$F$505,M369)</x:f>
        <x:v>1</x:v>
      </x:c>
      <x:c r="O369" s="1"/>
      <x:c r="P369" s="1"/>
      <x:c r="Q369" s="1"/>
    </x:row>
    <x:row r="370" ht="21" customHeight="1">
      <x:c r="A370" s="5" t="n">
        <x:f>'Лист1'!A370</x:f>
        <x:v>43975</x:v>
      </x:c>
      <x:c r="B370" s="1" t="str">
        <x:f>'Лист1'!B370</x:f>
        <x:v>Москва Запад</x:v>
      </x:c>
      <x:c r="C370" s="1" t="n">
        <x:f>'Лист1'!C370</x:f>
        <x:v>200029.5</x:v>
      </x:c>
      <x:c r="D370" s="6" t="n">
        <x:f>'Лист1'!D370</x:f>
        <x:v>19959801</x:v>
      </x:c>
      <x:c r="E370" s="6" t="n">
        <x:f>'Лист1'!E370</x:f>
        <x:v>15125624.641999999</x:v>
      </x:c>
      <x:c r="F370" s="6" t="n">
        <x:f>'Лист1'!F370</x:f>
        <x:v>318671.8546538461</x:v>
      </x:c>
      <x:c r="G370" s="1" t="n">
        <x:f>IF(N370=1,SUMIFS('Лист2'!$C$2:$C$505,'Лист2'!$A$2:$A$505,A370,'Лист2'!$B$2:$B$505,B370),NA())</x:f>
        <x:v>60</x:v>
      </x:c>
      <x:c r="H370" s="1" t="n">
        <x:f>IF(N370=1,SUMIFS('Лист2'!$D$2:$D$505,'Лист2'!$A$2:$A$505,A370,'Лист2'!$B$2:$B$505,B370),NA())</x:f>
        <x:v>12822</x:v>
      </x:c>
      <x:c r="I370" s="1" t="n">
        <x:f>IF(N370=1,SUMIFS('Лист2'!$E$2:$E$505,'Лист2'!$A$2:$A$505,A370,'Лист2'!$B$2:$B$505,B370),NA())</x:f>
        <x:v>11916</x:v>
      </x:c>
      <x:c r="J370" s="5" t="n">
        <x:f>A370-WEEKDAY(A370,2)+1</x:f>
        <x:v>43969</x:v>
      </x:c>
      <x:c r="K370" s="1" t="n">
        <x:f>YEAR(J370+3)</x:f>
        <x:v>2020</x:v>
      </x:c>
      <x:c r="L370" s="1" t="n">
        <x:f>INT((J370-DATE(K370,1,4)+WEEKDAY(DATE(K370,1,4),2)-1)/7)+1</x:f>
        <x:v>21</x:v>
      </x:c>
      <x:c r="M370" s="1" t="str">
        <x:f>A370&amp;"|"&amp;B370</x:f>
        <x:v>43975|Москва Запад</x:v>
      </x:c>
      <x:c r="N370" s="1" t="n">
        <x:f>COUNTIFS('Лист2'!$F$2:$F$505,M370)</x:f>
        <x:v>1</x:v>
      </x:c>
      <x:c r="O370" s="1"/>
      <x:c r="P370" s="1"/>
      <x:c r="Q370" s="1"/>
    </x:row>
    <x:row r="371" ht="21" customHeight="1">
      <x:c r="A371" s="5" t="n">
        <x:f>'Лист1'!A371</x:f>
        <x:v>43975</x:v>
      </x:c>
      <x:c r="B371" s="1" t="str">
        <x:f>'Лист1'!B371</x:f>
        <x:v>Нижний Новгород</x:v>
      </x:c>
      <x:c r="C371" s="1" t="n">
        <x:f>'Лист1'!C371</x:f>
        <x:v>31854</x:v>
      </x:c>
      <x:c r="D371" s="6" t="n">
        <x:f>'Лист1'!D371</x:f>
        <x:v>2915533.5</x:v>
      </x:c>
      <x:c r="E371" s="6" t="n">
        <x:f>'Лист1'!E371</x:f>
        <x:v>2431800.394</x:v>
      </x:c>
      <x:c r="F371" s="6" t="n">
        <x:f>'Лист1'!F371</x:f>
        <x:v>155421.87692307692</x:v>
      </x:c>
      <x:c r="G371" s="1" t="n">
        <x:f>IF(N371=1,SUMIFS('Лист2'!$C$2:$C$505,'Лист2'!$A$2:$A$505,A371,'Лист2'!$B$2:$B$505,B371),NA())</x:f>
        <x:v>20</x:v>
      </x:c>
      <x:c r="H371" s="1" t="n">
        <x:f>IF(N371=1,SUMIFS('Лист2'!$D$2:$D$505,'Лист2'!$A$2:$A$505,A371,'Лист2'!$B$2:$B$505,B371),NA())</x:f>
        <x:v>2015</x:v>
      </x:c>
      <x:c r="I371" s="1" t="n">
        <x:f>IF(N371=1,SUMIFS('Лист2'!$E$2:$E$505,'Лист2'!$A$2:$A$505,A371,'Лист2'!$B$2:$B$505,B371),NA())</x:f>
        <x:v>1803</x:v>
      </x:c>
      <x:c r="J371" s="5" t="n">
        <x:f>A371-WEEKDAY(A371,2)+1</x:f>
        <x:v>43969</x:v>
      </x:c>
      <x:c r="K371" s="1" t="n">
        <x:f>YEAR(J371+3)</x:f>
        <x:v>2020</x:v>
      </x:c>
      <x:c r="L371" s="1" t="n">
        <x:f>INT((J371-DATE(K371,1,4)+WEEKDAY(DATE(K371,1,4),2)-1)/7)+1</x:f>
        <x:v>21</x:v>
      </x:c>
      <x:c r="M371" s="1" t="str">
        <x:f>A371&amp;"|"&amp;B371</x:f>
        <x:v>43975|Нижний Новгород</x:v>
      </x:c>
      <x:c r="N371" s="1" t="n">
        <x:f>COUNTIFS('Лист2'!$F$2:$F$505,M371)</x:f>
        <x:v>1</x:v>
      </x:c>
      <x:c r="O371" s="1"/>
      <x:c r="P371" s="1"/>
      <x:c r="Q371" s="1"/>
    </x:row>
    <x:row r="372" ht="21" customHeight="1">
      <x:c r="A372" s="5" t="n">
        <x:f>'Лист1'!A372</x:f>
        <x:v>43975</x:v>
      </x:c>
      <x:c r="B372" s="1" t="str">
        <x:f>'Лист1'!B372</x:f>
        <x:v>Новосибирск</x:v>
      </x:c>
      <x:c r="C372" s="1" t="n">
        <x:f>'Лист1'!C372</x:f>
        <x:v>17197.5</x:v>
      </x:c>
      <x:c r="D372" s="6" t="n">
        <x:f>'Лист1'!D372</x:f>
        <x:v>1386262.5</x:v>
      </x:c>
      <x:c r="E372" s="6" t="n">
        <x:f>'Лист1'!E372</x:f>
        <x:v>1130117.381</x:v>
      </x:c>
      <x:c r="F372" s="6" t="n">
        <x:f>'Лист1'!F372</x:f>
        <x:v>121581.84923076924</x:v>
      </x:c>
      <x:c r="G372" s="1" t="n">
        <x:f>IF(N372=1,SUMIFS('Лист2'!$C$2:$C$505,'Лист2'!$A$2:$A$505,A372,'Лист2'!$B$2:$B$505,B372),NA())</x:f>
        <x:v>18</x:v>
      </x:c>
      <x:c r="H372" s="1" t="n">
        <x:f>IF(N372=1,SUMIFS('Лист2'!$D$2:$D$505,'Лист2'!$A$2:$A$505,A372,'Лист2'!$B$2:$B$505,B372),NA())</x:f>
        <x:v>1006</x:v>
      </x:c>
      <x:c r="I372" s="1" t="n">
        <x:f>IF(N372=1,SUMIFS('Лист2'!$E$2:$E$505,'Лист2'!$A$2:$A$505,A372,'Лист2'!$B$2:$B$505,B372),NA())</x:f>
        <x:v>904</x:v>
      </x:c>
      <x:c r="J372" s="5" t="n">
        <x:f>A372-WEEKDAY(A372,2)+1</x:f>
        <x:v>43969</x:v>
      </x:c>
      <x:c r="K372" s="1" t="n">
        <x:f>YEAR(J372+3)</x:f>
        <x:v>2020</x:v>
      </x:c>
      <x:c r="L372" s="1" t="n">
        <x:f>INT((J372-DATE(K372,1,4)+WEEKDAY(DATE(K372,1,4),2)-1)/7)+1</x:f>
        <x:v>21</x:v>
      </x:c>
      <x:c r="M372" s="1" t="str">
        <x:f>A372&amp;"|"&amp;B372</x:f>
        <x:v>43975|Новосибирск</x:v>
      </x:c>
      <x:c r="N372" s="1" t="n">
        <x:f>COUNTIFS('Лист2'!$F$2:$F$505,M372)</x:f>
        <x:v>1</x:v>
      </x:c>
      <x:c r="O372" s="1"/>
      <x:c r="P372" s="1"/>
      <x:c r="Q372" s="1"/>
    </x:row>
    <x:row r="373" ht="21" customHeight="1">
      <x:c r="A373" s="5" t="n">
        <x:f>'Лист1'!A373</x:f>
        <x:v>43975</x:v>
      </x:c>
      <x:c r="B373" s="1" t="str">
        <x:f>'Лист1'!B373</x:f>
        <x:v>Пермь</x:v>
      </x:c>
      <x:c r="C373" s="1" t="n">
        <x:f>'Лист1'!C373</x:f>
        <x:v>18075</x:v>
      </x:c>
      <x:c r="D373" s="6" t="n">
        <x:f>'Лист1'!D373</x:f>
        <x:v>1548099</x:v>
      </x:c>
      <x:c r="E373" s="6" t="n">
        <x:f>'Лист1'!E373</x:f>
        <x:v>1256993.4810000001</x:v>
      </x:c>
      <x:c r="F373" s="6" t="n">
        <x:f>'Лист1'!F373</x:f>
        <x:v>213288.93846153846</x:v>
      </x:c>
      <x:c r="G373" s="1" t="n">
        <x:f>IF(N373=1,SUMIFS('Лист2'!$C$2:$C$505,'Лист2'!$A$2:$A$505,A373,'Лист2'!$B$2:$B$505,B373),NA())</x:f>
        <x:v>17</x:v>
      </x:c>
      <x:c r="H373" s="1" t="n">
        <x:f>IF(N373=1,SUMIFS('Лист2'!$D$2:$D$505,'Лист2'!$A$2:$A$505,A373,'Лист2'!$B$2:$B$505,B373),NA())</x:f>
        <x:v>1128</x:v>
      </x:c>
      <x:c r="I373" s="1" t="n">
        <x:f>IF(N373=1,SUMIFS('Лист2'!$E$2:$E$505,'Лист2'!$A$2:$A$505,A373,'Лист2'!$B$2:$B$505,B373),NA())</x:f>
        <x:v>1001</x:v>
      </x:c>
      <x:c r="J373" s="5" t="n">
        <x:f>A373-WEEKDAY(A373,2)+1</x:f>
        <x:v>43969</x:v>
      </x:c>
      <x:c r="K373" s="1" t="n">
        <x:f>YEAR(J373+3)</x:f>
        <x:v>2020</x:v>
      </x:c>
      <x:c r="L373" s="1" t="n">
        <x:f>INT((J373-DATE(K373,1,4)+WEEKDAY(DATE(K373,1,4),2)-1)/7)+1</x:f>
        <x:v>21</x:v>
      </x:c>
      <x:c r="M373" s="1" t="str">
        <x:f>A373&amp;"|"&amp;B373</x:f>
        <x:v>43975|Пермь</x:v>
      </x:c>
      <x:c r="N373" s="1" t="n">
        <x:f>COUNTIFS('Лист2'!$F$2:$F$505,M373)</x:f>
        <x:v>1</x:v>
      </x:c>
      <x:c r="O373" s="1"/>
      <x:c r="P373" s="1"/>
      <x:c r="Q373" s="1"/>
    </x:row>
    <x:row r="374" ht="21" customHeight="1">
      <x:c r="A374" s="5" t="n">
        <x:f>'Лист1'!A374</x:f>
        <x:v>43975</x:v>
      </x:c>
      <x:c r="B374" s="1" t="str">
        <x:f>'Лист1'!B374</x:f>
        <x:v>Ростов-на-Дону</x:v>
      </x:c>
      <x:c r="C374" s="1" t="n">
        <x:f>'Лист1'!C374</x:f>
        <x:v>12666</x:v>
      </x:c>
      <x:c r="D374" s="6" t="n">
        <x:f>'Лист1'!D374</x:f>
        <x:v>1184865</x:v>
      </x:c>
      <x:c r="E374" s="6" t="n">
        <x:f>'Лист1'!E374</x:f>
        <x:v>953822.6209999999</x:v>
      </x:c>
      <x:c r="F374" s="6" t="n">
        <x:f>'Лист1'!F374</x:f>
        <x:v>340158.78723076923</x:v>
      </x:c>
      <x:c r="G374" s="1" t="n">
        <x:f>IF(N374=1,SUMIFS('Лист2'!$C$2:$C$505,'Лист2'!$A$2:$A$505,A374,'Лист2'!$B$2:$B$505,B374),NA())</x:f>
        <x:v>15</x:v>
      </x:c>
      <x:c r="H374" s="1" t="n">
        <x:f>IF(N374=1,SUMIFS('Лист2'!$D$2:$D$505,'Лист2'!$A$2:$A$505,A374,'Лист2'!$B$2:$B$505,B374),NA())</x:f>
        <x:v>779</x:v>
      </x:c>
      <x:c r="I374" s="1" t="n">
        <x:f>IF(N374=1,SUMIFS('Лист2'!$E$2:$E$505,'Лист2'!$A$2:$A$505,A374,'Лист2'!$B$2:$B$505,B374),NA())</x:f>
        <x:v>673</x:v>
      </x:c>
      <x:c r="J374" s="5" t="n">
        <x:f>A374-WEEKDAY(A374,2)+1</x:f>
        <x:v>43969</x:v>
      </x:c>
      <x:c r="K374" s="1" t="n">
        <x:f>YEAR(J374+3)</x:f>
        <x:v>2020</x:v>
      </x:c>
      <x:c r="L374" s="1" t="n">
        <x:f>INT((J374-DATE(K374,1,4)+WEEKDAY(DATE(K374,1,4),2)-1)/7)+1</x:f>
        <x:v>21</x:v>
      </x:c>
      <x:c r="M374" s="1" t="str">
        <x:f>A374&amp;"|"&amp;B374</x:f>
        <x:v>43975|Ростов-на-Дону</x:v>
      </x:c>
      <x:c r="N374" s="1" t="n">
        <x:f>COUNTIFS('Лист2'!$F$2:$F$505,M374)</x:f>
        <x:v>1</x:v>
      </x:c>
      <x:c r="O374" s="1"/>
      <x:c r="P374" s="1"/>
      <x:c r="Q374" s="1"/>
    </x:row>
    <x:row r="375" ht="21" customHeight="1">
      <x:c r="A375" s="5" t="n">
        <x:f>'Лист1'!A375</x:f>
        <x:v>43975</x:v>
      </x:c>
      <x:c r="B375" s="1" t="str">
        <x:f>'Лист1'!B375</x:f>
        <x:v>Санкт-Петербург Север</x:v>
      </x:c>
      <x:c r="C375" s="1" t="n">
        <x:f>'Лист1'!C375</x:f>
        <x:v>375744</x:v>
      </x:c>
      <x:c r="D375" s="6" t="n">
        <x:f>'Лист1'!D375</x:f>
        <x:v>38191381.5</x:v>
      </x:c>
      <x:c r="E375" s="6" t="n">
        <x:f>'Лист1'!E375</x:f>
        <x:v>28822960.470999997</x:v>
      </x:c>
      <x:c r="F375" s="6" t="n">
        <x:f>'Лист1'!F375</x:f>
        <x:v>574198.1153846154</x:v>
      </x:c>
      <x:c r="G375" s="1" t="n">
        <x:f>IF(N375=1,SUMIFS('Лист2'!$C$2:$C$505,'Лист2'!$A$2:$A$505,A375,'Лист2'!$B$2:$B$505,B375),NA())</x:f>
        <x:v>125</x:v>
      </x:c>
      <x:c r="H375" s="1" t="n">
        <x:f>IF(N375=1,SUMIFS('Лист2'!$D$2:$D$505,'Лист2'!$A$2:$A$505,A375,'Лист2'!$B$2:$B$505,B375),NA())</x:f>
        <x:v>21004</x:v>
      </x:c>
      <x:c r="I375" s="1" t="n">
        <x:f>IF(N375=1,SUMIFS('Лист2'!$E$2:$E$505,'Лист2'!$A$2:$A$505,A375,'Лист2'!$B$2:$B$505,B375),NA())</x:f>
        <x:v>19556</x:v>
      </x:c>
      <x:c r="J375" s="5" t="n">
        <x:f>A375-WEEKDAY(A375,2)+1</x:f>
        <x:v>43969</x:v>
      </x:c>
      <x:c r="K375" s="1" t="n">
        <x:f>YEAR(J375+3)</x:f>
        <x:v>2020</x:v>
      </x:c>
      <x:c r="L375" s="1" t="n">
        <x:f>INT((J375-DATE(K375,1,4)+WEEKDAY(DATE(K375,1,4),2)-1)/7)+1</x:f>
        <x:v>21</x:v>
      </x:c>
      <x:c r="M375" s="1" t="str">
        <x:f>A375&amp;"|"&amp;B375</x:f>
        <x:v>43975|Санкт-Петербург Север</x:v>
      </x:c>
      <x:c r="N375" s="1" t="n">
        <x:f>COUNTIFS('Лист2'!$F$2:$F$505,M375)</x:f>
        <x:v>1</x:v>
      </x:c>
      <x:c r="O375" s="1"/>
      <x:c r="P375" s="1"/>
      <x:c r="Q375" s="1"/>
    </x:row>
    <x:row r="376" ht="21" customHeight="1">
      <x:c r="A376" s="5" t="n">
        <x:f>'Лист1'!A376</x:f>
        <x:v>43975</x:v>
      </x:c>
      <x:c r="B376" s="1" t="str">
        <x:f>'Лист1'!B376</x:f>
        <x:v>Санкт-Петербург Юг</x:v>
      </x:c>
      <x:c r="C376" s="1" t="n">
        <x:f>'Лист1'!C376</x:f>
        <x:v>287740.5</x:v>
      </x:c>
      <x:c r="D376" s="6" t="n">
        <x:f>'Лист1'!D376</x:f>
        <x:v>28188534</x:v>
      </x:c>
      <x:c r="E376" s="6" t="n">
        <x:f>'Лист1'!E376</x:f>
        <x:v>21369401.387</x:v>
      </x:c>
      <x:c r="F376" s="6" t="n">
        <x:f>'Лист1'!F376</x:f>
        <x:v>607679.3461538461</x:v>
      </x:c>
      <x:c r="G376" s="1" t="n">
        <x:f>IF(N376=1,SUMIFS('Лист2'!$C$2:$C$505,'Лист2'!$A$2:$A$505,A376,'Лист2'!$B$2:$B$505,B376),NA())</x:f>
        <x:v>129</x:v>
      </x:c>
      <x:c r="H376" s="1" t="n">
        <x:f>IF(N376=1,SUMIFS('Лист2'!$D$2:$D$505,'Лист2'!$A$2:$A$505,A376,'Лист2'!$B$2:$B$505,B376),NA())</x:f>
        <x:v>16432</x:v>
      </x:c>
      <x:c r="I376" s="1" t="n">
        <x:f>IF(N376=1,SUMIFS('Лист2'!$E$2:$E$505,'Лист2'!$A$2:$A$505,A376,'Лист2'!$B$2:$B$505,B376),NA())</x:f>
        <x:v>15345</x:v>
      </x:c>
      <x:c r="J376" s="5" t="n">
        <x:f>A376-WEEKDAY(A376,2)+1</x:f>
        <x:v>43969</x:v>
      </x:c>
      <x:c r="K376" s="1" t="n">
        <x:f>YEAR(J376+3)</x:f>
        <x:v>2020</x:v>
      </x:c>
      <x:c r="L376" s="1" t="n">
        <x:f>INT((J376-DATE(K376,1,4)+WEEKDAY(DATE(K376,1,4),2)-1)/7)+1</x:f>
        <x:v>21</x:v>
      </x:c>
      <x:c r="M376" s="1" t="str">
        <x:f>A376&amp;"|"&amp;B376</x:f>
        <x:v>43975|Санкт-Петербург Юг</x:v>
      </x:c>
      <x:c r="N376" s="1" t="n">
        <x:f>COUNTIFS('Лист2'!$F$2:$F$505,M376)</x:f>
        <x:v>1</x:v>
      </x:c>
      <x:c r="O376" s="1"/>
      <x:c r="P376" s="1"/>
      <x:c r="Q376" s="1"/>
    </x:row>
    <x:row r="377" ht="21" customHeight="1">
      <x:c r="A377" s="5" t="n">
        <x:f>'Лист1'!A377</x:f>
        <x:v>43975</x:v>
      </x:c>
      <x:c r="B377" s="1" t="str">
        <x:f>'Лист1'!B377</x:f>
        <x:v>Тольятти</x:v>
      </x:c>
      <x:c r="C377" s="1" t="n">
        <x:f>'Лист1'!C377</x:f>
        <x:v>9994.5</x:v>
      </x:c>
      <x:c r="D377" s="6" t="n">
        <x:f>'Лист1'!D377</x:f>
        <x:v>828984</x:v>
      </x:c>
      <x:c r="E377" s="6" t="n">
        <x:f>'Лист1'!E377</x:f>
        <x:v>702631.811</x:v>
      </x:c>
      <x:c r="F377" s="6" t="n">
        <x:f>'Лист1'!F377</x:f>
        <x:v>82264.56716923077</x:v>
      </x:c>
      <x:c r="G377" s="1" t="n">
        <x:f>IF(N377=1,SUMIFS('Лист2'!$C$2:$C$505,'Лист2'!$A$2:$A$505,A377,'Лист2'!$B$2:$B$505,B377),NA())</x:f>
        <x:v>10</x:v>
      </x:c>
      <x:c r="H377" s="1" t="n">
        <x:f>IF(N377=1,SUMIFS('Лист2'!$D$2:$D$505,'Лист2'!$A$2:$A$505,A377,'Лист2'!$B$2:$B$505,B377),NA())</x:f>
        <x:v>639</x:v>
      </x:c>
      <x:c r="I377" s="1" t="n">
        <x:f>IF(N377=1,SUMIFS('Лист2'!$E$2:$E$505,'Лист2'!$A$2:$A$505,A377,'Лист2'!$B$2:$B$505,B377),NA())</x:f>
        <x:v>557</x:v>
      </x:c>
      <x:c r="J377" s="5" t="n">
        <x:f>A377-WEEKDAY(A377,2)+1</x:f>
        <x:v>43969</x:v>
      </x:c>
      <x:c r="K377" s="1" t="n">
        <x:f>YEAR(J377+3)</x:f>
        <x:v>2020</x:v>
      </x:c>
      <x:c r="L377" s="1" t="n">
        <x:f>INT((J377-DATE(K377,1,4)+WEEKDAY(DATE(K377,1,4),2)-1)/7)+1</x:f>
        <x:v>21</x:v>
      </x:c>
      <x:c r="M377" s="1" t="str">
        <x:f>A377&amp;"|"&amp;B377</x:f>
        <x:v>43975|Тольятти</x:v>
      </x:c>
      <x:c r="N377" s="1" t="n">
        <x:f>COUNTIFS('Лист2'!$F$2:$F$505,M377)</x:f>
        <x:v>1</x:v>
      </x:c>
      <x:c r="O377" s="1"/>
      <x:c r="P377" s="1"/>
      <x:c r="Q377" s="1"/>
    </x:row>
    <x:row r="378" ht="21" customHeight="1">
      <x:c r="A378" s="5" t="n">
        <x:f>'Лист1'!A378</x:f>
        <x:v>43976</x:v>
      </x:c>
      <x:c r="B378" s="1" t="str">
        <x:f>'Лист1'!B378</x:f>
        <x:v>Волгоград</x:v>
      </x:c>
      <x:c r="C378" s="1" t="n">
        <x:f>'Лист1'!C378</x:f>
        <x:v>66316.5</x:v>
      </x:c>
      <x:c r="D378" s="6" t="n">
        <x:f>'Лист1'!D378</x:f>
        <x:v>5704650</x:v>
      </x:c>
      <x:c r="E378" s="6" t="n">
        <x:f>'Лист1'!E378</x:f>
        <x:v>4375924.236</x:v>
      </x:c>
      <x:c r="F378" s="6" t="n">
        <x:f>'Лист1'!F378</x:f>
        <x:v>135246.95929230767</x:v>
      </x:c>
      <x:c r="G378" s="1" t="n">
        <x:f>IF(N378=1,SUMIFS('Лист2'!$C$2:$C$505,'Лист2'!$A$2:$A$505,A378,'Лист2'!$B$2:$B$505,B378),NA())</x:f>
        <x:v>36</x:v>
      </x:c>
      <x:c r="H378" s="1" t="n">
        <x:f>IF(N378=1,SUMIFS('Лист2'!$D$2:$D$505,'Лист2'!$A$2:$A$505,A378,'Лист2'!$B$2:$B$505,B378),NA())</x:f>
        <x:v>4641</x:v>
      </x:c>
      <x:c r="I378" s="1" t="n">
        <x:f>IF(N378=1,SUMIFS('Лист2'!$E$2:$E$505,'Лист2'!$A$2:$A$505,A378,'Лист2'!$B$2:$B$505,B378),NA())</x:f>
        <x:v>4274</x:v>
      </x:c>
      <x:c r="J378" s="5" t="n">
        <x:f>A378-WEEKDAY(A378,2)+1</x:f>
        <x:v>43976</x:v>
      </x:c>
      <x:c r="K378" s="1" t="n">
        <x:f>YEAR(J378+3)</x:f>
        <x:v>2020</x:v>
      </x:c>
      <x:c r="L378" s="1" t="n">
        <x:f>INT((J378-DATE(K378,1,4)+WEEKDAY(DATE(K378,1,4),2)-1)/7)+1</x:f>
        <x:v>22</x:v>
      </x:c>
      <x:c r="M378" s="1" t="str">
        <x:f>A378&amp;"|"&amp;B378</x:f>
        <x:v>43976|Волгоград</x:v>
      </x:c>
      <x:c r="N378" s="1" t="n">
        <x:f>COUNTIFS('Лист2'!$F$2:$F$505,M378)</x:f>
        <x:v>1</x:v>
      </x:c>
      <x:c r="O378" s="1"/>
      <x:c r="P378" s="1"/>
      <x:c r="Q378" s="1"/>
    </x:row>
    <x:row r="379" ht="21" customHeight="1">
      <x:c r="A379" s="5" t="n">
        <x:f>'Лист1'!A379</x:f>
        <x:v>43976</x:v>
      </x:c>
      <x:c r="B379" s="1" t="str">
        <x:f>'Лист1'!B379</x:f>
        <x:v>Екатеринбург</x:v>
      </x:c>
      <x:c r="C379" s="1" t="n">
        <x:f>'Лист1'!C379</x:f>
        <x:v>76999.5</x:v>
      </x:c>
      <x:c r="D379" s="6" t="n">
        <x:f>'Лист1'!D379</x:f>
        <x:v>6645603</x:v>
      </x:c>
      <x:c r="E379" s="6" t="n">
        <x:f>'Лист1'!E379</x:f>
        <x:v>5032216.188999999</x:v>
      </x:c>
      <x:c r="F379" s="6" t="n">
        <x:f>'Лист1'!F379</x:f>
        <x:v>100883.95384615385</x:v>
      </x:c>
      <x:c r="G379" s="1" t="n">
        <x:f>IF(N379=1,SUMIFS('Лист2'!$C$2:$C$505,'Лист2'!$A$2:$A$505,A379,'Лист2'!$B$2:$B$505,B379),NA())</x:f>
        <x:v>31</x:v>
      </x:c>
      <x:c r="H379" s="1" t="n">
        <x:f>IF(N379=1,SUMIFS('Лист2'!$D$2:$D$505,'Лист2'!$A$2:$A$505,A379,'Лист2'!$B$2:$B$505,B379),NA())</x:f>
        <x:v>5210</x:v>
      </x:c>
      <x:c r="I379" s="1" t="n">
        <x:f>IF(N379=1,SUMIFS('Лист2'!$E$2:$E$505,'Лист2'!$A$2:$A$505,A379,'Лист2'!$B$2:$B$505,B379),NA())</x:f>
        <x:v>4841</x:v>
      </x:c>
      <x:c r="J379" s="5" t="n">
        <x:f>A379-WEEKDAY(A379,2)+1</x:f>
        <x:v>43976</x:v>
      </x:c>
      <x:c r="K379" s="1" t="n">
        <x:f>YEAR(J379+3)</x:f>
        <x:v>2020</x:v>
      </x:c>
      <x:c r="L379" s="1" t="n">
        <x:f>INT((J379-DATE(K379,1,4)+WEEKDAY(DATE(K379,1,4),2)-1)/7)+1</x:f>
        <x:v>22</x:v>
      </x:c>
      <x:c r="M379" s="1" t="str">
        <x:f>A379&amp;"|"&amp;B379</x:f>
        <x:v>43976|Екатеринбург</x:v>
      </x:c>
      <x:c r="N379" s="1" t="n">
        <x:f>COUNTIFS('Лист2'!$F$2:$F$505,M379)</x:f>
        <x:v>1</x:v>
      </x:c>
      <x:c r="O379" s="1"/>
      <x:c r="P379" s="1"/>
      <x:c r="Q379" s="1"/>
    </x:row>
    <x:row r="380" ht="21" customHeight="1">
      <x:c r="A380" s="5" t="n">
        <x:f>'Лист1'!A380</x:f>
        <x:v>43976</x:v>
      </x:c>
      <x:c r="B380" s="1" t="str">
        <x:f>'Лист1'!B380</x:f>
        <x:v>Казань</x:v>
      </x:c>
      <x:c r="C380" s="1" t="n">
        <x:f>'Лист1'!C380</x:f>
        <x:v>38740.5</x:v>
      </x:c>
      <x:c r="D380" s="6" t="n">
        <x:f>'Лист1'!D380</x:f>
        <x:v>3561655.5</x:v>
      </x:c>
      <x:c r="E380" s="6" t="n">
        <x:f>'Лист1'!E380</x:f>
        <x:v>2769041.2770000002</x:v>
      </x:c>
      <x:c r="F380" s="6" t="n">
        <x:f>'Лист1'!F380</x:f>
        <x:v>180495.52483076922</x:v>
      </x:c>
      <x:c r="G380" s="1" t="n">
        <x:f>IF(N380=1,SUMIFS('Лист2'!$C$2:$C$505,'Лист2'!$A$2:$A$505,A380,'Лист2'!$B$2:$B$505,B380),NA())</x:f>
        <x:v>21</x:v>
      </x:c>
      <x:c r="H380" s="1" t="n">
        <x:f>IF(N380=1,SUMIFS('Лист2'!$D$2:$D$505,'Лист2'!$A$2:$A$505,A380,'Лист2'!$B$2:$B$505,B380),NA())</x:f>
        <x:v>2330</x:v>
      </x:c>
      <x:c r="I380" s="1" t="n">
        <x:f>IF(N380=1,SUMIFS('Лист2'!$E$2:$E$505,'Лист2'!$A$2:$A$505,A380,'Лист2'!$B$2:$B$505,B380),NA())</x:f>
        <x:v>2142</x:v>
      </x:c>
      <x:c r="J380" s="5" t="n">
        <x:f>A380-WEEKDAY(A380,2)+1</x:f>
        <x:v>43976</x:v>
      </x:c>
      <x:c r="K380" s="1" t="n">
        <x:f>YEAR(J380+3)</x:f>
        <x:v>2020</x:v>
      </x:c>
      <x:c r="L380" s="1" t="n">
        <x:f>INT((J380-DATE(K380,1,4)+WEEKDAY(DATE(K380,1,4),2)-1)/7)+1</x:f>
        <x:v>22</x:v>
      </x:c>
      <x:c r="M380" s="1" t="str">
        <x:f>A380&amp;"|"&amp;B380</x:f>
        <x:v>43976|Казань</x:v>
      </x:c>
      <x:c r="N380" s="1" t="n">
        <x:f>COUNTIFS('Лист2'!$F$2:$F$505,M380)</x:f>
        <x:v>1</x:v>
      </x:c>
      <x:c r="O380" s="1"/>
      <x:c r="P380" s="1"/>
      <x:c r="Q380" s="1"/>
    </x:row>
    <x:row r="381" ht="21" customHeight="1">
      <x:c r="A381" s="5" t="n">
        <x:f>'Лист1'!A381</x:f>
        <x:v>43976</x:v>
      </x:c>
      <x:c r="B381" s="1" t="str">
        <x:f>'Лист1'!B381</x:f>
        <x:v>Кемерово</x:v>
      </x:c>
      <x:c r="C381" s="1" t="n">
        <x:f>'Лист1'!C381</x:f>
        <x:v>35592</x:v>
      </x:c>
      <x:c r="D381" s="6" t="n">
        <x:f>'Лист1'!D381</x:f>
        <x:v>3176580</x:v>
      </x:c>
      <x:c r="E381" s="6" t="n">
        <x:f>'Лист1'!E381</x:f>
        <x:v>2540760.0409999997</x:v>
      </x:c>
      <x:c r="F381" s="6" t="n">
        <x:f>'Лист1'!F381</x:f>
        <x:v>351098.05384615384</x:v>
      </x:c>
      <x:c r="G381" s="1" t="n">
        <x:f>IF(N381=1,SUMIFS('Лист2'!$C$2:$C$505,'Лист2'!$A$2:$A$505,A381,'Лист2'!$B$2:$B$505,B381),NA())</x:f>
        <x:v>20</x:v>
      </x:c>
      <x:c r="H381" s="1" t="n">
        <x:f>IF(N381=1,SUMIFS('Лист2'!$D$2:$D$505,'Лист2'!$A$2:$A$505,A381,'Лист2'!$B$2:$B$505,B381),NA())</x:f>
        <x:v>2087</x:v>
      </x:c>
      <x:c r="I381" s="1" t="n">
        <x:f>IF(N381=1,SUMIFS('Лист2'!$E$2:$E$505,'Лист2'!$A$2:$A$505,A381,'Лист2'!$B$2:$B$505,B381),NA())</x:f>
        <x:v>1914</x:v>
      </x:c>
      <x:c r="J381" s="5" t="n">
        <x:f>A381-WEEKDAY(A381,2)+1</x:f>
        <x:v>43976</x:v>
      </x:c>
      <x:c r="K381" s="1" t="n">
        <x:f>YEAR(J381+3)</x:f>
        <x:v>2020</x:v>
      </x:c>
      <x:c r="L381" s="1" t="n">
        <x:f>INT((J381-DATE(K381,1,4)+WEEKDAY(DATE(K381,1,4),2)-1)/7)+1</x:f>
        <x:v>22</x:v>
      </x:c>
      <x:c r="M381" s="1" t="str">
        <x:f>A381&amp;"|"&amp;B381</x:f>
        <x:v>43976|Кемерово</x:v>
      </x:c>
      <x:c r="N381" s="1" t="n">
        <x:f>COUNTIFS('Лист2'!$F$2:$F$505,M381)</x:f>
        <x:v>1</x:v>
      </x:c>
      <x:c r="O381" s="1"/>
      <x:c r="P381" s="1"/>
      <x:c r="Q381" s="1"/>
    </x:row>
    <x:row r="382" ht="21" customHeight="1">
      <x:c r="A382" s="5" t="n">
        <x:f>'Лист1'!A382</x:f>
        <x:v>43976</x:v>
      </x:c>
      <x:c r="B382" s="1" t="str">
        <x:f>'Лист1'!B382</x:f>
        <x:v>Краснодар</x:v>
      </x:c>
      <x:c r="C382" s="1" t="n">
        <x:f>'Лист1'!C382</x:f>
        <x:v>28494</x:v>
      </x:c>
      <x:c r="D382" s="6" t="n">
        <x:f>'Лист1'!D382</x:f>
        <x:v>2512803</x:v>
      </x:c>
      <x:c r="E382" s="6" t="n">
        <x:f>'Лист1'!E382</x:f>
        <x:v>1972327.267</x:v>
      </x:c>
      <x:c r="F382" s="6" t="n">
        <x:f>'Лист1'!F382</x:f>
        <x:v>174025.3846153846</x:v>
      </x:c>
      <x:c r="G382" s="1" t="n">
        <x:f>IF(N382=1,SUMIFS('Лист2'!$C$2:$C$505,'Лист2'!$A$2:$A$505,A382,'Лист2'!$B$2:$B$505,B382),NA())</x:f>
        <x:v>20</x:v>
      </x:c>
      <x:c r="H382" s="1" t="n">
        <x:f>IF(N382=1,SUMIFS('Лист2'!$D$2:$D$505,'Лист2'!$A$2:$A$505,A382,'Лист2'!$B$2:$B$505,B382),NA())</x:f>
        <x:v>1899</x:v>
      </x:c>
      <x:c r="I382" s="1" t="n">
        <x:f>IF(N382=1,SUMIFS('Лист2'!$E$2:$E$505,'Лист2'!$A$2:$A$505,A382,'Лист2'!$B$2:$B$505,B382),NA())</x:f>
        <x:v>1738</x:v>
      </x:c>
      <x:c r="J382" s="5" t="n">
        <x:f>A382-WEEKDAY(A382,2)+1</x:f>
        <x:v>43976</x:v>
      </x:c>
      <x:c r="K382" s="1" t="n">
        <x:f>YEAR(J382+3)</x:f>
        <x:v>2020</x:v>
      </x:c>
      <x:c r="L382" s="1" t="n">
        <x:f>INT((J382-DATE(K382,1,4)+WEEKDAY(DATE(K382,1,4),2)-1)/7)+1</x:f>
        <x:v>22</x:v>
      </x:c>
      <x:c r="M382" s="1" t="str">
        <x:f>A382&amp;"|"&amp;B382</x:f>
        <x:v>43976|Краснодар</x:v>
      </x:c>
      <x:c r="N382" s="1" t="n">
        <x:f>COUNTIFS('Лист2'!$F$2:$F$505,M382)</x:f>
        <x:v>1</x:v>
      </x:c>
      <x:c r="O382" s="1"/>
      <x:c r="P382" s="1"/>
      <x:c r="Q382" s="1"/>
    </x:row>
    <x:row r="383" ht="21" customHeight="1">
      <x:c r="A383" s="5" t="n">
        <x:f>'Лист1'!A383</x:f>
        <x:v>43976</x:v>
      </x:c>
      <x:c r="B383" s="1" t="str">
        <x:f>'Лист1'!B383</x:f>
        <x:v>Москва Восток</x:v>
      </x:c>
      <x:c r="C383" s="1" t="n">
        <x:f>'Лист1'!C383</x:f>
        <x:v>192948</x:v>
      </x:c>
      <x:c r="D383" s="6" t="n">
        <x:f>'Лист1'!D383</x:f>
        <x:v>19806927</x:v>
      </x:c>
      <x:c r="E383" s="6" t="n">
        <x:f>'Лист1'!E383</x:f>
        <x:v>14358653.389999999</x:v>
      </x:c>
      <x:c r="F383" s="6" t="n">
        <x:f>'Лист1'!F383</x:f>
        <x:v>319377.7946153846</x:v>
      </x:c>
      <x:c r="G383" s="1" t="n">
        <x:f>IF(N383=1,SUMIFS('Лист2'!$C$2:$C$505,'Лист2'!$A$2:$A$505,A383,'Лист2'!$B$2:$B$505,B383),NA())</x:f>
        <x:v>54</x:v>
      </x:c>
      <x:c r="H383" s="1" t="n">
        <x:f>IF(N383=1,SUMIFS('Лист2'!$D$2:$D$505,'Лист2'!$A$2:$A$505,A383,'Лист2'!$B$2:$B$505,B383),NA())</x:f>
        <x:v>12336</x:v>
      </x:c>
      <x:c r="I383" s="1" t="n">
        <x:f>IF(N383=1,SUMIFS('Лист2'!$E$2:$E$505,'Лист2'!$A$2:$A$505,A383,'Лист2'!$B$2:$B$505,B383),NA())</x:f>
        <x:v>11519</x:v>
      </x:c>
      <x:c r="J383" s="5" t="n">
        <x:f>A383-WEEKDAY(A383,2)+1</x:f>
        <x:v>43976</x:v>
      </x:c>
      <x:c r="K383" s="1" t="n">
        <x:f>YEAR(J383+3)</x:f>
        <x:v>2020</x:v>
      </x:c>
      <x:c r="L383" s="1" t="n">
        <x:f>INT((J383-DATE(K383,1,4)+WEEKDAY(DATE(K383,1,4),2)-1)/7)+1</x:f>
        <x:v>22</x:v>
      </x:c>
      <x:c r="M383" s="1" t="str">
        <x:f>A383&amp;"|"&amp;B383</x:f>
        <x:v>43976|Москва Восток</x:v>
      </x:c>
      <x:c r="N383" s="1" t="n">
        <x:f>COUNTIFS('Лист2'!$F$2:$F$505,M383)</x:f>
        <x:v>1</x:v>
      </x:c>
      <x:c r="O383" s="1"/>
      <x:c r="P383" s="1"/>
      <x:c r="Q383" s="1"/>
    </x:row>
    <x:row r="384" ht="21" customHeight="1">
      <x:c r="A384" s="5" t="n">
        <x:f>'Лист1'!A384</x:f>
        <x:v>43976</x:v>
      </x:c>
      <x:c r="B384" s="1" t="str">
        <x:f>'Лист1'!B384</x:f>
        <x:v>Москва Запад</x:v>
      </x:c>
      <x:c r="C384" s="1" t="n">
        <x:f>'Лист1'!C384</x:f>
        <x:v>198751.5</x:v>
      </x:c>
      <x:c r="D384" s="6" t="n">
        <x:f>'Лист1'!D384</x:f>
        <x:v>20582743.5</x:v>
      </x:c>
      <x:c r="E384" s="6" t="n">
        <x:f>'Лист1'!E384</x:f>
        <x:v>14894008.652</x:v>
      </x:c>
      <x:c r="F384" s="6" t="n">
        <x:f>'Лист1'!F384</x:f>
        <x:v>316452.6615384616</x:v>
      </x:c>
      <x:c r="G384" s="1" t="n">
        <x:f>IF(N384=1,SUMIFS('Лист2'!$C$2:$C$505,'Лист2'!$A$2:$A$505,A384,'Лист2'!$B$2:$B$505,B384),NA())</x:f>
        <x:v>59</x:v>
      </x:c>
      <x:c r="H384" s="1" t="n">
        <x:f>IF(N384=1,SUMIFS('Лист2'!$D$2:$D$505,'Лист2'!$A$2:$A$505,A384,'Лист2'!$B$2:$B$505,B384),NA())</x:f>
        <x:v>12983</x:v>
      </x:c>
      <x:c r="I384" s="1" t="n">
        <x:f>IF(N384=1,SUMIFS('Лист2'!$E$2:$E$505,'Лист2'!$A$2:$A$505,A384,'Лист2'!$B$2:$B$505,B384),NA())</x:f>
        <x:v>12056</x:v>
      </x:c>
      <x:c r="J384" s="5" t="n">
        <x:f>A384-WEEKDAY(A384,2)+1</x:f>
        <x:v>43976</x:v>
      </x:c>
      <x:c r="K384" s="1" t="n">
        <x:f>YEAR(J384+3)</x:f>
        <x:v>2020</x:v>
      </x:c>
      <x:c r="L384" s="1" t="n">
        <x:f>INT((J384-DATE(K384,1,4)+WEEKDAY(DATE(K384,1,4),2)-1)/7)+1</x:f>
        <x:v>22</x:v>
      </x:c>
      <x:c r="M384" s="1" t="str">
        <x:f>A384&amp;"|"&amp;B384</x:f>
        <x:v>43976|Москва Запад</x:v>
      </x:c>
      <x:c r="N384" s="1" t="n">
        <x:f>COUNTIFS('Лист2'!$F$2:$F$505,M384)</x:f>
        <x:v>1</x:v>
      </x:c>
      <x:c r="O384" s="1"/>
      <x:c r="P384" s="1"/>
      <x:c r="Q384" s="1"/>
    </x:row>
    <x:row r="385" ht="21" customHeight="1">
      <x:c r="A385" s="5" t="n">
        <x:f>'Лист1'!A385</x:f>
        <x:v>43976</x:v>
      </x:c>
      <x:c r="B385" s="1" t="str">
        <x:f>'Лист1'!B385</x:f>
        <x:v>Нижний Новгород</x:v>
      </x:c>
      <x:c r="C385" s="1" t="n">
        <x:f>'Лист1'!C385</x:f>
        <x:v>30603</x:v>
      </x:c>
      <x:c r="D385" s="6" t="n">
        <x:f>'Лист1'!D385</x:f>
        <x:v>2865727.5</x:v>
      </x:c>
      <x:c r="E385" s="6" t="n">
        <x:f>'Лист1'!E385</x:f>
        <x:v>2288224.429</x:v>
      </x:c>
      <x:c r="F385" s="6" t="n">
        <x:f>'Лист1'!F385</x:f>
        <x:v>167381.28187692308</x:v>
      </x:c>
      <x:c r="G385" s="1" t="n">
        <x:f>IF(N385=1,SUMIFS('Лист2'!$C$2:$C$505,'Лист2'!$A$2:$A$505,A385,'Лист2'!$B$2:$B$505,B385),NA())</x:f>
        <x:v>20</x:v>
      </x:c>
      <x:c r="H385" s="1" t="n">
        <x:f>IF(N385=1,SUMIFS('Лист2'!$D$2:$D$505,'Лист2'!$A$2:$A$505,A385,'Лист2'!$B$2:$B$505,B385),NA())</x:f>
        <x:v>2011</x:v>
      </x:c>
      <x:c r="I385" s="1" t="n">
        <x:f>IF(N385=1,SUMIFS('Лист2'!$E$2:$E$505,'Лист2'!$A$2:$A$505,A385,'Лист2'!$B$2:$B$505,B385),NA())</x:f>
        <x:v>1791</x:v>
      </x:c>
      <x:c r="J385" s="5" t="n">
        <x:f>A385-WEEKDAY(A385,2)+1</x:f>
        <x:v>43976</x:v>
      </x:c>
      <x:c r="K385" s="1" t="n">
        <x:f>YEAR(J385+3)</x:f>
        <x:v>2020</x:v>
      </x:c>
      <x:c r="L385" s="1" t="n">
        <x:f>INT((J385-DATE(K385,1,4)+WEEKDAY(DATE(K385,1,4),2)-1)/7)+1</x:f>
        <x:v>22</x:v>
      </x:c>
      <x:c r="M385" s="1" t="str">
        <x:f>A385&amp;"|"&amp;B385</x:f>
        <x:v>43976|Нижний Новгород</x:v>
      </x:c>
      <x:c r="N385" s="1" t="n">
        <x:f>COUNTIFS('Лист2'!$F$2:$F$505,M385)</x:f>
        <x:v>1</x:v>
      </x:c>
      <x:c r="O385" s="1"/>
      <x:c r="P385" s="1"/>
      <x:c r="Q385" s="1"/>
    </x:row>
    <x:row r="386" ht="21" customHeight="1">
      <x:c r="A386" s="5" t="n">
        <x:f>'Лист1'!A386</x:f>
        <x:v>43976</x:v>
      </x:c>
      <x:c r="B386" s="1" t="str">
        <x:f>'Лист1'!B386</x:f>
        <x:v>Новосибирск</x:v>
      </x:c>
      <x:c r="C386" s="1" t="n">
        <x:f>'Лист1'!C386</x:f>
        <x:v>15807</x:v>
      </x:c>
      <x:c r="D386" s="6" t="n">
        <x:f>'Лист1'!D386</x:f>
        <x:v>1326705</x:v>
      </x:c>
      <x:c r="E386" s="6" t="n">
        <x:f>'Лист1'!E386</x:f>
        <x:v>1070563.6439999999</x:v>
      </x:c>
      <x:c r="F386" s="6" t="n">
        <x:f>'Лист1'!F386</x:f>
        <x:v>123343.24153846155</x:v>
      </x:c>
      <x:c r="G386" s="1" t="n">
        <x:f>IF(N386=1,SUMIFS('Лист2'!$C$2:$C$505,'Лист2'!$A$2:$A$505,A386,'Лист2'!$B$2:$B$505,B386),NA())</x:f>
        <x:v>18</x:v>
      </x:c>
      <x:c r="H386" s="1" t="n">
        <x:f>IF(N386=1,SUMIFS('Лист2'!$D$2:$D$505,'Лист2'!$A$2:$A$505,A386,'Лист2'!$B$2:$B$505,B386),NA())</x:f>
        <x:v>989</x:v>
      </x:c>
      <x:c r="I386" s="1" t="n">
        <x:f>IF(N386=1,SUMIFS('Лист2'!$E$2:$E$505,'Лист2'!$A$2:$A$505,A386,'Лист2'!$B$2:$B$505,B386),NA())</x:f>
        <x:v>887</x:v>
      </x:c>
      <x:c r="J386" s="5" t="n">
        <x:f>A386-WEEKDAY(A386,2)+1</x:f>
        <x:v>43976</x:v>
      </x:c>
      <x:c r="K386" s="1" t="n">
        <x:f>YEAR(J386+3)</x:f>
        <x:v>2020</x:v>
      </x:c>
      <x:c r="L386" s="1" t="n">
        <x:f>INT((J386-DATE(K386,1,4)+WEEKDAY(DATE(K386,1,4),2)-1)/7)+1</x:f>
        <x:v>22</x:v>
      </x:c>
      <x:c r="M386" s="1" t="str">
        <x:f>A386&amp;"|"&amp;B386</x:f>
        <x:v>43976|Новосибирск</x:v>
      </x:c>
      <x:c r="N386" s="1" t="n">
        <x:f>COUNTIFS('Лист2'!$F$2:$F$505,M386)</x:f>
        <x:v>1</x:v>
      </x:c>
      <x:c r="O386" s="1"/>
      <x:c r="P386" s="1"/>
      <x:c r="Q386" s="1"/>
    </x:row>
    <x:row r="387" ht="21" customHeight="1">
      <x:c r="A387" s="5" t="n">
        <x:f>'Лист1'!A387</x:f>
        <x:v>43976</x:v>
      </x:c>
      <x:c r="B387" s="1" t="str">
        <x:f>'Лист1'!B387</x:f>
        <x:v>Пермь</x:v>
      </x:c>
      <x:c r="C387" s="1" t="n">
        <x:f>'Лист1'!C387</x:f>
        <x:v>17211</x:v>
      </x:c>
      <x:c r="D387" s="6" t="n">
        <x:f>'Лист1'!D387</x:f>
        <x:v>1507867.5</x:v>
      </x:c>
      <x:c r="E387" s="6" t="n">
        <x:f>'Лист1'!E387</x:f>
        <x:v>1217527.6069999998</x:v>
      </x:c>
      <x:c r="F387" s="6" t="n">
        <x:f>'Лист1'!F387</x:f>
        <x:v>246242.8615384615</x:v>
      </x:c>
      <x:c r="G387" s="1" t="n">
        <x:f>IF(N387=1,SUMIFS('Лист2'!$C$2:$C$505,'Лист2'!$A$2:$A$505,A387,'Лист2'!$B$2:$B$505,B387),NA())</x:f>
        <x:v>17</x:v>
      </x:c>
      <x:c r="H387" s="1" t="n">
        <x:f>IF(N387=1,SUMIFS('Лист2'!$D$2:$D$505,'Лист2'!$A$2:$A$505,A387,'Лист2'!$B$2:$B$505,B387),NA())</x:f>
        <x:v>1142</x:v>
      </x:c>
      <x:c r="I387" s="1" t="n">
        <x:f>IF(N387=1,SUMIFS('Лист2'!$E$2:$E$505,'Лист2'!$A$2:$A$505,A387,'Лист2'!$B$2:$B$505,B387),NA())</x:f>
        <x:v>1020</x:v>
      </x:c>
      <x:c r="J387" s="5" t="n">
        <x:f>A387-WEEKDAY(A387,2)+1</x:f>
        <x:v>43976</x:v>
      </x:c>
      <x:c r="K387" s="1" t="n">
        <x:f>YEAR(J387+3)</x:f>
        <x:v>2020</x:v>
      </x:c>
      <x:c r="L387" s="1" t="n">
        <x:f>INT((J387-DATE(K387,1,4)+WEEKDAY(DATE(K387,1,4),2)-1)/7)+1</x:f>
        <x:v>22</x:v>
      </x:c>
      <x:c r="M387" s="1" t="str">
        <x:f>A387&amp;"|"&amp;B387</x:f>
        <x:v>43976|Пермь</x:v>
      </x:c>
      <x:c r="N387" s="1" t="n">
        <x:f>COUNTIFS('Лист2'!$F$2:$F$505,M387)</x:f>
        <x:v>1</x:v>
      </x:c>
      <x:c r="O387" s="1"/>
      <x:c r="P387" s="1"/>
      <x:c r="Q387" s="1"/>
    </x:row>
    <x:row r="388" ht="21" customHeight="1">
      <x:c r="A388" s="5" t="n">
        <x:f>'Лист1'!A388</x:f>
        <x:v>43976</x:v>
      </x:c>
      <x:c r="B388" s="1" t="str">
        <x:f>'Лист1'!B388</x:f>
        <x:v>Ростов-на-Дону</x:v>
      </x:c>
      <x:c r="C388" s="1" t="n">
        <x:f>'Лист1'!C388</x:f>
        <x:v>13260</x:v>
      </x:c>
      <x:c r="D388" s="6" t="n">
        <x:f>'Лист1'!D388</x:f>
        <x:v>1230687</x:v>
      </x:c>
      <x:c r="E388" s="6" t="n">
        <x:f>'Лист1'!E388</x:f>
        <x:v>985675.487</x:v>
      </x:c>
      <x:c r="F388" s="6" t="n">
        <x:f>'Лист1'!F388</x:f>
        <x:v>224353.45695384615</x:v>
      </x:c>
      <x:c r="G388" s="1" t="n">
        <x:f>IF(N388=1,SUMIFS('Лист2'!$C$2:$C$505,'Лист2'!$A$2:$A$505,A388,'Лист2'!$B$2:$B$505,B388),NA())</x:f>
        <x:v>15</x:v>
      </x:c>
      <x:c r="H388" s="1" t="n">
        <x:f>IF(N388=1,SUMIFS('Лист2'!$D$2:$D$505,'Лист2'!$A$2:$A$505,A388,'Лист2'!$B$2:$B$505,B388),NA())</x:f>
        <x:v>835</x:v>
      </x:c>
      <x:c r="I388" s="1" t="n">
        <x:f>IF(N388=1,SUMIFS('Лист2'!$E$2:$E$505,'Лист2'!$A$2:$A$505,A388,'Лист2'!$B$2:$B$505,B388),NA())</x:f>
        <x:v>736</x:v>
      </x:c>
      <x:c r="J388" s="5" t="n">
        <x:f>A388-WEEKDAY(A388,2)+1</x:f>
        <x:v>43976</x:v>
      </x:c>
      <x:c r="K388" s="1" t="n">
        <x:f>YEAR(J388+3)</x:f>
        <x:v>2020</x:v>
      </x:c>
      <x:c r="L388" s="1" t="n">
        <x:f>INT((J388-DATE(K388,1,4)+WEEKDAY(DATE(K388,1,4),2)-1)/7)+1</x:f>
        <x:v>22</x:v>
      </x:c>
      <x:c r="M388" s="1" t="str">
        <x:f>A388&amp;"|"&amp;B388</x:f>
        <x:v>43976|Ростов-на-Дону</x:v>
      </x:c>
      <x:c r="N388" s="1" t="n">
        <x:f>COUNTIFS('Лист2'!$F$2:$F$505,M388)</x:f>
        <x:v>1</x:v>
      </x:c>
      <x:c r="O388" s="1"/>
      <x:c r="P388" s="1"/>
      <x:c r="Q388" s="1"/>
    </x:row>
    <x:row r="389" ht="21" customHeight="1">
      <x:c r="A389" s="5" t="n">
        <x:f>'Лист1'!A389</x:f>
        <x:v>43976</x:v>
      </x:c>
      <x:c r="B389" s="1" t="str">
        <x:f>'Лист1'!B389</x:f>
        <x:v>Санкт-Петербург Север</x:v>
      </x:c>
      <x:c r="C389" s="1" t="n">
        <x:f>'Лист1'!C389</x:f>
        <x:v>349734</x:v>
      </x:c>
      <x:c r="D389" s="6" t="n">
        <x:f>'Лист1'!D389</x:f>
        <x:v>36883428</x:v>
      </x:c>
      <x:c r="E389" s="6" t="n">
        <x:f>'Лист1'!E389</x:f>
        <x:v>26438356.803</x:v>
      </x:c>
      <x:c r="F389" s="6" t="n">
        <x:f>'Лист1'!F389</x:f>
        <x:v>742420.2692307691</x:v>
      </x:c>
      <x:c r="G389" s="1" t="n">
        <x:f>IF(N389=1,SUMIFS('Лист2'!$C$2:$C$505,'Лист2'!$A$2:$A$505,A389,'Лист2'!$B$2:$B$505,B389),NA())</x:f>
        <x:v>124</x:v>
      </x:c>
      <x:c r="H389" s="1" t="n">
        <x:f>IF(N389=1,SUMIFS('Лист2'!$D$2:$D$505,'Лист2'!$A$2:$A$505,A389,'Лист2'!$B$2:$B$505,B389),NA())</x:f>
        <x:v>20358</x:v>
      </x:c>
      <x:c r="I389" s="1" t="n">
        <x:f>IF(N389=1,SUMIFS('Лист2'!$E$2:$E$505,'Лист2'!$A$2:$A$505,A389,'Лист2'!$B$2:$B$505,B389),NA())</x:f>
        <x:v>18890</x:v>
      </x:c>
      <x:c r="J389" s="5" t="n">
        <x:f>A389-WEEKDAY(A389,2)+1</x:f>
        <x:v>43976</x:v>
      </x:c>
      <x:c r="K389" s="1" t="n">
        <x:f>YEAR(J389+3)</x:f>
        <x:v>2020</x:v>
      </x:c>
      <x:c r="L389" s="1" t="n">
        <x:f>INT((J389-DATE(K389,1,4)+WEEKDAY(DATE(K389,1,4),2)-1)/7)+1</x:f>
        <x:v>22</x:v>
      </x:c>
      <x:c r="M389" s="1" t="str">
        <x:f>A389&amp;"|"&amp;B389</x:f>
        <x:v>43976|Санкт-Петербург Север</x:v>
      </x:c>
      <x:c r="N389" s="1" t="n">
        <x:f>COUNTIFS('Лист2'!$F$2:$F$505,M389)</x:f>
        <x:v>1</x:v>
      </x:c>
      <x:c r="O389" s="1"/>
      <x:c r="P389" s="1"/>
      <x:c r="Q389" s="1"/>
    </x:row>
    <x:row r="390" ht="21" customHeight="1">
      <x:c r="A390" s="5" t="n">
        <x:f>'Лист1'!A390</x:f>
        <x:v>43976</x:v>
      </x:c>
      <x:c r="B390" s="1" t="str">
        <x:f>'Лист1'!B390</x:f>
        <x:v>Санкт-Петербург Юг</x:v>
      </x:c>
      <x:c r="C390" s="1" t="n">
        <x:f>'Лист1'!C390</x:f>
        <x:v>266983.5</x:v>
      </x:c>
      <x:c r="D390" s="6" t="n">
        <x:f>'Лист1'!D390</x:f>
        <x:v>27165913.5</x:v>
      </x:c>
      <x:c r="E390" s="6" t="n">
        <x:f>'Лист1'!E390</x:f>
        <x:v>19659432.722999997</x:v>
      </x:c>
      <x:c r="F390" s="6" t="n">
        <x:f>'Лист1'!F390</x:f>
        <x:v>698314.9846153846</x:v>
      </x:c>
      <x:c r="G390" s="1" t="n">
        <x:f>IF(N390=1,SUMIFS('Лист2'!$C$2:$C$505,'Лист2'!$A$2:$A$505,A390,'Лист2'!$B$2:$B$505,B390),NA())</x:f>
        <x:v>129</x:v>
      </x:c>
      <x:c r="H390" s="1" t="n">
        <x:f>IF(N390=1,SUMIFS('Лист2'!$D$2:$D$505,'Лист2'!$A$2:$A$505,A390,'Лист2'!$B$2:$B$505,B390),NA())</x:f>
        <x:v>15822</x:v>
      </x:c>
      <x:c r="I390" s="1" t="n">
        <x:f>IF(N390=1,SUMIFS('Лист2'!$E$2:$E$505,'Лист2'!$A$2:$A$505,A390,'Лист2'!$B$2:$B$505,B390),NA())</x:f>
        <x:v>14753</x:v>
      </x:c>
      <x:c r="J390" s="5" t="n">
        <x:f>A390-WEEKDAY(A390,2)+1</x:f>
        <x:v>43976</x:v>
      </x:c>
      <x:c r="K390" s="1" t="n">
        <x:f>YEAR(J390+3)</x:f>
        <x:v>2020</x:v>
      </x:c>
      <x:c r="L390" s="1" t="n">
        <x:f>INT((J390-DATE(K390,1,4)+WEEKDAY(DATE(K390,1,4),2)-1)/7)+1</x:f>
        <x:v>22</x:v>
      </x:c>
      <x:c r="M390" s="1" t="str">
        <x:f>A390&amp;"|"&amp;B390</x:f>
        <x:v>43976|Санкт-Петербург Юг</x:v>
      </x:c>
      <x:c r="N390" s="1" t="n">
        <x:f>COUNTIFS('Лист2'!$F$2:$F$505,M390)</x:f>
        <x:v>1</x:v>
      </x:c>
      <x:c r="O390" s="1"/>
      <x:c r="P390" s="1"/>
      <x:c r="Q390" s="1"/>
    </x:row>
    <x:row r="391" ht="21" customHeight="1">
      <x:c r="A391" s="5" t="n">
        <x:f>'Лист1'!A391</x:f>
        <x:v>43976</x:v>
      </x:c>
      <x:c r="B391" s="1" t="str">
        <x:f>'Лист1'!B391</x:f>
        <x:v>Тольятти</x:v>
      </x:c>
      <x:c r="C391" s="1" t="n">
        <x:f>'Лист1'!C391</x:f>
        <x:v>12280.5</x:v>
      </x:c>
      <x:c r="D391" s="6" t="n">
        <x:f>'Лист1'!D391</x:f>
        <x:v>1030440</x:v>
      </x:c>
      <x:c r="E391" s="6" t="n">
        <x:f>'Лист1'!E391</x:f>
        <x:v>871047.598</x:v>
      </x:c>
      <x:c r="F391" s="6" t="n">
        <x:f>'Лист1'!F391</x:f>
        <x:v>85172.08461538462</x:v>
      </x:c>
      <x:c r="G391" s="1" t="n">
        <x:f>IF(N391=1,SUMIFS('Лист2'!$C$2:$C$505,'Лист2'!$A$2:$A$505,A391,'Лист2'!$B$2:$B$505,B391),NA())</x:f>
        <x:v>10</x:v>
      </x:c>
      <x:c r="H391" s="1" t="n">
        <x:f>IF(N391=1,SUMIFS('Лист2'!$D$2:$D$505,'Лист2'!$A$2:$A$505,A391,'Лист2'!$B$2:$B$505,B391),NA())</x:f>
        <x:v>739</x:v>
      </x:c>
      <x:c r="I391" s="1" t="n">
        <x:f>IF(N391=1,SUMIFS('Лист2'!$E$2:$E$505,'Лист2'!$A$2:$A$505,A391,'Лист2'!$B$2:$B$505,B391),NA())</x:f>
        <x:v>642</x:v>
      </x:c>
      <x:c r="J391" s="5" t="n">
        <x:f>A391-WEEKDAY(A391,2)+1</x:f>
        <x:v>43976</x:v>
      </x:c>
      <x:c r="K391" s="1" t="n">
        <x:f>YEAR(J391+3)</x:f>
        <x:v>2020</x:v>
      </x:c>
      <x:c r="L391" s="1" t="n">
        <x:f>INT((J391-DATE(K391,1,4)+WEEKDAY(DATE(K391,1,4),2)-1)/7)+1</x:f>
        <x:v>22</x:v>
      </x:c>
      <x:c r="M391" s="1" t="str">
        <x:f>A391&amp;"|"&amp;B391</x:f>
        <x:v>43976|Тольятти</x:v>
      </x:c>
      <x:c r="N391" s="1" t="n">
        <x:f>COUNTIFS('Лист2'!$F$2:$F$505,M391)</x:f>
        <x:v>1</x:v>
      </x:c>
      <x:c r="O391" s="1"/>
      <x:c r="P391" s="1"/>
      <x:c r="Q391" s="1"/>
    </x:row>
    <x:row r="392" ht="21" customHeight="1">
      <x:c r="A392" s="5" t="n">
        <x:f>'Лист1'!A392</x:f>
        <x:v>43977</x:v>
      </x:c>
      <x:c r="B392" s="1" t="str">
        <x:f>'Лист1'!B392</x:f>
        <x:v>Волгоград</x:v>
      </x:c>
      <x:c r="C392" s="1" t="n">
        <x:f>'Лист1'!C392</x:f>
        <x:v>67726.5</x:v>
      </x:c>
      <x:c r="D392" s="6" t="n">
        <x:f>'Лист1'!D392</x:f>
        <x:v>5864989.5</x:v>
      </x:c>
      <x:c r="E392" s="6" t="n">
        <x:f>'Лист1'!E392</x:f>
        <x:v>4506085.484</x:v>
      </x:c>
      <x:c r="F392" s="6" t="n">
        <x:f>'Лист1'!F392</x:f>
        <x:v>167003.69436153845</x:v>
      </x:c>
      <x:c r="G392" s="1" t="n">
        <x:f>IF(N392=1,SUMIFS('Лист2'!$C$2:$C$505,'Лист2'!$A$2:$A$505,A392,'Лист2'!$B$2:$B$505,B392),NA())</x:f>
        <x:v>36</x:v>
      </x:c>
      <x:c r="H392" s="1" t="n">
        <x:f>IF(N392=1,SUMIFS('Лист2'!$D$2:$D$505,'Лист2'!$A$2:$A$505,A392,'Лист2'!$B$2:$B$505,B392),NA())</x:f>
        <x:v>4770</x:v>
      </x:c>
      <x:c r="I392" s="1" t="n">
        <x:f>IF(N392=1,SUMIFS('Лист2'!$E$2:$E$505,'Лист2'!$A$2:$A$505,A392,'Лист2'!$B$2:$B$505,B392),NA())</x:f>
        <x:v>4424</x:v>
      </x:c>
      <x:c r="J392" s="5" t="n">
        <x:f>A392-WEEKDAY(A392,2)+1</x:f>
        <x:v>43976</x:v>
      </x:c>
      <x:c r="K392" s="1" t="n">
        <x:f>YEAR(J392+3)</x:f>
        <x:v>2020</x:v>
      </x:c>
      <x:c r="L392" s="1" t="n">
        <x:f>INT((J392-DATE(K392,1,4)+WEEKDAY(DATE(K392,1,4),2)-1)/7)+1</x:f>
        <x:v>22</x:v>
      </x:c>
      <x:c r="M392" s="1" t="str">
        <x:f>A392&amp;"|"&amp;B392</x:f>
        <x:v>43977|Волгоград</x:v>
      </x:c>
      <x:c r="N392" s="1" t="n">
        <x:f>COUNTIFS('Лист2'!$F$2:$F$505,M392)</x:f>
        <x:v>1</x:v>
      </x:c>
      <x:c r="O392" s="1"/>
      <x:c r="P392" s="1"/>
      <x:c r="Q392" s="1"/>
    </x:row>
    <x:row r="393" ht="21" customHeight="1">
      <x:c r="A393" s="5" t="n">
        <x:f>'Лист1'!A393</x:f>
        <x:v>43977</x:v>
      </x:c>
      <x:c r="B393" s="1" t="str">
        <x:f>'Лист1'!B393</x:f>
        <x:v>Екатеринбург</x:v>
      </x:c>
      <x:c r="C393" s="1" t="n">
        <x:f>'Лист1'!C393</x:f>
        <x:v>79975.5</x:v>
      </x:c>
      <x:c r="D393" s="6" t="n">
        <x:f>'Лист1'!D393</x:f>
        <x:v>6676459.5</x:v>
      </x:c>
      <x:c r="E393" s="6" t="n">
        <x:f>'Лист1'!E393</x:f>
        <x:v>5083946.169</x:v>
      </x:c>
      <x:c r="F393" s="6" t="n">
        <x:f>'Лист1'!F393</x:f>
        <x:v>141931.13193076922</x:v>
      </x:c>
      <x:c r="G393" s="1" t="n">
        <x:f>IF(N393=1,SUMIFS('Лист2'!$C$2:$C$505,'Лист2'!$A$2:$A$505,A393,'Лист2'!$B$2:$B$505,B393),NA())</x:f>
        <x:v>31</x:v>
      </x:c>
      <x:c r="H393" s="1" t="n">
        <x:f>IF(N393=1,SUMIFS('Лист2'!$D$2:$D$505,'Лист2'!$A$2:$A$505,A393,'Лист2'!$B$2:$B$505,B393),NA())</x:f>
        <x:v>5493</x:v>
      </x:c>
      <x:c r="I393" s="1" t="n">
        <x:f>IF(N393=1,SUMIFS('Лист2'!$E$2:$E$505,'Лист2'!$A$2:$A$505,A393,'Лист2'!$B$2:$B$505,B393),NA())</x:f>
        <x:v>5119</x:v>
      </x:c>
      <x:c r="J393" s="5" t="n">
        <x:f>A393-WEEKDAY(A393,2)+1</x:f>
        <x:v>43976</x:v>
      </x:c>
      <x:c r="K393" s="1" t="n">
        <x:f>YEAR(J393+3)</x:f>
        <x:v>2020</x:v>
      </x:c>
      <x:c r="L393" s="1" t="n">
        <x:f>INT((J393-DATE(K393,1,4)+WEEKDAY(DATE(K393,1,4),2)-1)/7)+1</x:f>
        <x:v>22</x:v>
      </x:c>
      <x:c r="M393" s="1" t="str">
        <x:f>A393&amp;"|"&amp;B393</x:f>
        <x:v>43977|Екатеринбург</x:v>
      </x:c>
      <x:c r="N393" s="1" t="n">
        <x:f>COUNTIFS('Лист2'!$F$2:$F$505,M393)</x:f>
        <x:v>1</x:v>
      </x:c>
      <x:c r="O393" s="1"/>
      <x:c r="P393" s="1"/>
      <x:c r="Q393" s="1"/>
    </x:row>
    <x:row r="394" ht="21" customHeight="1">
      <x:c r="A394" s="5" t="n">
        <x:f>'Лист1'!A394</x:f>
        <x:v>43977</x:v>
      </x:c>
      <x:c r="B394" s="1" t="str">
        <x:f>'Лист1'!B394</x:f>
        <x:v>Казань</x:v>
      </x:c>
      <x:c r="C394" s="1" t="n">
        <x:f>'Лист1'!C394</x:f>
        <x:v>40744.5</x:v>
      </x:c>
      <x:c r="D394" s="6" t="n">
        <x:f>'Лист1'!D394</x:f>
        <x:v>3700311</x:v>
      </x:c>
      <x:c r="E394" s="6" t="n">
        <x:f>'Лист1'!E394</x:f>
        <x:v>2861069.8419999997</x:v>
      </x:c>
      <x:c r="F394" s="6" t="n">
        <x:f>'Лист1'!F394</x:f>
        <x:v>170303.62015384613</x:v>
      </x:c>
      <x:c r="G394" s="1" t="n">
        <x:f>IF(N394=1,SUMIFS('Лист2'!$C$2:$C$505,'Лист2'!$A$2:$A$505,A394,'Лист2'!$B$2:$B$505,B394),NA())</x:f>
        <x:v>21</x:v>
      </x:c>
      <x:c r="H394" s="1" t="n">
        <x:f>IF(N394=1,SUMIFS('Лист2'!$D$2:$D$505,'Лист2'!$A$2:$A$505,A394,'Лист2'!$B$2:$B$505,B394),NA())</x:f>
        <x:v>2418</x:v>
      </x:c>
      <x:c r="I394" s="1" t="n">
        <x:f>IF(N394=1,SUMIFS('Лист2'!$E$2:$E$505,'Лист2'!$A$2:$A$505,A394,'Лист2'!$B$2:$B$505,B394),NA())</x:f>
        <x:v>2215</x:v>
      </x:c>
      <x:c r="J394" s="5" t="n">
        <x:f>A394-WEEKDAY(A394,2)+1</x:f>
        <x:v>43976</x:v>
      </x:c>
      <x:c r="K394" s="1" t="n">
        <x:f>YEAR(J394+3)</x:f>
        <x:v>2020</x:v>
      </x:c>
      <x:c r="L394" s="1" t="n">
        <x:f>INT((J394-DATE(K394,1,4)+WEEKDAY(DATE(K394,1,4),2)-1)/7)+1</x:f>
        <x:v>22</x:v>
      </x:c>
      <x:c r="M394" s="1" t="str">
        <x:f>A394&amp;"|"&amp;B394</x:f>
        <x:v>43977|Казань</x:v>
      </x:c>
      <x:c r="N394" s="1" t="n">
        <x:f>COUNTIFS('Лист2'!$F$2:$F$505,M394)</x:f>
        <x:v>1</x:v>
      </x:c>
      <x:c r="O394" s="1"/>
      <x:c r="P394" s="1"/>
      <x:c r="Q394" s="1"/>
    </x:row>
    <x:row r="395" ht="21" customHeight="1">
      <x:c r="A395" s="5" t="n">
        <x:f>'Лист1'!A395</x:f>
        <x:v>43977</x:v>
      </x:c>
      <x:c r="B395" s="1" t="str">
        <x:f>'Лист1'!B395</x:f>
        <x:v>Кемерово</x:v>
      </x:c>
      <x:c r="C395" s="1" t="n">
        <x:f>'Лист1'!C395</x:f>
        <x:v>33423</x:v>
      </x:c>
      <x:c r="D395" s="6" t="n">
        <x:f>'Лист1'!D395</x:f>
        <x:v>2970330</x:v>
      </x:c>
      <x:c r="E395" s="6" t="n">
        <x:f>'Лист1'!E395</x:f>
        <x:v>2395998.377</x:v>
      </x:c>
      <x:c r="F395" s="6" t="n">
        <x:f>'Лист1'!F395</x:f>
        <x:v>259067.63954615386</x:v>
      </x:c>
      <x:c r="G395" s="1" t="n">
        <x:f>IF(N395=1,SUMIFS('Лист2'!$C$2:$C$505,'Лист2'!$A$2:$A$505,A395,'Лист2'!$B$2:$B$505,B395),NA())</x:f>
        <x:v>20</x:v>
      </x:c>
      <x:c r="H395" s="1" t="n">
        <x:f>IF(N395=1,SUMIFS('Лист2'!$D$2:$D$505,'Лист2'!$A$2:$A$505,A395,'Лист2'!$B$2:$B$505,B395),NA())</x:f>
        <x:v>2044</x:v>
      </x:c>
      <x:c r="I395" s="1" t="n">
        <x:f>IF(N395=1,SUMIFS('Лист2'!$E$2:$E$505,'Лист2'!$A$2:$A$505,A395,'Лист2'!$B$2:$B$505,B395),NA())</x:f>
        <x:v>1863</x:v>
      </x:c>
      <x:c r="J395" s="5" t="n">
        <x:f>A395-WEEKDAY(A395,2)+1</x:f>
        <x:v>43976</x:v>
      </x:c>
      <x:c r="K395" s="1" t="n">
        <x:f>YEAR(J395+3)</x:f>
        <x:v>2020</x:v>
      </x:c>
      <x:c r="L395" s="1" t="n">
        <x:f>INT((J395-DATE(K395,1,4)+WEEKDAY(DATE(K395,1,4),2)-1)/7)+1</x:f>
        <x:v>22</x:v>
      </x:c>
      <x:c r="M395" s="1" t="str">
        <x:f>A395&amp;"|"&amp;B395</x:f>
        <x:v>43977|Кемерово</x:v>
      </x:c>
      <x:c r="N395" s="1" t="n">
        <x:f>COUNTIFS('Лист2'!$F$2:$F$505,M395)</x:f>
        <x:v>1</x:v>
      </x:c>
      <x:c r="O395" s="1"/>
      <x:c r="P395" s="1"/>
      <x:c r="Q395" s="1"/>
    </x:row>
    <x:row r="396" ht="21" customHeight="1">
      <x:c r="A396" s="5" t="n">
        <x:f>'Лист1'!A396</x:f>
        <x:v>43977</x:v>
      </x:c>
      <x:c r="B396" s="1" t="str">
        <x:f>'Лист1'!B396</x:f>
        <x:v>Краснодар</x:v>
      </x:c>
      <x:c r="C396" s="1" t="n">
        <x:f>'Лист1'!C396</x:f>
        <x:v>27156</x:v>
      </x:c>
      <x:c r="D396" s="6" t="n">
        <x:f>'Лист1'!D396</x:f>
        <x:v>2410803</x:v>
      </x:c>
      <x:c r="E396" s="6" t="n">
        <x:f>'Лист1'!E396</x:f>
        <x:v>1897998.252</x:v>
      </x:c>
      <x:c r="F396" s="6" t="n">
        <x:f>'Лист1'!F396</x:f>
        <x:v>96303.4</x:v>
      </x:c>
      <x:c r="G396" s="1" t="n">
        <x:f>IF(N396=1,SUMIFS('Лист2'!$C$2:$C$505,'Лист2'!$A$2:$A$505,A396,'Лист2'!$B$2:$B$505,B396),NA())</x:f>
        <x:v>20</x:v>
      </x:c>
      <x:c r="H396" s="1" t="n">
        <x:f>IF(N396=1,SUMIFS('Лист2'!$D$2:$D$505,'Лист2'!$A$2:$A$505,A396,'Лист2'!$B$2:$B$505,B396),NA())</x:f>
        <x:v>1814</x:v>
      </x:c>
      <x:c r="I396" s="1" t="n">
        <x:f>IF(N396=1,SUMIFS('Лист2'!$E$2:$E$505,'Лист2'!$A$2:$A$505,A396,'Лист2'!$B$2:$B$505,B396),NA())</x:f>
        <x:v>1655</x:v>
      </x:c>
      <x:c r="J396" s="5" t="n">
        <x:f>A396-WEEKDAY(A396,2)+1</x:f>
        <x:v>43976</x:v>
      </x:c>
      <x:c r="K396" s="1" t="n">
        <x:f>YEAR(J396+3)</x:f>
        <x:v>2020</x:v>
      </x:c>
      <x:c r="L396" s="1" t="n">
        <x:f>INT((J396-DATE(K396,1,4)+WEEKDAY(DATE(K396,1,4),2)-1)/7)+1</x:f>
        <x:v>22</x:v>
      </x:c>
      <x:c r="M396" s="1" t="str">
        <x:f>A396&amp;"|"&amp;B396</x:f>
        <x:v>43977|Краснодар</x:v>
      </x:c>
      <x:c r="N396" s="1" t="n">
        <x:f>COUNTIFS('Лист2'!$F$2:$F$505,M396)</x:f>
        <x:v>1</x:v>
      </x:c>
      <x:c r="O396" s="1"/>
      <x:c r="P396" s="1"/>
      <x:c r="Q396" s="1"/>
    </x:row>
    <x:row r="397" ht="21" customHeight="1">
      <x:c r="A397" s="5" t="n">
        <x:f>'Лист1'!A397</x:f>
        <x:v>43977</x:v>
      </x:c>
      <x:c r="B397" s="1" t="str">
        <x:f>'Лист1'!B397</x:f>
        <x:v>Москва Восток</x:v>
      </x:c>
      <x:c r="C397" s="1" t="n">
        <x:f>'Лист1'!C397</x:f>
        <x:v>232369.5</x:v>
      </x:c>
      <x:c r="D397" s="6" t="n">
        <x:f>'Лист1'!D397</x:f>
        <x:v>23856345</x:v>
      </x:c>
      <x:c r="E397" s="6" t="n">
        <x:f>'Лист1'!E397</x:f>
        <x:v>17297352.185000002</x:v>
      </x:c>
      <x:c r="F397" s="6" t="n">
        <x:f>'Лист1'!F397</x:f>
        <x:v>279472.1615384615</x:v>
      </x:c>
      <x:c r="G397" s="1" t="n">
        <x:f>IF(N397=1,SUMIFS('Лист2'!$C$2:$C$505,'Лист2'!$A$2:$A$505,A397,'Лист2'!$B$2:$B$505,B397),NA())</x:f>
        <x:v>54</x:v>
      </x:c>
      <x:c r="H397" s="1" t="n">
        <x:f>IF(N397=1,SUMIFS('Лист2'!$D$2:$D$505,'Лист2'!$A$2:$A$505,A397,'Лист2'!$B$2:$B$505,B397),NA())</x:f>
        <x:v>14482</x:v>
      </x:c>
      <x:c r="I397" s="1" t="n">
        <x:f>IF(N397=1,SUMIFS('Лист2'!$E$2:$E$505,'Лист2'!$A$2:$A$505,A397,'Лист2'!$B$2:$B$505,B397),NA())</x:f>
        <x:v>13510</x:v>
      </x:c>
      <x:c r="J397" s="5" t="n">
        <x:f>A397-WEEKDAY(A397,2)+1</x:f>
        <x:v>43976</x:v>
      </x:c>
      <x:c r="K397" s="1" t="n">
        <x:f>YEAR(J397+3)</x:f>
        <x:v>2020</x:v>
      </x:c>
      <x:c r="L397" s="1" t="n">
        <x:f>INT((J397-DATE(K397,1,4)+WEEKDAY(DATE(K397,1,4),2)-1)/7)+1</x:f>
        <x:v>22</x:v>
      </x:c>
      <x:c r="M397" s="1" t="str">
        <x:f>A397&amp;"|"&amp;B397</x:f>
        <x:v>43977|Москва Восток</x:v>
      </x:c>
      <x:c r="N397" s="1" t="n">
        <x:f>COUNTIFS('Лист2'!$F$2:$F$505,M397)</x:f>
        <x:v>1</x:v>
      </x:c>
      <x:c r="O397" s="1"/>
      <x:c r="P397" s="1"/>
      <x:c r="Q397" s="1"/>
    </x:row>
    <x:row r="398" ht="21" customHeight="1">
      <x:c r="A398" s="5" t="n">
        <x:f>'Лист1'!A398</x:f>
        <x:v>43977</x:v>
      </x:c>
      <x:c r="B398" s="1" t="str">
        <x:f>'Лист1'!B398</x:f>
        <x:v>Москва Запад</x:v>
      </x:c>
      <x:c r="C398" s="1" t="n">
        <x:f>'Лист1'!C398</x:f>
        <x:v>244905</x:v>
      </x:c>
      <x:c r="D398" s="6" t="n">
        <x:f>'Лист1'!D398</x:f>
        <x:v>25163431.5</x:v>
      </x:c>
      <x:c r="E398" s="6" t="n">
        <x:f>'Лист1'!E398</x:f>
        <x:v>18210825.697</x:v>
      </x:c>
      <x:c r="F398" s="6" t="n">
        <x:f>'Лист1'!F398</x:f>
        <x:v>272401.2</x:v>
      </x:c>
      <x:c r="G398" s="1" t="n">
        <x:f>IF(N398=1,SUMIFS('Лист2'!$C$2:$C$505,'Лист2'!$A$2:$A$505,A398,'Лист2'!$B$2:$B$505,B398),NA())</x:f>
        <x:v>59</x:v>
      </x:c>
      <x:c r="H398" s="1" t="n">
        <x:f>IF(N398=1,SUMIFS('Лист2'!$D$2:$D$505,'Лист2'!$A$2:$A$505,A398,'Лист2'!$B$2:$B$505,B398),NA())</x:f>
        <x:v>15369</x:v>
      </x:c>
      <x:c r="I398" s="1" t="n">
        <x:f>IF(N398=1,SUMIFS('Лист2'!$E$2:$E$505,'Лист2'!$A$2:$A$505,A398,'Лист2'!$B$2:$B$505,B398),NA())</x:f>
        <x:v>14299</x:v>
      </x:c>
      <x:c r="J398" s="5" t="n">
        <x:f>A398-WEEKDAY(A398,2)+1</x:f>
        <x:v>43976</x:v>
      </x:c>
      <x:c r="K398" s="1" t="n">
        <x:f>YEAR(J398+3)</x:f>
        <x:v>2020</x:v>
      </x:c>
      <x:c r="L398" s="1" t="n">
        <x:f>INT((J398-DATE(K398,1,4)+WEEKDAY(DATE(K398,1,4),2)-1)/7)+1</x:f>
        <x:v>22</x:v>
      </x:c>
      <x:c r="M398" s="1" t="str">
        <x:f>A398&amp;"|"&amp;B398</x:f>
        <x:v>43977|Москва Запад</x:v>
      </x:c>
      <x:c r="N398" s="1" t="n">
        <x:f>COUNTIFS('Лист2'!$F$2:$F$505,M398)</x:f>
        <x:v>1</x:v>
      </x:c>
      <x:c r="O398" s="1"/>
      <x:c r="P398" s="1"/>
      <x:c r="Q398" s="1"/>
    </x:row>
    <x:row r="399" ht="21" customHeight="1">
      <x:c r="A399" s="5" t="n">
        <x:f>'Лист1'!A399</x:f>
        <x:v>43977</x:v>
      </x:c>
      <x:c r="B399" s="1" t="str">
        <x:f>'Лист1'!B399</x:f>
        <x:v>Нижний Новгород</x:v>
      </x:c>
      <x:c r="C399" s="1" t="n">
        <x:f>'Лист1'!C399</x:f>
        <x:v>31407</x:v>
      </x:c>
      <x:c r="D399" s="6" t="n">
        <x:f>'Лист1'!D399</x:f>
        <x:v>2907411</x:v>
      </x:c>
      <x:c r="E399" s="6" t="n">
        <x:f>'Лист1'!E399</x:f>
        <x:v>2288433.495</x:v>
      </x:c>
      <x:c r="F399" s="6" t="n">
        <x:f>'Лист1'!F399</x:f>
        <x:v>193538.8704076923</x:v>
      </x:c>
      <x:c r="G399" s="1" t="n">
        <x:f>IF(N399=1,SUMIFS('Лист2'!$C$2:$C$505,'Лист2'!$A$2:$A$505,A399,'Лист2'!$B$2:$B$505,B399),NA())</x:f>
        <x:v>20</x:v>
      </x:c>
      <x:c r="H399" s="1" t="n">
        <x:f>IF(N399=1,SUMIFS('Лист2'!$D$2:$D$505,'Лист2'!$A$2:$A$505,A399,'Лист2'!$B$2:$B$505,B399),NA())</x:f>
        <x:v>2036</x:v>
      </x:c>
      <x:c r="I399" s="1" t="n">
        <x:f>IF(N399=1,SUMIFS('Лист2'!$E$2:$E$505,'Лист2'!$A$2:$A$505,A399,'Лист2'!$B$2:$B$505,B399),NA())</x:f>
        <x:v>1790</x:v>
      </x:c>
      <x:c r="J399" s="5" t="n">
        <x:f>A399-WEEKDAY(A399,2)+1</x:f>
        <x:v>43976</x:v>
      </x:c>
      <x:c r="K399" s="1" t="n">
        <x:f>YEAR(J399+3)</x:f>
        <x:v>2020</x:v>
      </x:c>
      <x:c r="L399" s="1" t="n">
        <x:f>INT((J399-DATE(K399,1,4)+WEEKDAY(DATE(K399,1,4),2)-1)/7)+1</x:f>
        <x:v>22</x:v>
      </x:c>
      <x:c r="M399" s="1" t="str">
        <x:f>A399&amp;"|"&amp;B399</x:f>
        <x:v>43977|Нижний Новгород</x:v>
      </x:c>
      <x:c r="N399" s="1" t="n">
        <x:f>COUNTIFS('Лист2'!$F$2:$F$505,M399)</x:f>
        <x:v>1</x:v>
      </x:c>
      <x:c r="O399" s="1"/>
      <x:c r="P399" s="1"/>
      <x:c r="Q399" s="1"/>
    </x:row>
    <x:row r="400" ht="21" customHeight="1">
      <x:c r="A400" s="5" t="n">
        <x:f>'Лист1'!A400</x:f>
        <x:v>43977</x:v>
      </x:c>
      <x:c r="B400" s="1" t="str">
        <x:f>'Лист1'!B400</x:f>
        <x:v>Новосибирск</x:v>
      </x:c>
      <x:c r="C400" s="1" t="n">
        <x:f>'Лист1'!C400</x:f>
        <x:v>14419.5</x:v>
      </x:c>
      <x:c r="D400" s="6" t="n">
        <x:f>'Лист1'!D400</x:f>
        <x:v>1210456.5</x:v>
      </x:c>
      <x:c r="E400" s="6" t="n">
        <x:f>'Лист1'!E400</x:f>
        <x:v>970917.124</x:v>
      </x:c>
      <x:c r="F400" s="6" t="n">
        <x:f>'Лист1'!F400</x:f>
        <x:v>88147.13846153846</x:v>
      </x:c>
      <x:c r="G400" s="1" t="n">
        <x:f>IF(N400=1,SUMIFS('Лист2'!$C$2:$C$505,'Лист2'!$A$2:$A$505,A400,'Лист2'!$B$2:$B$505,B400),NA())</x:f>
        <x:v>18</x:v>
      </x:c>
      <x:c r="H400" s="1" t="n">
        <x:f>IF(N400=1,SUMIFS('Лист2'!$D$2:$D$505,'Лист2'!$A$2:$A$505,A400,'Лист2'!$B$2:$B$505,B400),NA())</x:f>
        <x:v>914</x:v>
      </x:c>
      <x:c r="I400" s="1" t="n">
        <x:f>IF(N400=1,SUMIFS('Лист2'!$E$2:$E$505,'Лист2'!$A$2:$A$505,A400,'Лист2'!$B$2:$B$505,B400),NA())</x:f>
        <x:v>804</x:v>
      </x:c>
      <x:c r="J400" s="5" t="n">
        <x:f>A400-WEEKDAY(A400,2)+1</x:f>
        <x:v>43976</x:v>
      </x:c>
      <x:c r="K400" s="1" t="n">
        <x:f>YEAR(J400+3)</x:f>
        <x:v>2020</x:v>
      </x:c>
      <x:c r="L400" s="1" t="n">
        <x:f>INT((J400-DATE(K400,1,4)+WEEKDAY(DATE(K400,1,4),2)-1)/7)+1</x:f>
        <x:v>22</x:v>
      </x:c>
      <x:c r="M400" s="1" t="str">
        <x:f>A400&amp;"|"&amp;B400</x:f>
        <x:v>43977|Новосибирск</x:v>
      </x:c>
      <x:c r="N400" s="1" t="n">
        <x:f>COUNTIFS('Лист2'!$F$2:$F$505,M400)</x:f>
        <x:v>1</x:v>
      </x:c>
      <x:c r="O400" s="1"/>
      <x:c r="P400" s="1"/>
      <x:c r="Q400" s="1"/>
    </x:row>
    <x:row r="401" ht="21" customHeight="1">
      <x:c r="A401" s="5" t="n">
        <x:f>'Лист1'!A401</x:f>
        <x:v>43977</x:v>
      </x:c>
      <x:c r="B401" s="1" t="str">
        <x:f>'Лист1'!B401</x:f>
        <x:v>Пермь</x:v>
      </x:c>
      <x:c r="C401" s="1" t="n">
        <x:f>'Лист1'!C401</x:f>
        <x:v>17391</x:v>
      </x:c>
      <x:c r="D401" s="6" t="n">
        <x:f>'Лист1'!D401</x:f>
        <x:v>1489132.5</x:v>
      </x:c>
      <x:c r="E401" s="6" t="n">
        <x:f>'Лист1'!E401</x:f>
        <x:v>1209901.0159999998</x:v>
      </x:c>
      <x:c r="F401" s="6" t="n">
        <x:f>'Лист1'!F401</x:f>
        <x:v>272121.8153846154</x:v>
      </x:c>
      <x:c r="G401" s="1" t="n">
        <x:f>IF(N401=1,SUMIFS('Лист2'!$C$2:$C$505,'Лист2'!$A$2:$A$505,A401,'Лист2'!$B$2:$B$505,B401),NA())</x:f>
        <x:v>17</x:v>
      </x:c>
      <x:c r="H401" s="1" t="n">
        <x:f>IF(N401=1,SUMIFS('Лист2'!$D$2:$D$505,'Лист2'!$A$2:$A$505,A401,'Лист2'!$B$2:$B$505,B401),NA())</x:f>
        <x:v>1140</x:v>
      </x:c>
      <x:c r="I401" s="1" t="n">
        <x:f>IF(N401=1,SUMIFS('Лист2'!$E$2:$E$505,'Лист2'!$A$2:$A$505,A401,'Лист2'!$B$2:$B$505,B401),NA())</x:f>
        <x:v>1016</x:v>
      </x:c>
      <x:c r="J401" s="5" t="n">
        <x:f>A401-WEEKDAY(A401,2)+1</x:f>
        <x:v>43976</x:v>
      </x:c>
      <x:c r="K401" s="1" t="n">
        <x:f>YEAR(J401+3)</x:f>
        <x:v>2020</x:v>
      </x:c>
      <x:c r="L401" s="1" t="n">
        <x:f>INT((J401-DATE(K401,1,4)+WEEKDAY(DATE(K401,1,4),2)-1)/7)+1</x:f>
        <x:v>22</x:v>
      </x:c>
      <x:c r="M401" s="1" t="str">
        <x:f>A401&amp;"|"&amp;B401</x:f>
        <x:v>43977|Пермь</x:v>
      </x:c>
      <x:c r="N401" s="1" t="n">
        <x:f>COUNTIFS('Лист2'!$F$2:$F$505,M401)</x:f>
        <x:v>1</x:v>
      </x:c>
      <x:c r="O401" s="1"/>
      <x:c r="P401" s="1"/>
      <x:c r="Q401" s="1"/>
    </x:row>
    <x:row r="402" ht="21" customHeight="1">
      <x:c r="A402" s="5" t="n">
        <x:f>'Лист1'!A402</x:f>
        <x:v>43977</x:v>
      </x:c>
      <x:c r="B402" s="1" t="str">
        <x:f>'Лист1'!B402</x:f>
        <x:v>Ростов-на-Дону</x:v>
      </x:c>
      <x:c r="C402" s="1" t="n">
        <x:f>'Лист1'!C402</x:f>
        <x:v>12259.5</x:v>
      </x:c>
      <x:c r="D402" s="6" t="n">
        <x:f>'Лист1'!D402</x:f>
        <x:v>1152054</x:v>
      </x:c>
      <x:c r="E402" s="6" t="n">
        <x:f>'Лист1'!E402</x:f>
        <x:v>906579.6209999999</x:v>
      </x:c>
      <x:c r="F402" s="6" t="n">
        <x:f>'Лист1'!F402</x:f>
        <x:v>217611.18753846153</x:v>
      </x:c>
      <x:c r="G402" s="1" t="n">
        <x:f>IF(N402=1,SUMIFS('Лист2'!$C$2:$C$505,'Лист2'!$A$2:$A$505,A402,'Лист2'!$B$2:$B$505,B402),NA())</x:f>
        <x:v>15</x:v>
      </x:c>
      <x:c r="H402" s="1" t="n">
        <x:f>IF(N402=1,SUMIFS('Лист2'!$D$2:$D$505,'Лист2'!$A$2:$A$505,A402,'Лист2'!$B$2:$B$505,B402),NA())</x:f>
        <x:v>812</x:v>
      </x:c>
      <x:c r="I402" s="1" t="n">
        <x:f>IF(N402=1,SUMIFS('Лист2'!$E$2:$E$505,'Лист2'!$A$2:$A$505,A402,'Лист2'!$B$2:$B$505,B402),NA())</x:f>
        <x:v>711</x:v>
      </x:c>
      <x:c r="J402" s="5" t="n">
        <x:f>A402-WEEKDAY(A402,2)+1</x:f>
        <x:v>43976</x:v>
      </x:c>
      <x:c r="K402" s="1" t="n">
        <x:f>YEAR(J402+3)</x:f>
        <x:v>2020</x:v>
      </x:c>
      <x:c r="L402" s="1" t="n">
        <x:f>INT((J402-DATE(K402,1,4)+WEEKDAY(DATE(K402,1,4),2)-1)/7)+1</x:f>
        <x:v>22</x:v>
      </x:c>
      <x:c r="M402" s="1" t="str">
        <x:f>A402&amp;"|"&amp;B402</x:f>
        <x:v>43977|Ростов-на-Дону</x:v>
      </x:c>
      <x:c r="N402" s="1" t="n">
        <x:f>COUNTIFS('Лист2'!$F$2:$F$505,M402)</x:f>
        <x:v>1</x:v>
      </x:c>
      <x:c r="O402" s="1"/>
      <x:c r="P402" s="1"/>
      <x:c r="Q402" s="1"/>
    </x:row>
    <x:row r="403" ht="21" customHeight="1">
      <x:c r="A403" s="5" t="n">
        <x:f>'Лист1'!A403</x:f>
        <x:v>43977</x:v>
      </x:c>
      <x:c r="B403" s="1" t="str">
        <x:f>'Лист1'!B403</x:f>
        <x:v>Санкт-Петербург Север</x:v>
      </x:c>
      <x:c r="C403" s="1" t="n">
        <x:f>'Лист1'!C403</x:f>
        <x:v>369861</x:v>
      </x:c>
      <x:c r="D403" s="6" t="n">
        <x:f>'Лист1'!D403</x:f>
        <x:v>38365960.5</x:v>
      </x:c>
      <x:c r="E403" s="6" t="n">
        <x:f>'Лист1'!E403</x:f>
        <x:v>27592063.503</x:v>
      </x:c>
      <x:c r="F403" s="6" t="n">
        <x:f>'Лист1'!F403</x:f>
        <x:v>589339.0338461538</x:v>
      </x:c>
      <x:c r="G403" s="1" t="n">
        <x:f>IF(N403=1,SUMIFS('Лист2'!$C$2:$C$505,'Лист2'!$A$2:$A$505,A403,'Лист2'!$B$2:$B$505,B403),NA())</x:f>
        <x:v>124</x:v>
      </x:c>
      <x:c r="H403" s="1" t="n">
        <x:f>IF(N403=1,SUMIFS('Лист2'!$D$2:$D$505,'Лист2'!$A$2:$A$505,A403,'Лист2'!$B$2:$B$505,B403),NA())</x:f>
        <x:v>21153</x:v>
      </x:c>
      <x:c r="I403" s="1" t="n">
        <x:f>IF(N403=1,SUMIFS('Лист2'!$E$2:$E$505,'Лист2'!$A$2:$A$505,A403,'Лист2'!$B$2:$B$505,B403),NA())</x:f>
        <x:v>19673</x:v>
      </x:c>
      <x:c r="J403" s="5" t="n">
        <x:f>A403-WEEKDAY(A403,2)+1</x:f>
        <x:v>43976</x:v>
      </x:c>
      <x:c r="K403" s="1" t="n">
        <x:f>YEAR(J403+3)</x:f>
        <x:v>2020</x:v>
      </x:c>
      <x:c r="L403" s="1" t="n">
        <x:f>INT((J403-DATE(K403,1,4)+WEEKDAY(DATE(K403,1,4),2)-1)/7)+1</x:f>
        <x:v>22</x:v>
      </x:c>
      <x:c r="M403" s="1" t="str">
        <x:f>A403&amp;"|"&amp;B403</x:f>
        <x:v>43977|Санкт-Петербург Север</x:v>
      </x:c>
      <x:c r="N403" s="1" t="n">
        <x:f>COUNTIFS('Лист2'!$F$2:$F$505,M403)</x:f>
        <x:v>1</x:v>
      </x:c>
      <x:c r="O403" s="1"/>
      <x:c r="P403" s="1"/>
      <x:c r="Q403" s="1"/>
    </x:row>
    <x:row r="404" ht="21" customHeight="1">
      <x:c r="A404" s="5" t="n">
        <x:f>'Лист1'!A404</x:f>
        <x:v>43977</x:v>
      </x:c>
      <x:c r="B404" s="1" t="str">
        <x:f>'Лист1'!B404</x:f>
        <x:v>Санкт-Петербург Юг</x:v>
      </x:c>
      <x:c r="C404" s="1" t="n">
        <x:f>'Лист1'!C404</x:f>
        <x:v>276966</x:v>
      </x:c>
      <x:c r="D404" s="6" t="n">
        <x:f>'Лист1'!D404</x:f>
        <x:v>27872617.89885</x:v>
      </x:c>
      <x:c r="E404" s="6" t="n">
        <x:f>'Лист1'!E404</x:f>
        <x:v>20223763.805</x:v>
      </x:c>
      <x:c r="F404" s="6" t="n">
        <x:f>'Лист1'!F404</x:f>
        <x:v>645572.5782615384</x:v>
      </x:c>
      <x:c r="G404" s="1" t="n">
        <x:f>IF(N404=1,SUMIFS('Лист2'!$C$2:$C$505,'Лист2'!$A$2:$A$505,A404,'Лист2'!$B$2:$B$505,B404),NA())</x:f>
        <x:v>129</x:v>
      </x:c>
      <x:c r="H404" s="1" t="n">
        <x:f>IF(N404=1,SUMIFS('Лист2'!$D$2:$D$505,'Лист2'!$A$2:$A$505,A404,'Лист2'!$B$2:$B$505,B404),NA())</x:f>
        <x:v>16459</x:v>
      </x:c>
      <x:c r="I404" s="1" t="n">
        <x:f>IF(N404=1,SUMIFS('Лист2'!$E$2:$E$505,'Лист2'!$A$2:$A$505,A404,'Лист2'!$B$2:$B$505,B404),NA())</x:f>
        <x:v>15355</x:v>
      </x:c>
      <x:c r="J404" s="5" t="n">
        <x:f>A404-WEEKDAY(A404,2)+1</x:f>
        <x:v>43976</x:v>
      </x:c>
      <x:c r="K404" s="1" t="n">
        <x:f>YEAR(J404+3)</x:f>
        <x:v>2020</x:v>
      </x:c>
      <x:c r="L404" s="1" t="n">
        <x:f>INT((J404-DATE(K404,1,4)+WEEKDAY(DATE(K404,1,4),2)-1)/7)+1</x:f>
        <x:v>22</x:v>
      </x:c>
      <x:c r="M404" s="1" t="str">
        <x:f>A404&amp;"|"&amp;B404</x:f>
        <x:v>43977|Санкт-Петербург Юг</x:v>
      </x:c>
      <x:c r="N404" s="1" t="n">
        <x:f>COUNTIFS('Лист2'!$F$2:$F$505,M404)</x:f>
        <x:v>1</x:v>
      </x:c>
      <x:c r="O404" s="1"/>
      <x:c r="P404" s="1"/>
      <x:c r="Q404" s="1"/>
    </x:row>
    <x:row r="405" ht="21" customHeight="1">
      <x:c r="A405" s="5" t="n">
        <x:f>'Лист1'!A405</x:f>
        <x:v>43977</x:v>
      </x:c>
      <x:c r="B405" s="1" t="str">
        <x:f>'Лист1'!B405</x:f>
        <x:v>Тольятти</x:v>
      </x:c>
      <x:c r="C405" s="1" t="n">
        <x:f>'Лист1'!C405</x:f>
        <x:v>11835</x:v>
      </x:c>
      <x:c r="D405" s="6" t="n">
        <x:f>'Лист1'!D405</x:f>
        <x:v>983109</x:v>
      </x:c>
      <x:c r="E405" s="6" t="n">
        <x:f>'Лист1'!E405</x:f>
        <x:v>825345.0530000001</x:v>
      </x:c>
      <x:c r="F405" s="6" t="n">
        <x:f>'Лист1'!F405</x:f>
        <x:v>109486.33076923077</x:v>
      </x:c>
      <x:c r="G405" s="1" t="n">
        <x:f>IF(N405=1,SUMIFS('Лист2'!$C$2:$C$505,'Лист2'!$A$2:$A$505,A405,'Лист2'!$B$2:$B$505,B405),NA())</x:f>
        <x:v>10</x:v>
      </x:c>
      <x:c r="H405" s="1" t="n">
        <x:f>IF(N405=1,SUMIFS('Лист2'!$D$2:$D$505,'Лист2'!$A$2:$A$505,A405,'Лист2'!$B$2:$B$505,B405),NA())</x:f>
        <x:v>692</x:v>
      </x:c>
      <x:c r="I405" s="1" t="n">
        <x:f>IF(N405=1,SUMIFS('Лист2'!$E$2:$E$505,'Лист2'!$A$2:$A$505,A405,'Лист2'!$B$2:$B$505,B405),NA())</x:f>
        <x:v>601</x:v>
      </x:c>
      <x:c r="J405" s="5" t="n">
        <x:f>A405-WEEKDAY(A405,2)+1</x:f>
        <x:v>43976</x:v>
      </x:c>
      <x:c r="K405" s="1" t="n">
        <x:f>YEAR(J405+3)</x:f>
        <x:v>2020</x:v>
      </x:c>
      <x:c r="L405" s="1" t="n">
        <x:f>INT((J405-DATE(K405,1,4)+WEEKDAY(DATE(K405,1,4),2)-1)/7)+1</x:f>
        <x:v>22</x:v>
      </x:c>
      <x:c r="M405" s="1" t="str">
        <x:f>A405&amp;"|"&amp;B405</x:f>
        <x:v>43977|Тольятти</x:v>
      </x:c>
      <x:c r="N405" s="1" t="n">
        <x:f>COUNTIFS('Лист2'!$F$2:$F$505,M405)</x:f>
        <x:v>1</x:v>
      </x:c>
      <x:c r="O405" s="1"/>
      <x:c r="P405" s="1"/>
      <x:c r="Q405" s="1"/>
    </x:row>
    <x:row r="406" ht="21" customHeight="1">
      <x:c r="A406" s="5" t="n">
        <x:f>'Лист1'!A406</x:f>
        <x:v>43977</x:v>
      </x:c>
      <x:c r="B406" s="1" t="str">
        <x:f>'Лист1'!B406</x:f>
        <x:v>Тюмень</x:v>
      </x:c>
      <x:c r="C406" s="1" t="n">
        <x:f>'Лист1'!C406</x:f>
        <x:v>10437</x:v>
      </x:c>
      <x:c r="D406" s="6" t="n">
        <x:f>'Лист1'!D406</x:f>
        <x:v>833815.5</x:v>
      </x:c>
      <x:c r="E406" s="6" t="n">
        <x:f>'Лист1'!E406</x:f>
        <x:v>737888.3659999999</x:v>
      </x:c>
      <x:c r="F406" s="6" t="n">
        <x:f>'Лист1'!F406</x:f>
        <x:v>39424.85384615384</x:v>
      </x:c>
      <x:c r="G406" s="1" t="n">
        <x:f>IF(N406=1,SUMIFS('Лист2'!$C$2:$C$505,'Лист2'!$A$2:$A$505,A406,'Лист2'!$B$2:$B$505,B406),NA())</x:f>
        <x:v>7</x:v>
      </x:c>
      <x:c r="H406" s="1" t="n">
        <x:f>IF(N406=1,SUMIFS('Лист2'!$D$2:$D$505,'Лист2'!$A$2:$A$505,A406,'Лист2'!$B$2:$B$505,B406),NA())</x:f>
        <x:v>577</x:v>
      </x:c>
      <x:c r="I406" s="1" t="n">
        <x:f>IF(N406=1,SUMIFS('Лист2'!$E$2:$E$505,'Лист2'!$A$2:$A$505,A406,'Лист2'!$B$2:$B$505,B406),NA())</x:f>
        <x:v>389</x:v>
      </x:c>
      <x:c r="J406" s="5" t="n">
        <x:f>A406-WEEKDAY(A406,2)+1</x:f>
        <x:v>43976</x:v>
      </x:c>
      <x:c r="K406" s="1" t="n">
        <x:f>YEAR(J406+3)</x:f>
        <x:v>2020</x:v>
      </x:c>
      <x:c r="L406" s="1" t="n">
        <x:f>INT((J406-DATE(K406,1,4)+WEEKDAY(DATE(K406,1,4),2)-1)/7)+1</x:f>
        <x:v>22</x:v>
      </x:c>
      <x:c r="M406" s="1" t="str">
        <x:f>A406&amp;"|"&amp;B406</x:f>
        <x:v>43977|Тюмень</x:v>
      </x:c>
      <x:c r="N406" s="1" t="n">
        <x:f>COUNTIFS('Лист2'!$F$2:$F$505,M406)</x:f>
        <x:v>1</x:v>
      </x:c>
      <x:c r="O406" s="1"/>
      <x:c r="P406" s="1"/>
      <x:c r="Q406" s="1"/>
    </x:row>
    <x:row r="407" ht="21" customHeight="1">
      <x:c r="A407" s="5" t="n">
        <x:f>'Лист1'!A407</x:f>
        <x:v>43978</x:v>
      </x:c>
      <x:c r="B407" s="1" t="str">
        <x:f>'Лист1'!B407</x:f>
        <x:v>Волгоград</x:v>
      </x:c>
      <x:c r="C407" s="1" t="n">
        <x:f>'Лист1'!C407</x:f>
        <x:v>69010.5</x:v>
      </x:c>
      <x:c r="D407" s="6" t="n">
        <x:f>'Лист1'!D407</x:f>
        <x:v>5985894</x:v>
      </x:c>
      <x:c r="E407" s="6" t="n">
        <x:f>'Лист1'!E407</x:f>
        <x:v>4624968.49</x:v>
      </x:c>
      <x:c r="F407" s="6" t="n">
        <x:f>'Лист1'!F407</x:f>
        <x:v>168769.33384615384</x:v>
      </x:c>
      <x:c r="G407" s="1" t="n">
        <x:f>IF(N407=1,SUMIFS('Лист2'!$C$2:$C$505,'Лист2'!$A$2:$A$505,A407,'Лист2'!$B$2:$B$505,B407),NA())</x:f>
        <x:v>36</x:v>
      </x:c>
      <x:c r="H407" s="1" t="n">
        <x:f>IF(N407=1,SUMIFS('Лист2'!$D$2:$D$505,'Лист2'!$A$2:$A$505,A407,'Лист2'!$B$2:$B$505,B407),NA())</x:f>
        <x:v>4951</x:v>
      </x:c>
      <x:c r="I407" s="1" t="n">
        <x:f>IF(N407=1,SUMIFS('Лист2'!$E$2:$E$505,'Лист2'!$A$2:$A$505,A407,'Лист2'!$B$2:$B$505,B407),NA())</x:f>
        <x:v>4584</x:v>
      </x:c>
      <x:c r="J407" s="5" t="n">
        <x:f>A407-WEEKDAY(A407,2)+1</x:f>
        <x:v>43976</x:v>
      </x:c>
      <x:c r="K407" s="1" t="n">
        <x:f>YEAR(J407+3)</x:f>
        <x:v>2020</x:v>
      </x:c>
      <x:c r="L407" s="1" t="n">
        <x:f>INT((J407-DATE(K407,1,4)+WEEKDAY(DATE(K407,1,4),2)-1)/7)+1</x:f>
        <x:v>22</x:v>
      </x:c>
      <x:c r="M407" s="1" t="str">
        <x:f>A407&amp;"|"&amp;B407</x:f>
        <x:v>43978|Волгоград</x:v>
      </x:c>
      <x:c r="N407" s="1" t="n">
        <x:f>COUNTIFS('Лист2'!$F$2:$F$505,M407)</x:f>
        <x:v>1</x:v>
      </x:c>
      <x:c r="O407" s="1"/>
      <x:c r="P407" s="1"/>
      <x:c r="Q407" s="1"/>
    </x:row>
    <x:row r="408" ht="21" customHeight="1">
      <x:c r="A408" s="5" t="n">
        <x:f>'Лист1'!A408</x:f>
        <x:v>43978</x:v>
      </x:c>
      <x:c r="B408" s="1" t="str">
        <x:f>'Лист1'!B408</x:f>
        <x:v>Екатеринбург</x:v>
      </x:c>
      <x:c r="C408" s="1" t="n">
        <x:f>'Лист1'!C408</x:f>
        <x:v>78544.5</x:v>
      </x:c>
      <x:c r="D408" s="6" t="n">
        <x:f>'Лист1'!D408</x:f>
        <x:v>6701083.5</x:v>
      </x:c>
      <x:c r="E408" s="6" t="n">
        <x:f>'Лист1'!E408</x:f>
        <x:v>5109499.617</x:v>
      </x:c>
      <x:c r="F408" s="6" t="n">
        <x:f>'Лист1'!F408</x:f>
        <x:v>76226.26923076922</x:v>
      </x:c>
      <x:c r="G408" s="1" t="n">
        <x:f>IF(N408=1,SUMIFS('Лист2'!$C$2:$C$505,'Лист2'!$A$2:$A$505,A408,'Лист2'!$B$2:$B$505,B408),NA())</x:f>
        <x:v>31</x:v>
      </x:c>
      <x:c r="H408" s="1" t="n">
        <x:f>IF(N408=1,SUMIFS('Лист2'!$D$2:$D$505,'Лист2'!$A$2:$A$505,A408,'Лист2'!$B$2:$B$505,B408),NA())</x:f>
        <x:v>5330</x:v>
      </x:c>
      <x:c r="I408" s="1" t="n">
        <x:f>IF(N408=1,SUMIFS('Лист2'!$E$2:$E$505,'Лист2'!$A$2:$A$505,A408,'Лист2'!$B$2:$B$505,B408),NA())</x:f>
        <x:v>4977</x:v>
      </x:c>
      <x:c r="J408" s="5" t="n">
        <x:f>A408-WEEKDAY(A408,2)+1</x:f>
        <x:v>43976</x:v>
      </x:c>
      <x:c r="K408" s="1" t="n">
        <x:f>YEAR(J408+3)</x:f>
        <x:v>2020</x:v>
      </x:c>
      <x:c r="L408" s="1" t="n">
        <x:f>INT((J408-DATE(K408,1,4)+WEEKDAY(DATE(K408,1,4),2)-1)/7)+1</x:f>
        <x:v>22</x:v>
      </x:c>
      <x:c r="M408" s="1" t="str">
        <x:f>A408&amp;"|"&amp;B408</x:f>
        <x:v>43978|Екатеринбург</x:v>
      </x:c>
      <x:c r="N408" s="1" t="n">
        <x:f>COUNTIFS('Лист2'!$F$2:$F$505,M408)</x:f>
        <x:v>1</x:v>
      </x:c>
      <x:c r="O408" s="1"/>
      <x:c r="P408" s="1"/>
      <x:c r="Q408" s="1"/>
    </x:row>
    <x:row r="409" ht="21" customHeight="1">
      <x:c r="A409" s="5" t="n">
        <x:f>'Лист1'!A409</x:f>
        <x:v>43978</x:v>
      </x:c>
      <x:c r="B409" s="1" t="str">
        <x:f>'Лист1'!B409</x:f>
        <x:v>Казань</x:v>
      </x:c>
      <x:c r="C409" s="1" t="n">
        <x:f>'Лист1'!C409</x:f>
        <x:v>40420.5</x:v>
      </x:c>
      <x:c r="D409" s="6" t="n">
        <x:f>'Лист1'!D409</x:f>
        <x:v>3780852</x:v>
      </x:c>
      <x:c r="E409" s="6" t="n">
        <x:f>'Лист1'!E409</x:f>
        <x:v>2893288.4459999995</x:v>
      </x:c>
      <x:c r="F409" s="6" t="n">
        <x:f>'Лист1'!F409</x:f>
        <x:v>291528.45785384614</x:v>
      </x:c>
      <x:c r="G409" s="1" t="n">
        <x:f>IF(N409=1,SUMIFS('Лист2'!$C$2:$C$505,'Лист2'!$A$2:$A$505,A409,'Лист2'!$B$2:$B$505,B409),NA())</x:f>
        <x:v>21</x:v>
      </x:c>
      <x:c r="H409" s="1" t="n">
        <x:f>IF(N409=1,SUMIFS('Лист2'!$D$2:$D$505,'Лист2'!$A$2:$A$505,A409,'Лист2'!$B$2:$B$505,B409),NA())</x:f>
        <x:v>2430</x:v>
      </x:c>
      <x:c r="I409" s="1" t="n">
        <x:f>IF(N409=1,SUMIFS('Лист2'!$E$2:$E$505,'Лист2'!$A$2:$A$505,A409,'Лист2'!$B$2:$B$505,B409),NA())</x:f>
        <x:v>2216</x:v>
      </x:c>
      <x:c r="J409" s="5" t="n">
        <x:f>A409-WEEKDAY(A409,2)+1</x:f>
        <x:v>43976</x:v>
      </x:c>
      <x:c r="K409" s="1" t="n">
        <x:f>YEAR(J409+3)</x:f>
        <x:v>2020</x:v>
      </x:c>
      <x:c r="L409" s="1" t="n">
        <x:f>INT((J409-DATE(K409,1,4)+WEEKDAY(DATE(K409,1,4),2)-1)/7)+1</x:f>
        <x:v>22</x:v>
      </x:c>
      <x:c r="M409" s="1" t="str">
        <x:f>A409&amp;"|"&amp;B409</x:f>
        <x:v>43978|Казань</x:v>
      </x:c>
      <x:c r="N409" s="1" t="n">
        <x:f>COUNTIFS('Лист2'!$F$2:$F$505,M409)</x:f>
        <x:v>1</x:v>
      </x:c>
      <x:c r="O409" s="1"/>
      <x:c r="P409" s="1"/>
      <x:c r="Q409" s="1"/>
    </x:row>
    <x:row r="410" ht="21" customHeight="1">
      <x:c r="A410" s="5" t="n">
        <x:f>'Лист1'!A410</x:f>
        <x:v>43978</x:v>
      </x:c>
      <x:c r="B410" s="1" t="str">
        <x:f>'Лист1'!B410</x:f>
        <x:v>Кемерово</x:v>
      </x:c>
      <x:c r="C410" s="1" t="n">
        <x:f>'Лист1'!C410</x:f>
        <x:v>32817</x:v>
      </x:c>
      <x:c r="D410" s="6" t="n">
        <x:f>'Лист1'!D410</x:f>
        <x:v>3015751.5</x:v>
      </x:c>
      <x:c r="E410" s="6" t="n">
        <x:f>'Лист1'!E410</x:f>
        <x:v>2415980.772</x:v>
      </x:c>
      <x:c r="F410" s="6" t="n">
        <x:f>'Лист1'!F410</x:f>
        <x:v>346048.63569230767</x:v>
      </x:c>
      <x:c r="G410" s="1" t="n">
        <x:f>IF(N410=1,SUMIFS('Лист2'!$C$2:$C$505,'Лист2'!$A$2:$A$505,A410,'Лист2'!$B$2:$B$505,B410),NA())</x:f>
        <x:v>20</x:v>
      </x:c>
      <x:c r="H410" s="1" t="n">
        <x:f>IF(N410=1,SUMIFS('Лист2'!$D$2:$D$505,'Лист2'!$A$2:$A$505,A410,'Лист2'!$B$2:$B$505,B410),NA())</x:f>
        <x:v>2079</x:v>
      </x:c>
      <x:c r="I410" s="1" t="n">
        <x:f>IF(N410=1,SUMIFS('Лист2'!$E$2:$E$505,'Лист2'!$A$2:$A$505,A410,'Лист2'!$B$2:$B$505,B410),NA())</x:f>
        <x:v>1893</x:v>
      </x:c>
      <x:c r="J410" s="5" t="n">
        <x:f>A410-WEEKDAY(A410,2)+1</x:f>
        <x:v>43976</x:v>
      </x:c>
      <x:c r="K410" s="1" t="n">
        <x:f>YEAR(J410+3)</x:f>
        <x:v>2020</x:v>
      </x:c>
      <x:c r="L410" s="1" t="n">
        <x:f>INT((J410-DATE(K410,1,4)+WEEKDAY(DATE(K410,1,4),2)-1)/7)+1</x:f>
        <x:v>22</x:v>
      </x:c>
      <x:c r="M410" s="1" t="str">
        <x:f>A410&amp;"|"&amp;B410</x:f>
        <x:v>43978|Кемерово</x:v>
      </x:c>
      <x:c r="N410" s="1" t="n">
        <x:f>COUNTIFS('Лист2'!$F$2:$F$505,M410)</x:f>
        <x:v>1</x:v>
      </x:c>
      <x:c r="O410" s="1"/>
      <x:c r="P410" s="1"/>
      <x:c r="Q410" s="1"/>
    </x:row>
    <x:row r="411" ht="21" customHeight="1">
      <x:c r="A411" s="5" t="n">
        <x:f>'Лист1'!A411</x:f>
        <x:v>43978</x:v>
      </x:c>
      <x:c r="B411" s="1" t="str">
        <x:f>'Лист1'!B411</x:f>
        <x:v>Краснодар</x:v>
      </x:c>
      <x:c r="C411" s="1" t="n">
        <x:f>'Лист1'!C411</x:f>
        <x:v>28050</x:v>
      </x:c>
      <x:c r="D411" s="6" t="n">
        <x:f>'Лист1'!D411</x:f>
        <x:v>2458555.5</x:v>
      </x:c>
      <x:c r="E411" s="6" t="n">
        <x:f>'Лист1'!E411</x:f>
        <x:v>1979227.4479999999</x:v>
      </x:c>
      <x:c r="F411" s="6" t="n">
        <x:f>'Лист1'!F411</x:f>
        <x:v>122940.53466153846</x:v>
      </x:c>
      <x:c r="G411" s="1" t="n">
        <x:f>IF(N411=1,SUMIFS('Лист2'!$C$2:$C$505,'Лист2'!$A$2:$A$505,A411,'Лист2'!$B$2:$B$505,B411),NA())</x:f>
        <x:v>20</x:v>
      </x:c>
      <x:c r="H411" s="1" t="n">
        <x:f>IF(N411=1,SUMIFS('Лист2'!$D$2:$D$505,'Лист2'!$A$2:$A$505,A411,'Лист2'!$B$2:$B$505,B411),NA())</x:f>
        <x:v>1873</x:v>
      </x:c>
      <x:c r="I411" s="1" t="n">
        <x:f>IF(N411=1,SUMIFS('Лист2'!$E$2:$E$505,'Лист2'!$A$2:$A$505,A411,'Лист2'!$B$2:$B$505,B411),NA())</x:f>
        <x:v>1715</x:v>
      </x:c>
      <x:c r="J411" s="5" t="n">
        <x:f>A411-WEEKDAY(A411,2)+1</x:f>
        <x:v>43976</x:v>
      </x:c>
      <x:c r="K411" s="1" t="n">
        <x:f>YEAR(J411+3)</x:f>
        <x:v>2020</x:v>
      </x:c>
      <x:c r="L411" s="1" t="n">
        <x:f>INT((J411-DATE(K411,1,4)+WEEKDAY(DATE(K411,1,4),2)-1)/7)+1</x:f>
        <x:v>22</x:v>
      </x:c>
      <x:c r="M411" s="1" t="str">
        <x:f>A411&amp;"|"&amp;B411</x:f>
        <x:v>43978|Краснодар</x:v>
      </x:c>
      <x:c r="N411" s="1" t="n">
        <x:f>COUNTIFS('Лист2'!$F$2:$F$505,M411)</x:f>
        <x:v>1</x:v>
      </x:c>
      <x:c r="O411" s="1"/>
      <x:c r="P411" s="1"/>
      <x:c r="Q411" s="1"/>
    </x:row>
    <x:row r="412" ht="21" customHeight="1">
      <x:c r="A412" s="5" t="n">
        <x:f>'Лист1'!A412</x:f>
        <x:v>43978</x:v>
      </x:c>
      <x:c r="B412" s="1" t="str">
        <x:f>'Лист1'!B412</x:f>
        <x:v>Москва Восток</x:v>
      </x:c>
      <x:c r="C412" s="1" t="n">
        <x:f>'Лист1'!C412</x:f>
        <x:v>203532</x:v>
      </x:c>
      <x:c r="D412" s="6" t="n">
        <x:f>'Лист1'!D412</x:f>
        <x:v>20953324.5</x:v>
      </x:c>
      <x:c r="E412" s="6" t="n">
        <x:f>'Лист1'!E412</x:f>
        <x:v>15301120.521000002</x:v>
      </x:c>
      <x:c r="F412" s="6" t="n">
        <x:f>'Лист1'!F412</x:f>
        <x:v>356339.00384615385</x:v>
      </x:c>
      <x:c r="G412" s="1" t="n">
        <x:f>IF(N412=1,SUMIFS('Лист2'!$C$2:$C$505,'Лист2'!$A$2:$A$505,A412,'Лист2'!$B$2:$B$505,B412),NA())</x:f>
        <x:v>54</x:v>
      </x:c>
      <x:c r="H412" s="1" t="n">
        <x:f>IF(N412=1,SUMIFS('Лист2'!$D$2:$D$505,'Лист2'!$A$2:$A$505,A412,'Лист2'!$B$2:$B$505,B412),NA())</x:f>
        <x:v>13091</x:v>
      </x:c>
      <x:c r="I412" s="1" t="n">
        <x:f>IF(N412=1,SUMIFS('Лист2'!$E$2:$E$505,'Лист2'!$A$2:$A$505,A412,'Лист2'!$B$2:$B$505,B412),NA())</x:f>
        <x:v>12216</x:v>
      </x:c>
      <x:c r="J412" s="5" t="n">
        <x:f>A412-WEEKDAY(A412,2)+1</x:f>
        <x:v>43976</x:v>
      </x:c>
      <x:c r="K412" s="1" t="n">
        <x:f>YEAR(J412+3)</x:f>
        <x:v>2020</x:v>
      </x:c>
      <x:c r="L412" s="1" t="n">
        <x:f>INT((J412-DATE(K412,1,4)+WEEKDAY(DATE(K412,1,4),2)-1)/7)+1</x:f>
        <x:v>22</x:v>
      </x:c>
      <x:c r="M412" s="1" t="str">
        <x:f>A412&amp;"|"&amp;B412</x:f>
        <x:v>43978|Москва Восток</x:v>
      </x:c>
      <x:c r="N412" s="1" t="n">
        <x:f>COUNTIFS('Лист2'!$F$2:$F$505,M412)</x:f>
        <x:v>1</x:v>
      </x:c>
      <x:c r="O412" s="1"/>
      <x:c r="P412" s="1"/>
      <x:c r="Q412" s="1"/>
    </x:row>
    <x:row r="413" ht="21" customHeight="1">
      <x:c r="A413" s="5" t="n">
        <x:f>'Лист1'!A413</x:f>
        <x:v>43978</x:v>
      </x:c>
      <x:c r="B413" s="1" t="str">
        <x:f>'Лист1'!B413</x:f>
        <x:v>Москва Запад</x:v>
      </x:c>
      <x:c r="C413" s="1" t="n">
        <x:f>'Лист1'!C413</x:f>
        <x:v>215592</x:v>
      </x:c>
      <x:c r="D413" s="6" t="n">
        <x:f>'Лист1'!D413</x:f>
        <x:v>22342300.5</x:v>
      </x:c>
      <x:c r="E413" s="6" t="n">
        <x:f>'Лист1'!E413</x:f>
        <x:v>16240834.603999998</x:v>
      </x:c>
      <x:c r="F413" s="6" t="n">
        <x:f>'Лист1'!F413</x:f>
        <x:v>285591.72307692305</x:v>
      </x:c>
      <x:c r="G413" s="1" t="n">
        <x:f>IF(N413=1,SUMIFS('Лист2'!$C$2:$C$505,'Лист2'!$A$2:$A$505,A413,'Лист2'!$B$2:$B$505,B413),NA())</x:f>
        <x:v>59</x:v>
      </x:c>
      <x:c r="H413" s="1" t="n">
        <x:f>IF(N413=1,SUMIFS('Лист2'!$D$2:$D$505,'Лист2'!$A$2:$A$505,A413,'Лист2'!$B$2:$B$505,B413),NA())</x:f>
        <x:v>13942</x:v>
      </x:c>
      <x:c r="I413" s="1" t="n">
        <x:f>IF(N413=1,SUMIFS('Лист2'!$E$2:$E$505,'Лист2'!$A$2:$A$505,A413,'Лист2'!$B$2:$B$505,B413),NA())</x:f>
        <x:v>12986</x:v>
      </x:c>
      <x:c r="J413" s="5" t="n">
        <x:f>A413-WEEKDAY(A413,2)+1</x:f>
        <x:v>43976</x:v>
      </x:c>
      <x:c r="K413" s="1" t="n">
        <x:f>YEAR(J413+3)</x:f>
        <x:v>2020</x:v>
      </x:c>
      <x:c r="L413" s="1" t="n">
        <x:f>INT((J413-DATE(K413,1,4)+WEEKDAY(DATE(K413,1,4),2)-1)/7)+1</x:f>
        <x:v>22</x:v>
      </x:c>
      <x:c r="M413" s="1" t="str">
        <x:f>A413&amp;"|"&amp;B413</x:f>
        <x:v>43978|Москва Запад</x:v>
      </x:c>
      <x:c r="N413" s="1" t="n">
        <x:f>COUNTIFS('Лист2'!$F$2:$F$505,M413)</x:f>
        <x:v>1</x:v>
      </x:c>
      <x:c r="O413" s="1"/>
      <x:c r="P413" s="1"/>
      <x:c r="Q413" s="1"/>
    </x:row>
    <x:row r="414" ht="21" customHeight="1">
      <x:c r="A414" s="5" t="n">
        <x:f>'Лист1'!A414</x:f>
        <x:v>43978</x:v>
      </x:c>
      <x:c r="B414" s="1" t="str">
        <x:f>'Лист1'!B414</x:f>
        <x:v>Нижний Новгород</x:v>
      </x:c>
      <x:c r="C414" s="1" t="n">
        <x:f>'Лист1'!C414</x:f>
        <x:v>31257</x:v>
      </x:c>
      <x:c r="D414" s="6" t="n">
        <x:f>'Лист1'!D414</x:f>
        <x:v>2924133</x:v>
      </x:c>
      <x:c r="E414" s="6" t="n">
        <x:f>'Лист1'!E414</x:f>
        <x:v>2311405.017</x:v>
      </x:c>
      <x:c r="F414" s="6" t="n">
        <x:f>'Лист1'!F414</x:f>
        <x:v>148582.33846153846</x:v>
      </x:c>
      <x:c r="G414" s="1" t="n">
        <x:f>IF(N414=1,SUMIFS('Лист2'!$C$2:$C$505,'Лист2'!$A$2:$A$505,A414,'Лист2'!$B$2:$B$505,B414),NA())</x:f>
        <x:v>20</x:v>
      </x:c>
      <x:c r="H414" s="1" t="n">
        <x:f>IF(N414=1,SUMIFS('Лист2'!$D$2:$D$505,'Лист2'!$A$2:$A$505,A414,'Лист2'!$B$2:$B$505,B414),NA())</x:f>
        <x:v>2079</x:v>
      </x:c>
      <x:c r="I414" s="1" t="n">
        <x:f>IF(N414=1,SUMIFS('Лист2'!$E$2:$E$505,'Лист2'!$A$2:$A$505,A414,'Лист2'!$B$2:$B$505,B414),NA())</x:f>
        <x:v>1856</x:v>
      </x:c>
      <x:c r="J414" s="5" t="n">
        <x:f>A414-WEEKDAY(A414,2)+1</x:f>
        <x:v>43976</x:v>
      </x:c>
      <x:c r="K414" s="1" t="n">
        <x:f>YEAR(J414+3)</x:f>
        <x:v>2020</x:v>
      </x:c>
      <x:c r="L414" s="1" t="n">
        <x:f>INT((J414-DATE(K414,1,4)+WEEKDAY(DATE(K414,1,4),2)-1)/7)+1</x:f>
        <x:v>22</x:v>
      </x:c>
      <x:c r="M414" s="1" t="str">
        <x:f>A414&amp;"|"&amp;B414</x:f>
        <x:v>43978|Нижний Новгород</x:v>
      </x:c>
      <x:c r="N414" s="1" t="n">
        <x:f>COUNTIFS('Лист2'!$F$2:$F$505,M414)</x:f>
        <x:v>1</x:v>
      </x:c>
      <x:c r="O414" s="1"/>
      <x:c r="P414" s="1"/>
      <x:c r="Q414" s="1"/>
    </x:row>
    <x:row r="415" ht="21" customHeight="1">
      <x:c r="A415" s="5" t="n">
        <x:f>'Лист1'!A415</x:f>
        <x:v>43978</x:v>
      </x:c>
      <x:c r="B415" s="1" t="str">
        <x:f>'Лист1'!B415</x:f>
        <x:v>Новосибирск</x:v>
      </x:c>
      <x:c r="C415" s="1" t="n">
        <x:f>'Лист1'!C415</x:f>
        <x:v>15276</x:v>
      </x:c>
      <x:c r="D415" s="6" t="n">
        <x:f>'Лист1'!D415</x:f>
        <x:v>1350199.5</x:v>
      </x:c>
      <x:c r="E415" s="6" t="n">
        <x:f>'Лист1'!E415</x:f>
        <x:v>1100106.21</x:v>
      </x:c>
      <x:c r="F415" s="6" t="n">
        <x:f>'Лист1'!F415</x:f>
        <x:v>107692.85196923077</x:v>
      </x:c>
      <x:c r="G415" s="1" t="n">
        <x:f>IF(N415=1,SUMIFS('Лист2'!$C$2:$C$505,'Лист2'!$A$2:$A$505,A415,'Лист2'!$B$2:$B$505,B415),NA())</x:f>
        <x:v>18</x:v>
      </x:c>
      <x:c r="H415" s="1" t="n">
        <x:f>IF(N415=1,SUMIFS('Лист2'!$D$2:$D$505,'Лист2'!$A$2:$A$505,A415,'Лист2'!$B$2:$B$505,B415),NA())</x:f>
        <x:v>962</x:v>
      </x:c>
      <x:c r="I415" s="1" t="n">
        <x:f>IF(N415=1,SUMIFS('Лист2'!$E$2:$E$505,'Лист2'!$A$2:$A$505,A415,'Лист2'!$B$2:$B$505,B415),NA())</x:f>
        <x:v>859</x:v>
      </x:c>
      <x:c r="J415" s="5" t="n">
        <x:f>A415-WEEKDAY(A415,2)+1</x:f>
        <x:v>43976</x:v>
      </x:c>
      <x:c r="K415" s="1" t="n">
        <x:f>YEAR(J415+3)</x:f>
        <x:v>2020</x:v>
      </x:c>
      <x:c r="L415" s="1" t="n">
        <x:f>INT((J415-DATE(K415,1,4)+WEEKDAY(DATE(K415,1,4),2)-1)/7)+1</x:f>
        <x:v>22</x:v>
      </x:c>
      <x:c r="M415" s="1" t="str">
        <x:f>A415&amp;"|"&amp;B415</x:f>
        <x:v>43978|Новосибирск</x:v>
      </x:c>
      <x:c r="N415" s="1" t="n">
        <x:f>COUNTIFS('Лист2'!$F$2:$F$505,M415)</x:f>
        <x:v>1</x:v>
      </x:c>
      <x:c r="O415" s="1"/>
      <x:c r="P415" s="1"/>
      <x:c r="Q415" s="1"/>
    </x:row>
    <x:row r="416" ht="21" customHeight="1">
      <x:c r="A416" s="5" t="n">
        <x:f>'Лист1'!A416</x:f>
        <x:v>43978</x:v>
      </x:c>
      <x:c r="B416" s="1" t="str">
        <x:f>'Лист1'!B416</x:f>
        <x:v>Пермь</x:v>
      </x:c>
      <x:c r="C416" s="1" t="n">
        <x:f>'Лист1'!C416</x:f>
        <x:v>18069</x:v>
      </x:c>
      <x:c r="D416" s="6" t="n">
        <x:f>'Лист1'!D416</x:f>
        <x:v>1603084.5</x:v>
      </x:c>
      <x:c r="E416" s="6" t="n">
        <x:f>'Лист1'!E416</x:f>
        <x:v>1312709.009</x:v>
      </x:c>
      <x:c r="F416" s="6" t="n">
        <x:f>'Лист1'!F416</x:f>
        <x:v>241760.2076923077</x:v>
      </x:c>
      <x:c r="G416" s="1" t="n">
        <x:f>IF(N416=1,SUMIFS('Лист2'!$C$2:$C$505,'Лист2'!$A$2:$A$505,A416,'Лист2'!$B$2:$B$505,B416),NA())</x:f>
        <x:v>17</x:v>
      </x:c>
      <x:c r="H416" s="1" t="n">
        <x:f>IF(N416=1,SUMIFS('Лист2'!$D$2:$D$505,'Лист2'!$A$2:$A$505,A416,'Лист2'!$B$2:$B$505,B416),NA())</x:f>
        <x:v>1203</x:v>
      </x:c>
      <x:c r="I416" s="1" t="n">
        <x:f>IF(N416=1,SUMIFS('Лист2'!$E$2:$E$505,'Лист2'!$A$2:$A$505,A416,'Лист2'!$B$2:$B$505,B416),NA())</x:f>
        <x:v>1077</x:v>
      </x:c>
      <x:c r="J416" s="5" t="n">
        <x:f>A416-WEEKDAY(A416,2)+1</x:f>
        <x:v>43976</x:v>
      </x:c>
      <x:c r="K416" s="1" t="n">
        <x:f>YEAR(J416+3)</x:f>
        <x:v>2020</x:v>
      </x:c>
      <x:c r="L416" s="1" t="n">
        <x:f>INT((J416-DATE(K416,1,4)+WEEKDAY(DATE(K416,1,4),2)-1)/7)+1</x:f>
        <x:v>22</x:v>
      </x:c>
      <x:c r="M416" s="1" t="str">
        <x:f>A416&amp;"|"&amp;B416</x:f>
        <x:v>43978|Пермь</x:v>
      </x:c>
      <x:c r="N416" s="1" t="n">
        <x:f>COUNTIFS('Лист2'!$F$2:$F$505,M416)</x:f>
        <x:v>1</x:v>
      </x:c>
      <x:c r="O416" s="1"/>
      <x:c r="P416" s="1"/>
      <x:c r="Q416" s="1"/>
    </x:row>
    <x:row r="417" ht="21" customHeight="1">
      <x:c r="A417" s="5" t="n">
        <x:f>'Лист1'!A417</x:f>
        <x:v>43978</x:v>
      </x:c>
      <x:c r="B417" s="1" t="str">
        <x:f>'Лист1'!B417</x:f>
        <x:v>Ростов-на-Дону</x:v>
      </x:c>
      <x:c r="C417" s="1" t="n">
        <x:f>'Лист1'!C417</x:f>
        <x:v>13203</x:v>
      </x:c>
      <x:c r="D417" s="6" t="n">
        <x:f>'Лист1'!D417</x:f>
        <x:v>1211457</x:v>
      </x:c>
      <x:c r="E417" s="6" t="n">
        <x:f>'Лист1'!E417</x:f>
        <x:v>964554.2109999999</x:v>
      </x:c>
      <x:c r="F417" s="6" t="n">
        <x:f>'Лист1'!F417</x:f>
        <x:v>156117.80846153846</x:v>
      </x:c>
      <x:c r="G417" s="1" t="n">
        <x:f>IF(N417=1,SUMIFS('Лист2'!$C$2:$C$505,'Лист2'!$A$2:$A$505,A417,'Лист2'!$B$2:$B$505,B417),NA())</x:f>
        <x:v>15</x:v>
      </x:c>
      <x:c r="H417" s="1" t="n">
        <x:f>IF(N417=1,SUMIFS('Лист2'!$D$2:$D$505,'Лист2'!$A$2:$A$505,A417,'Лист2'!$B$2:$B$505,B417),NA())</x:f>
        <x:v>809</x:v>
      </x:c>
      <x:c r="I417" s="1" t="n">
        <x:f>IF(N417=1,SUMIFS('Лист2'!$E$2:$E$505,'Лист2'!$A$2:$A$505,A417,'Лист2'!$B$2:$B$505,B417),NA())</x:f>
        <x:v>702</x:v>
      </x:c>
      <x:c r="J417" s="5" t="n">
        <x:f>A417-WEEKDAY(A417,2)+1</x:f>
        <x:v>43976</x:v>
      </x:c>
      <x:c r="K417" s="1" t="n">
        <x:f>YEAR(J417+3)</x:f>
        <x:v>2020</x:v>
      </x:c>
      <x:c r="L417" s="1" t="n">
        <x:f>INT((J417-DATE(K417,1,4)+WEEKDAY(DATE(K417,1,4),2)-1)/7)+1</x:f>
        <x:v>22</x:v>
      </x:c>
      <x:c r="M417" s="1" t="str">
        <x:f>A417&amp;"|"&amp;B417</x:f>
        <x:v>43978|Ростов-на-Дону</x:v>
      </x:c>
      <x:c r="N417" s="1" t="n">
        <x:f>COUNTIFS('Лист2'!$F$2:$F$505,M417)</x:f>
        <x:v>1</x:v>
      </x:c>
      <x:c r="O417" s="1"/>
      <x:c r="P417" s="1"/>
      <x:c r="Q417" s="1"/>
    </x:row>
    <x:row r="418" ht="21" customHeight="1">
      <x:c r="A418" s="5" t="n">
        <x:f>'Лист1'!A418</x:f>
        <x:v>43978</x:v>
      </x:c>
      <x:c r="B418" s="1" t="str">
        <x:f>'Лист1'!B418</x:f>
        <x:v>Санкт-Петербург Север</x:v>
      </x:c>
      <x:c r="C418" s="1" t="n">
        <x:f>'Лист1'!C418</x:f>
        <x:v>370012.5</x:v>
      </x:c>
      <x:c r="D418" s="6" t="n">
        <x:f>'Лист1'!D418</x:f>
        <x:v>39034861.5</x:v>
      </x:c>
      <x:c r="E418" s="6" t="n">
        <x:f>'Лист1'!E418</x:f>
        <x:v>28040467.216000002</x:v>
      </x:c>
      <x:c r="F418" s="6" t="n">
        <x:f>'Лист1'!F418</x:f>
        <x:v>681486.5666461538</x:v>
      </x:c>
      <x:c r="G418" s="1" t="n">
        <x:f>IF(N418=1,SUMIFS('Лист2'!$C$2:$C$505,'Лист2'!$A$2:$A$505,A418,'Лист2'!$B$2:$B$505,B418),NA())</x:f>
        <x:v>124</x:v>
      </x:c>
      <x:c r="H418" s="1" t="n">
        <x:f>IF(N418=1,SUMIFS('Лист2'!$D$2:$D$505,'Лист2'!$A$2:$A$505,A418,'Лист2'!$B$2:$B$505,B418),NA())</x:f>
        <x:v>21384</x:v>
      </x:c>
      <x:c r="I418" s="1" t="n">
        <x:f>IF(N418=1,SUMIFS('Лист2'!$E$2:$E$505,'Лист2'!$A$2:$A$505,A418,'Лист2'!$B$2:$B$505,B418),NA())</x:f>
        <x:v>19897</x:v>
      </x:c>
      <x:c r="J418" s="5" t="n">
        <x:f>A418-WEEKDAY(A418,2)+1</x:f>
        <x:v>43976</x:v>
      </x:c>
      <x:c r="K418" s="1" t="n">
        <x:f>YEAR(J418+3)</x:f>
        <x:v>2020</x:v>
      </x:c>
      <x:c r="L418" s="1" t="n">
        <x:f>INT((J418-DATE(K418,1,4)+WEEKDAY(DATE(K418,1,4),2)-1)/7)+1</x:f>
        <x:v>22</x:v>
      </x:c>
      <x:c r="M418" s="1" t="str">
        <x:f>A418&amp;"|"&amp;B418</x:f>
        <x:v>43978|Санкт-Петербург Север</x:v>
      </x:c>
      <x:c r="N418" s="1" t="n">
        <x:f>COUNTIFS('Лист2'!$F$2:$F$505,M418)</x:f>
        <x:v>1</x:v>
      </x:c>
      <x:c r="O418" s="1"/>
      <x:c r="P418" s="1"/>
      <x:c r="Q418" s="1"/>
    </x:row>
    <x:row r="419" ht="21" customHeight="1">
      <x:c r="A419" s="5" t="n">
        <x:f>'Лист1'!A419</x:f>
        <x:v>43978</x:v>
      </x:c>
      <x:c r="B419" s="1" t="str">
        <x:f>'Лист1'!B419</x:f>
        <x:v>Санкт-Петербург Юг</x:v>
      </x:c>
      <x:c r="C419" s="1" t="n">
        <x:f>'Лист1'!C419</x:f>
        <x:v>286558.5</x:v>
      </x:c>
      <x:c r="D419" s="6" t="n">
        <x:f>'Лист1'!D419</x:f>
        <x:v>29256993</x:v>
      </x:c>
      <x:c r="E419" s="6" t="n">
        <x:f>'Лист1'!E419</x:f>
        <x:v>21169527.457000002</x:v>
      </x:c>
      <x:c r="F419" s="6" t="n">
        <x:f>'Лист1'!F419</x:f>
        <x:v>646741.2813</x:v>
      </x:c>
      <x:c r="G419" s="1" t="n">
        <x:f>IF(N419=1,SUMIFS('Лист2'!$C$2:$C$505,'Лист2'!$A$2:$A$505,A419,'Лист2'!$B$2:$B$505,B419),NA())</x:f>
        <x:v>129</x:v>
      </x:c>
      <x:c r="H419" s="1" t="n">
        <x:f>IF(N419=1,SUMIFS('Лист2'!$D$2:$D$505,'Лист2'!$A$2:$A$505,A419,'Лист2'!$B$2:$B$505,B419),NA())</x:f>
        <x:v>17115</x:v>
      </x:c>
      <x:c r="I419" s="1" t="n">
        <x:f>IF(N419=1,SUMIFS('Лист2'!$E$2:$E$505,'Лист2'!$A$2:$A$505,A419,'Лист2'!$B$2:$B$505,B419),NA())</x:f>
        <x:v>15962</x:v>
      </x:c>
      <x:c r="J419" s="5" t="n">
        <x:f>A419-WEEKDAY(A419,2)+1</x:f>
        <x:v>43976</x:v>
      </x:c>
      <x:c r="K419" s="1" t="n">
        <x:f>YEAR(J419+3)</x:f>
        <x:v>2020</x:v>
      </x:c>
      <x:c r="L419" s="1" t="n">
        <x:f>INT((J419-DATE(K419,1,4)+WEEKDAY(DATE(K419,1,4),2)-1)/7)+1</x:f>
        <x:v>22</x:v>
      </x:c>
      <x:c r="M419" s="1" t="str">
        <x:f>A419&amp;"|"&amp;B419</x:f>
        <x:v>43978|Санкт-Петербург Юг</x:v>
      </x:c>
      <x:c r="N419" s="1" t="n">
        <x:f>COUNTIFS('Лист2'!$F$2:$F$505,M419)</x:f>
        <x:v>1</x:v>
      </x:c>
      <x:c r="O419" s="1"/>
      <x:c r="P419" s="1"/>
      <x:c r="Q419" s="1"/>
    </x:row>
    <x:row r="420" ht="21" customHeight="1">
      <x:c r="A420" s="5" t="n">
        <x:f>'Лист1'!A420</x:f>
        <x:v>43978</x:v>
      </x:c>
      <x:c r="B420" s="1" t="str">
        <x:f>'Лист1'!B420</x:f>
        <x:v>Тольятти</x:v>
      </x:c>
      <x:c r="C420" s="1" t="n">
        <x:f>'Лист1'!C420</x:f>
        <x:v>12490.5</x:v>
      </x:c>
      <x:c r="D420" s="6" t="n">
        <x:f>'Лист1'!D420</x:f>
        <x:v>1054798.5</x:v>
      </x:c>
      <x:c r="E420" s="6" t="n">
        <x:f>'Лист1'!E420</x:f>
        <x:v>878389.065</x:v>
      </x:c>
      <x:c r="F420" s="6" t="n">
        <x:f>'Лист1'!F420</x:f>
        <x:v>67454.76536923076</x:v>
      </x:c>
      <x:c r="G420" s="1" t="n">
        <x:f>IF(N420=1,SUMIFS('Лист2'!$C$2:$C$505,'Лист2'!$A$2:$A$505,A420,'Лист2'!$B$2:$B$505,B420),NA())</x:f>
        <x:v>10</x:v>
      </x:c>
      <x:c r="H420" s="1" t="n">
        <x:f>IF(N420=1,SUMIFS('Лист2'!$D$2:$D$505,'Лист2'!$A$2:$A$505,A420,'Лист2'!$B$2:$B$505,B420),NA())</x:f>
        <x:v>757</x:v>
      </x:c>
      <x:c r="I420" s="1" t="n">
        <x:f>IF(N420=1,SUMIFS('Лист2'!$E$2:$E$505,'Лист2'!$A$2:$A$505,A420,'Лист2'!$B$2:$B$505,B420),NA())</x:f>
        <x:v>660</x:v>
      </x:c>
      <x:c r="J420" s="5" t="n">
        <x:f>A420-WEEKDAY(A420,2)+1</x:f>
        <x:v>43976</x:v>
      </x:c>
      <x:c r="K420" s="1" t="n">
        <x:f>YEAR(J420+3)</x:f>
        <x:v>2020</x:v>
      </x:c>
      <x:c r="L420" s="1" t="n">
        <x:f>INT((J420-DATE(K420,1,4)+WEEKDAY(DATE(K420,1,4),2)-1)/7)+1</x:f>
        <x:v>22</x:v>
      </x:c>
      <x:c r="M420" s="1" t="str">
        <x:f>A420&amp;"|"&amp;B420</x:f>
        <x:v>43978|Тольятти</x:v>
      </x:c>
      <x:c r="N420" s="1" t="n">
        <x:f>COUNTIFS('Лист2'!$F$2:$F$505,M420)</x:f>
        <x:v>1</x:v>
      </x:c>
      <x:c r="O420" s="1"/>
      <x:c r="P420" s="1"/>
      <x:c r="Q420" s="1"/>
    </x:row>
    <x:row r="421" ht="21" customHeight="1">
      <x:c r="A421" s="5" t="n">
        <x:f>'Лист1'!A421</x:f>
        <x:v>43978</x:v>
      </x:c>
      <x:c r="B421" s="1" t="str">
        <x:f>'Лист1'!B421</x:f>
        <x:v>Тюмень</x:v>
      </x:c>
      <x:c r="C421" s="1" t="n">
        <x:f>'Лист1'!C421</x:f>
        <x:v>8362.5</x:v>
      </x:c>
      <x:c r="D421" s="6" t="n">
        <x:f>'Лист1'!D421</x:f>
        <x:v>687684</x:v>
      </x:c>
      <x:c r="E421" s="6" t="n">
        <x:f>'Лист1'!E421</x:f>
        <x:v>597300.389</x:v>
      </x:c>
      <x:c r="F421" s="6" t="n">
        <x:f>'Лист1'!F421</x:f>
        <x:v>48380.49925384615</x:v>
      </x:c>
      <x:c r="G421" s="1" t="n">
        <x:f>IF(N421=1,SUMIFS('Лист2'!$C$2:$C$505,'Лист2'!$A$2:$A$505,A421,'Лист2'!$B$2:$B$505,B421),NA())</x:f>
        <x:v>7</x:v>
      </x:c>
      <x:c r="H421" s="1" t="n">
        <x:f>IF(N421=1,SUMIFS('Лист2'!$D$2:$D$505,'Лист2'!$A$2:$A$505,A421,'Лист2'!$B$2:$B$505,B421),NA())</x:f>
        <x:v>409</x:v>
      </x:c>
      <x:c r="I421" s="1" t="n">
        <x:f>IF(N421=1,SUMIFS('Лист2'!$E$2:$E$505,'Лист2'!$A$2:$A$505,A421,'Лист2'!$B$2:$B$505,B421),NA())</x:f>
        <x:v>329</x:v>
      </x:c>
      <x:c r="J421" s="5" t="n">
        <x:f>A421-WEEKDAY(A421,2)+1</x:f>
        <x:v>43976</x:v>
      </x:c>
      <x:c r="K421" s="1" t="n">
        <x:f>YEAR(J421+3)</x:f>
        <x:v>2020</x:v>
      </x:c>
      <x:c r="L421" s="1" t="n">
        <x:f>INT((J421-DATE(K421,1,4)+WEEKDAY(DATE(K421,1,4),2)-1)/7)+1</x:f>
        <x:v>22</x:v>
      </x:c>
      <x:c r="M421" s="1" t="str">
        <x:f>A421&amp;"|"&amp;B421</x:f>
        <x:v>43978|Тюмень</x:v>
      </x:c>
      <x:c r="N421" s="1" t="n">
        <x:f>COUNTIFS('Лист2'!$F$2:$F$505,M421)</x:f>
        <x:v>1</x:v>
      </x:c>
      <x:c r="O421" s="1"/>
      <x:c r="P421" s="1"/>
      <x:c r="Q421" s="1"/>
    </x:row>
    <x:row r="422" ht="21" customHeight="1">
      <x:c r="A422" s="5" t="n">
        <x:f>'Лист1'!A422</x:f>
        <x:v>43979</x:v>
      </x:c>
      <x:c r="B422" s="1" t="str">
        <x:f>'Лист1'!B422</x:f>
        <x:v>Волгоград</x:v>
      </x:c>
      <x:c r="C422" s="1" t="n">
        <x:f>'Лист1'!C422</x:f>
        <x:v>69945</x:v>
      </x:c>
      <x:c r="D422" s="6" t="n">
        <x:f>'Лист1'!D422</x:f>
        <x:v>6101931</x:v>
      </x:c>
      <x:c r="E422" s="6" t="n">
        <x:f>'Лист1'!E422</x:f>
        <x:v>4743581.977999999</x:v>
      </x:c>
      <x:c r="F422" s="6" t="n">
        <x:f>'Лист1'!F422</x:f>
        <x:v>226018.5524384615</x:v>
      </x:c>
      <x:c r="G422" s="1" t="n">
        <x:f>IF(N422=1,SUMIFS('Лист2'!$C$2:$C$505,'Лист2'!$A$2:$A$505,A422,'Лист2'!$B$2:$B$505,B422),NA())</x:f>
        <x:v>37</x:v>
      </x:c>
      <x:c r="H422" s="1" t="n">
        <x:f>IF(N422=1,SUMIFS('Лист2'!$D$2:$D$505,'Лист2'!$A$2:$A$505,A422,'Лист2'!$B$2:$B$505,B422),NA())</x:f>
        <x:v>4840</x:v>
      </x:c>
      <x:c r="I422" s="1" t="n">
        <x:f>IF(N422=1,SUMIFS('Лист2'!$E$2:$E$505,'Лист2'!$A$2:$A$505,A422,'Лист2'!$B$2:$B$505,B422),NA())</x:f>
        <x:v>4475</x:v>
      </x:c>
      <x:c r="J422" s="5" t="n">
        <x:f>A422-WEEKDAY(A422,2)+1</x:f>
        <x:v>43976</x:v>
      </x:c>
      <x:c r="K422" s="1" t="n">
        <x:f>YEAR(J422+3)</x:f>
        <x:v>2020</x:v>
      </x:c>
      <x:c r="L422" s="1" t="n">
        <x:f>INT((J422-DATE(K422,1,4)+WEEKDAY(DATE(K422,1,4),2)-1)/7)+1</x:f>
        <x:v>22</x:v>
      </x:c>
      <x:c r="M422" s="1" t="str">
        <x:f>A422&amp;"|"&amp;B422</x:f>
        <x:v>43979|Волгоград</x:v>
      </x:c>
      <x:c r="N422" s="1" t="n">
        <x:f>COUNTIFS('Лист2'!$F$2:$F$505,M422)</x:f>
        <x:v>1</x:v>
      </x:c>
      <x:c r="O422" s="1"/>
      <x:c r="P422" s="1"/>
      <x:c r="Q422" s="1"/>
    </x:row>
    <x:row r="423" ht="21" customHeight="1">
      <x:c r="A423" s="5" t="n">
        <x:f>'Лист1'!A423</x:f>
        <x:v>43979</x:v>
      </x:c>
      <x:c r="B423" s="1" t="str">
        <x:f>'Лист1'!B423</x:f>
        <x:v>Екатеринбург</x:v>
      </x:c>
      <x:c r="C423" s="1" t="n">
        <x:f>'Лист1'!C423</x:f>
        <x:v>78141</x:v>
      </x:c>
      <x:c r="D423" s="6" t="n">
        <x:f>'Лист1'!D423</x:f>
        <x:v>6641569.5</x:v>
      </x:c>
      <x:c r="E423" s="6" t="n">
        <x:f>'Лист1'!E423</x:f>
        <x:v>5084073.516</x:v>
      </x:c>
      <x:c r="F423" s="6" t="n">
        <x:f>'Лист1'!F423</x:f>
        <x:v>142499.01538461537</x:v>
      </x:c>
      <x:c r="G423" s="1" t="n">
        <x:f>IF(N423=1,SUMIFS('Лист2'!$C$2:$C$505,'Лист2'!$A$2:$A$505,A423,'Лист2'!$B$2:$B$505,B423),NA())</x:f>
        <x:v>31</x:v>
      </x:c>
      <x:c r="H423" s="1" t="n">
        <x:f>IF(N423=1,SUMIFS('Лист2'!$D$2:$D$505,'Лист2'!$A$2:$A$505,A423,'Лист2'!$B$2:$B$505,B423),NA())</x:f>
        <x:v>5355</x:v>
      </x:c>
      <x:c r="I423" s="1" t="n">
        <x:f>IF(N423=1,SUMIFS('Лист2'!$E$2:$E$505,'Лист2'!$A$2:$A$505,A423,'Лист2'!$B$2:$B$505,B423),NA())</x:f>
        <x:v>4969</x:v>
      </x:c>
      <x:c r="J423" s="5" t="n">
        <x:f>A423-WEEKDAY(A423,2)+1</x:f>
        <x:v>43976</x:v>
      </x:c>
      <x:c r="K423" s="1" t="n">
        <x:f>YEAR(J423+3)</x:f>
        <x:v>2020</x:v>
      </x:c>
      <x:c r="L423" s="1" t="n">
        <x:f>INT((J423-DATE(K423,1,4)+WEEKDAY(DATE(K423,1,4),2)-1)/7)+1</x:f>
        <x:v>22</x:v>
      </x:c>
      <x:c r="M423" s="1" t="str">
        <x:f>A423&amp;"|"&amp;B423</x:f>
        <x:v>43979|Екатеринбург</x:v>
      </x:c>
      <x:c r="N423" s="1" t="n">
        <x:f>COUNTIFS('Лист2'!$F$2:$F$505,M423)</x:f>
        <x:v>1</x:v>
      </x:c>
      <x:c r="O423" s="1"/>
      <x:c r="P423" s="1"/>
      <x:c r="Q423" s="1"/>
    </x:row>
    <x:row r="424" ht="21" customHeight="1">
      <x:c r="A424" s="5" t="n">
        <x:f>'Лист1'!A424</x:f>
        <x:v>43979</x:v>
      </x:c>
      <x:c r="B424" s="1" t="str">
        <x:f>'Лист1'!B424</x:f>
        <x:v>Казань</x:v>
      </x:c>
      <x:c r="C424" s="1" t="n">
        <x:f>'Лист1'!C424</x:f>
        <x:v>41442</x:v>
      </x:c>
      <x:c r="D424" s="6" t="n">
        <x:f>'Лист1'!D424</x:f>
        <x:v>3893680.5</x:v>
      </x:c>
      <x:c r="E424" s="6" t="n">
        <x:f>'Лист1'!E424</x:f>
        <x:v>3004872.349</x:v>
      </x:c>
      <x:c r="F424" s="6" t="n">
        <x:f>'Лист1'!F424</x:f>
        <x:v>190911.88401538462</x:v>
      </x:c>
      <x:c r="G424" s="1" t="n">
        <x:f>IF(N424=1,SUMIFS('Лист2'!$C$2:$C$505,'Лист2'!$A$2:$A$505,A424,'Лист2'!$B$2:$B$505,B424),NA())</x:f>
        <x:v>22</x:v>
      </x:c>
      <x:c r="H424" s="1" t="n">
        <x:f>IF(N424=1,SUMIFS('Лист2'!$D$2:$D$505,'Лист2'!$A$2:$A$505,A424,'Лист2'!$B$2:$B$505,B424),NA())</x:f>
        <x:v>2454</x:v>
      </x:c>
      <x:c r="I424" s="1" t="n">
        <x:f>IF(N424=1,SUMIFS('Лист2'!$E$2:$E$505,'Лист2'!$A$2:$A$505,A424,'Лист2'!$B$2:$B$505,B424),NA())</x:f>
        <x:v>2239</x:v>
      </x:c>
      <x:c r="J424" s="5" t="n">
        <x:f>A424-WEEKDAY(A424,2)+1</x:f>
        <x:v>43976</x:v>
      </x:c>
      <x:c r="K424" s="1" t="n">
        <x:f>YEAR(J424+3)</x:f>
        <x:v>2020</x:v>
      </x:c>
      <x:c r="L424" s="1" t="n">
        <x:f>INT((J424-DATE(K424,1,4)+WEEKDAY(DATE(K424,1,4),2)-1)/7)+1</x:f>
        <x:v>22</x:v>
      </x:c>
      <x:c r="M424" s="1" t="str">
        <x:f>A424&amp;"|"&amp;B424</x:f>
        <x:v>43979|Казань</x:v>
      </x:c>
      <x:c r="N424" s="1" t="n">
        <x:f>COUNTIFS('Лист2'!$F$2:$F$505,M424)</x:f>
        <x:v>1</x:v>
      </x:c>
      <x:c r="O424" s="1"/>
      <x:c r="P424" s="1"/>
      <x:c r="Q424" s="1"/>
    </x:row>
    <x:row r="425" ht="21" customHeight="1">
      <x:c r="A425" s="5" t="n">
        <x:f>'Лист1'!A425</x:f>
        <x:v>43979</x:v>
      </x:c>
      <x:c r="B425" s="1" t="str">
        <x:f>'Лист1'!B425</x:f>
        <x:v>Кемерово</x:v>
      </x:c>
      <x:c r="C425" s="1" t="n">
        <x:f>'Лист1'!C425</x:f>
        <x:v>30982.5</x:v>
      </x:c>
      <x:c r="D425" s="6" t="n">
        <x:f>'Лист1'!D425</x:f>
        <x:v>2827773</x:v>
      </x:c>
      <x:c r="E425" s="6" t="n">
        <x:f>'Лист1'!E425</x:f>
        <x:v>2232253.034</x:v>
      </x:c>
      <x:c r="F425" s="6" t="n">
        <x:f>'Лист1'!F425</x:f>
        <x:v>343211.5426230769</x:v>
      </x:c>
      <x:c r="G425" s="1" t="n">
        <x:f>IF(N425=1,SUMIFS('Лист2'!$C$2:$C$505,'Лист2'!$A$2:$A$505,A425,'Лист2'!$B$2:$B$505,B425),NA())</x:f>
        <x:v>20</x:v>
      </x:c>
      <x:c r="H425" s="1" t="n">
        <x:f>IF(N425=1,SUMIFS('Лист2'!$D$2:$D$505,'Лист2'!$A$2:$A$505,A425,'Лист2'!$B$2:$B$505,B425),NA())</x:f>
        <x:v>1886</x:v>
      </x:c>
      <x:c r="I425" s="1" t="n">
        <x:f>IF(N425=1,SUMIFS('Лист2'!$E$2:$E$505,'Лист2'!$A$2:$A$505,A425,'Лист2'!$B$2:$B$505,B425),NA())</x:f>
        <x:v>1736</x:v>
      </x:c>
      <x:c r="J425" s="5" t="n">
        <x:f>A425-WEEKDAY(A425,2)+1</x:f>
        <x:v>43976</x:v>
      </x:c>
      <x:c r="K425" s="1" t="n">
        <x:f>YEAR(J425+3)</x:f>
        <x:v>2020</x:v>
      </x:c>
      <x:c r="L425" s="1" t="n">
        <x:f>INT((J425-DATE(K425,1,4)+WEEKDAY(DATE(K425,1,4),2)-1)/7)+1</x:f>
        <x:v>22</x:v>
      </x:c>
      <x:c r="M425" s="1" t="str">
        <x:f>A425&amp;"|"&amp;B425</x:f>
        <x:v>43979|Кемерово</x:v>
      </x:c>
      <x:c r="N425" s="1" t="n">
        <x:f>COUNTIFS('Лист2'!$F$2:$F$505,M425)</x:f>
        <x:v>1</x:v>
      </x:c>
      <x:c r="O425" s="1"/>
      <x:c r="P425" s="1"/>
      <x:c r="Q425" s="1"/>
    </x:row>
    <x:row r="426" ht="21" customHeight="1">
      <x:c r="A426" s="5" t="n">
        <x:f>'Лист1'!A426</x:f>
        <x:v>43979</x:v>
      </x:c>
      <x:c r="B426" s="1" t="str">
        <x:f>'Лист1'!B426</x:f>
        <x:v>Краснодар</x:v>
      </x:c>
      <x:c r="C426" s="1" t="n">
        <x:f>'Лист1'!C426</x:f>
        <x:v>28197</x:v>
      </x:c>
      <x:c r="D426" s="6" t="n">
        <x:f>'Лист1'!D426</x:f>
        <x:v>2559211.5</x:v>
      </x:c>
      <x:c r="E426" s="6" t="n">
        <x:f>'Лист1'!E426</x:f>
        <x:v>2038847.009</x:v>
      </x:c>
      <x:c r="F426" s="6" t="n">
        <x:f>'Лист1'!F426</x:f>
        <x:v>74270.53076923077</x:v>
      </x:c>
      <x:c r="G426" s="1" t="n">
        <x:f>IF(N426=1,SUMIFS('Лист2'!$C$2:$C$505,'Лист2'!$A$2:$A$505,A426,'Лист2'!$B$2:$B$505,B426),NA())</x:f>
        <x:v>20</x:v>
      </x:c>
      <x:c r="H426" s="1" t="n">
        <x:f>IF(N426=1,SUMIFS('Лист2'!$D$2:$D$505,'Лист2'!$A$2:$A$505,A426,'Лист2'!$B$2:$B$505,B426),NA())</x:f>
        <x:v>1875</x:v>
      </x:c>
      <x:c r="I426" s="1" t="n">
        <x:f>IF(N426=1,SUMIFS('Лист2'!$E$2:$E$505,'Лист2'!$A$2:$A$505,A426,'Лист2'!$B$2:$B$505,B426),NA())</x:f>
        <x:v>1701</x:v>
      </x:c>
      <x:c r="J426" s="5" t="n">
        <x:f>A426-WEEKDAY(A426,2)+1</x:f>
        <x:v>43976</x:v>
      </x:c>
      <x:c r="K426" s="1" t="n">
        <x:f>YEAR(J426+3)</x:f>
        <x:v>2020</x:v>
      </x:c>
      <x:c r="L426" s="1" t="n">
        <x:f>INT((J426-DATE(K426,1,4)+WEEKDAY(DATE(K426,1,4),2)-1)/7)+1</x:f>
        <x:v>22</x:v>
      </x:c>
      <x:c r="M426" s="1" t="str">
        <x:f>A426&amp;"|"&amp;B426</x:f>
        <x:v>43979|Краснодар</x:v>
      </x:c>
      <x:c r="N426" s="1" t="n">
        <x:f>COUNTIFS('Лист2'!$F$2:$F$505,M426)</x:f>
        <x:v>1</x:v>
      </x:c>
      <x:c r="O426" s="1"/>
      <x:c r="P426" s="1"/>
      <x:c r="Q426" s="1"/>
    </x:row>
    <x:row r="427" ht="21" customHeight="1">
      <x:c r="A427" s="5" t="n">
        <x:f>'Лист1'!A427</x:f>
        <x:v>43979</x:v>
      </x:c>
      <x:c r="B427" s="1" t="str">
        <x:f>'Лист1'!B427</x:f>
        <x:v>Москва Восток</x:v>
      </x:c>
      <x:c r="C427" s="1" t="n">
        <x:f>'Лист1'!C427</x:f>
        <x:v>191641.5</x:v>
      </x:c>
      <x:c r="D427" s="6" t="n">
        <x:f>'Лист1'!D427</x:f>
        <x:v>19549036.5</x:v>
      </x:c>
      <x:c r="E427" s="6" t="n">
        <x:f>'Лист1'!E427</x:f>
        <x:v>14481164.23</x:v>
      </x:c>
      <x:c r="F427" s="6" t="n">
        <x:f>'Лист1'!F427</x:f>
        <x:v>266079.27846153843</x:v>
      </x:c>
      <x:c r="G427" s="1" t="n">
        <x:f>IF(N427=1,SUMIFS('Лист2'!$C$2:$C$505,'Лист2'!$A$2:$A$505,A427,'Лист2'!$B$2:$B$505,B427),NA())</x:f>
        <x:v>54</x:v>
      </x:c>
      <x:c r="H427" s="1" t="n">
        <x:f>IF(N427=1,SUMIFS('Лист2'!$D$2:$D$505,'Лист2'!$A$2:$A$505,A427,'Лист2'!$B$2:$B$505,B427),NA())</x:f>
        <x:v>12409</x:v>
      </x:c>
      <x:c r="I427" s="1" t="n">
        <x:f>IF(N427=1,SUMIFS('Лист2'!$E$2:$E$505,'Лист2'!$A$2:$A$505,A427,'Лист2'!$B$2:$B$505,B427),NA())</x:f>
        <x:v>11582</x:v>
      </x:c>
      <x:c r="J427" s="5" t="n">
        <x:f>A427-WEEKDAY(A427,2)+1</x:f>
        <x:v>43976</x:v>
      </x:c>
      <x:c r="K427" s="1" t="n">
        <x:f>YEAR(J427+3)</x:f>
        <x:v>2020</x:v>
      </x:c>
      <x:c r="L427" s="1" t="n">
        <x:f>INT((J427-DATE(K427,1,4)+WEEKDAY(DATE(K427,1,4),2)-1)/7)+1</x:f>
        <x:v>22</x:v>
      </x:c>
      <x:c r="M427" s="1" t="str">
        <x:f>A427&amp;"|"&amp;B427</x:f>
        <x:v>43979|Москва Восток</x:v>
      </x:c>
      <x:c r="N427" s="1" t="n">
        <x:f>COUNTIFS('Лист2'!$F$2:$F$505,M427)</x:f>
        <x:v>1</x:v>
      </x:c>
      <x:c r="O427" s="1"/>
      <x:c r="P427" s="1"/>
      <x:c r="Q427" s="1"/>
    </x:row>
    <x:row r="428" ht="21" customHeight="1">
      <x:c r="A428" s="5" t="n">
        <x:f>'Лист1'!A428</x:f>
        <x:v>43979</x:v>
      </x:c>
      <x:c r="B428" s="1" t="str">
        <x:f>'Лист1'!B428</x:f>
        <x:v>Москва Запад</x:v>
      </x:c>
      <x:c r="C428" s="1" t="n">
        <x:f>'Лист1'!C428</x:f>
        <x:v>199753.5</x:v>
      </x:c>
      <x:c r="D428" s="6" t="n">
        <x:f>'Лист1'!D428</x:f>
        <x:v>20535733.5</x:v>
      </x:c>
      <x:c r="E428" s="6" t="n">
        <x:f>'Лист1'!E428</x:f>
        <x:v>15173462.744</x:v>
      </x:c>
      <x:c r="F428" s="6" t="n">
        <x:f>'Лист1'!F428</x:f>
        <x:v>257491.36923076925</x:v>
      </x:c>
      <x:c r="G428" s="1" t="n">
        <x:f>IF(N428=1,SUMIFS('Лист2'!$C$2:$C$505,'Лист2'!$A$2:$A$505,A428,'Лист2'!$B$2:$B$505,B428),NA())</x:f>
        <x:v>60</x:v>
      </x:c>
      <x:c r="H428" s="1" t="n">
        <x:f>IF(N428=1,SUMIFS('Лист2'!$D$2:$D$505,'Лист2'!$A$2:$A$505,A428,'Лист2'!$B$2:$B$505,B428),NA())</x:f>
        <x:v>12854</x:v>
      </x:c>
      <x:c r="I428" s="1" t="n">
        <x:f>IF(N428=1,SUMIFS('Лист2'!$E$2:$E$505,'Лист2'!$A$2:$A$505,A428,'Лист2'!$B$2:$B$505,B428),NA())</x:f>
        <x:v>11954</x:v>
      </x:c>
      <x:c r="J428" s="5" t="n">
        <x:f>A428-WEEKDAY(A428,2)+1</x:f>
        <x:v>43976</x:v>
      </x:c>
      <x:c r="K428" s="1" t="n">
        <x:f>YEAR(J428+3)</x:f>
        <x:v>2020</x:v>
      </x:c>
      <x:c r="L428" s="1" t="n">
        <x:f>INT((J428-DATE(K428,1,4)+WEEKDAY(DATE(K428,1,4),2)-1)/7)+1</x:f>
        <x:v>22</x:v>
      </x:c>
      <x:c r="M428" s="1" t="str">
        <x:f>A428&amp;"|"&amp;B428</x:f>
        <x:v>43979|Москва Запад</x:v>
      </x:c>
      <x:c r="N428" s="1" t="n">
        <x:f>COUNTIFS('Лист2'!$F$2:$F$505,M428)</x:f>
        <x:v>1</x:v>
      </x:c>
      <x:c r="O428" s="1"/>
      <x:c r="P428" s="1"/>
      <x:c r="Q428" s="1"/>
    </x:row>
    <x:row r="429" ht="21" customHeight="1">
      <x:c r="A429" s="5" t="n">
        <x:f>'Лист1'!A429</x:f>
        <x:v>43979</x:v>
      </x:c>
      <x:c r="B429" s="1" t="str">
        <x:f>'Лист1'!B429</x:f>
        <x:v>Нижний Новгород</x:v>
      </x:c>
      <x:c r="C429" s="1" t="n">
        <x:f>'Лист1'!C429</x:f>
        <x:v>31974</x:v>
      </x:c>
      <x:c r="D429" s="6" t="n">
        <x:f>'Лист1'!D429</x:f>
        <x:v>3004213.5</x:v>
      </x:c>
      <x:c r="E429" s="6" t="n">
        <x:f>'Лист1'!E429</x:f>
        <x:v>2389834.3129999996</x:v>
      </x:c>
      <x:c r="F429" s="6" t="n">
        <x:f>'Лист1'!F429</x:f>
        <x:v>174780.66518461538</x:v>
      </x:c>
      <x:c r="G429" s="1" t="n">
        <x:f>IF(N429=1,SUMIFS('Лист2'!$C$2:$C$505,'Лист2'!$A$2:$A$505,A429,'Лист2'!$B$2:$B$505,B429),NA())</x:f>
        <x:v>20</x:v>
      </x:c>
      <x:c r="H429" s="1" t="n">
        <x:f>IF(N429=1,SUMIFS('Лист2'!$D$2:$D$505,'Лист2'!$A$2:$A$505,A429,'Лист2'!$B$2:$B$505,B429),NA())</x:f>
        <x:v>2088</x:v>
      </x:c>
      <x:c r="I429" s="1" t="n">
        <x:f>IF(N429=1,SUMIFS('Лист2'!$E$2:$E$505,'Лист2'!$A$2:$A$505,A429,'Лист2'!$B$2:$B$505,B429),NA())</x:f>
        <x:v>1848</x:v>
      </x:c>
      <x:c r="J429" s="5" t="n">
        <x:f>A429-WEEKDAY(A429,2)+1</x:f>
        <x:v>43976</x:v>
      </x:c>
      <x:c r="K429" s="1" t="n">
        <x:f>YEAR(J429+3)</x:f>
        <x:v>2020</x:v>
      </x:c>
      <x:c r="L429" s="1" t="n">
        <x:f>INT((J429-DATE(K429,1,4)+WEEKDAY(DATE(K429,1,4),2)-1)/7)+1</x:f>
        <x:v>22</x:v>
      </x:c>
      <x:c r="M429" s="1" t="str">
        <x:f>A429&amp;"|"&amp;B429</x:f>
        <x:v>43979|Нижний Новгород</x:v>
      </x:c>
      <x:c r="N429" s="1" t="n">
        <x:f>COUNTIFS('Лист2'!$F$2:$F$505,M429)</x:f>
        <x:v>1</x:v>
      </x:c>
      <x:c r="O429" s="1"/>
      <x:c r="P429" s="1"/>
      <x:c r="Q429" s="1"/>
    </x:row>
    <x:row r="430" ht="21" customHeight="1">
      <x:c r="A430" s="5" t="n">
        <x:f>'Лист1'!A430</x:f>
        <x:v>43979</x:v>
      </x:c>
      <x:c r="B430" s="1" t="str">
        <x:f>'Лист1'!B430</x:f>
        <x:v>Новосибирск</x:v>
      </x:c>
      <x:c r="C430" s="1" t="n">
        <x:f>'Лист1'!C430</x:f>
        <x:v>15678</x:v>
      </x:c>
      <x:c r="D430" s="6" t="n">
        <x:f>'Лист1'!D430</x:f>
        <x:v>1387443</x:v>
      </x:c>
      <x:c r="E430" s="6" t="n">
        <x:f>'Лист1'!E430</x:f>
        <x:v>1121336.507</x:v>
      </x:c>
      <x:c r="F430" s="6" t="n">
        <x:f>'Лист1'!F430</x:f>
        <x:v>101620.2923076923</x:v>
      </x:c>
      <x:c r="G430" s="1" t="n">
        <x:f>IF(N430=1,SUMIFS('Лист2'!$C$2:$C$505,'Лист2'!$A$2:$A$505,A430,'Лист2'!$B$2:$B$505,B430),NA())</x:f>
        <x:v>18</x:v>
      </x:c>
      <x:c r="H430" s="1" t="n">
        <x:f>IF(N430=1,SUMIFS('Лист2'!$D$2:$D$505,'Лист2'!$A$2:$A$505,A430,'Лист2'!$B$2:$B$505,B430),NA())</x:f>
        <x:v>1020</x:v>
      </x:c>
      <x:c r="I430" s="1" t="n">
        <x:f>IF(N430=1,SUMIFS('Лист2'!$E$2:$E$505,'Лист2'!$A$2:$A$505,A430,'Лист2'!$B$2:$B$505,B430),NA())</x:f>
        <x:v>911</x:v>
      </x:c>
      <x:c r="J430" s="5" t="n">
        <x:f>A430-WEEKDAY(A430,2)+1</x:f>
        <x:v>43976</x:v>
      </x:c>
      <x:c r="K430" s="1" t="n">
        <x:f>YEAR(J430+3)</x:f>
        <x:v>2020</x:v>
      </x:c>
      <x:c r="L430" s="1" t="n">
        <x:f>INT((J430-DATE(K430,1,4)+WEEKDAY(DATE(K430,1,4),2)-1)/7)+1</x:f>
        <x:v>22</x:v>
      </x:c>
      <x:c r="M430" s="1" t="str">
        <x:f>A430&amp;"|"&amp;B430</x:f>
        <x:v>43979|Новосибирск</x:v>
      </x:c>
      <x:c r="N430" s="1" t="n">
        <x:f>COUNTIFS('Лист2'!$F$2:$F$505,M430)</x:f>
        <x:v>1</x:v>
      </x:c>
      <x:c r="O430" s="1"/>
      <x:c r="P430" s="1"/>
      <x:c r="Q430" s="1"/>
    </x:row>
    <x:row r="431" ht="21" customHeight="1">
      <x:c r="A431" s="5" t="n">
        <x:f>'Лист1'!A431</x:f>
        <x:v>43979</x:v>
      </x:c>
      <x:c r="B431" s="1" t="str">
        <x:f>'Лист1'!B431</x:f>
        <x:v>Пермь</x:v>
      </x:c>
      <x:c r="C431" s="1" t="n">
        <x:f>'Лист1'!C431</x:f>
        <x:v>16500</x:v>
      </x:c>
      <x:c r="D431" s="6" t="n">
        <x:f>'Лист1'!D431</x:f>
        <x:v>1487928</x:v>
      </x:c>
      <x:c r="E431" s="6" t="n">
        <x:f>'Лист1'!E431</x:f>
        <x:v>1187884.8939999999</x:v>
      </x:c>
      <x:c r="F431" s="6" t="n">
        <x:f>'Лист1'!F431</x:f>
        <x:v>279400.0153846154</x:v>
      </x:c>
      <x:c r="G431" s="1" t="n">
        <x:f>IF(N431=1,SUMIFS('Лист2'!$C$2:$C$505,'Лист2'!$A$2:$A$505,A431,'Лист2'!$B$2:$B$505,B431),NA())</x:f>
        <x:v>17</x:v>
      </x:c>
      <x:c r="H431" s="1" t="n">
        <x:f>IF(N431=1,SUMIFS('Лист2'!$D$2:$D$505,'Лист2'!$A$2:$A$505,A431,'Лист2'!$B$2:$B$505,B431),NA())</x:f>
        <x:v>1097</x:v>
      </x:c>
      <x:c r="I431" s="1" t="n">
        <x:f>IF(N431=1,SUMIFS('Лист2'!$E$2:$E$505,'Лист2'!$A$2:$A$505,A431,'Лист2'!$B$2:$B$505,B431),NA())</x:f>
        <x:v>968</x:v>
      </x:c>
      <x:c r="J431" s="5" t="n">
        <x:f>A431-WEEKDAY(A431,2)+1</x:f>
        <x:v>43976</x:v>
      </x:c>
      <x:c r="K431" s="1" t="n">
        <x:f>YEAR(J431+3)</x:f>
        <x:v>2020</x:v>
      </x:c>
      <x:c r="L431" s="1" t="n">
        <x:f>INT((J431-DATE(K431,1,4)+WEEKDAY(DATE(K431,1,4),2)-1)/7)+1</x:f>
        <x:v>22</x:v>
      </x:c>
      <x:c r="M431" s="1" t="str">
        <x:f>A431&amp;"|"&amp;B431</x:f>
        <x:v>43979|Пермь</x:v>
      </x:c>
      <x:c r="N431" s="1" t="n">
        <x:f>COUNTIFS('Лист2'!$F$2:$F$505,M431)</x:f>
        <x:v>1</x:v>
      </x:c>
      <x:c r="O431" s="1"/>
      <x:c r="P431" s="1"/>
      <x:c r="Q431" s="1"/>
    </x:row>
    <x:row r="432" ht="21" customHeight="1">
      <x:c r="A432" s="5" t="n">
        <x:f>'Лист1'!A432</x:f>
        <x:v>43979</x:v>
      </x:c>
      <x:c r="B432" s="1" t="str">
        <x:f>'Лист1'!B432</x:f>
        <x:v>Ростов-на-Дону</x:v>
      </x:c>
      <x:c r="C432" s="1" t="n">
        <x:f>'Лист1'!C432</x:f>
        <x:v>13864.5</x:v>
      </x:c>
      <x:c r="D432" s="6" t="n">
        <x:f>'Лист1'!D432</x:f>
        <x:v>1239747</x:v>
      </x:c>
      <x:c r="E432" s="6" t="n">
        <x:f>'Лист1'!E432</x:f>
        <x:v>995597.5199999999</x:v>
      </x:c>
      <x:c r="F432" s="6" t="n">
        <x:f>'Лист1'!F432</x:f>
        <x:v>216733.44615384613</x:v>
      </x:c>
      <x:c r="G432" s="1" t="n">
        <x:f>IF(N432=1,SUMIFS('Лист2'!$C$2:$C$505,'Лист2'!$A$2:$A$505,A432,'Лист2'!$B$2:$B$505,B432),NA())</x:f>
        <x:v>16</x:v>
      </x:c>
      <x:c r="H432" s="1" t="n">
        <x:f>IF(N432=1,SUMIFS('Лист2'!$D$2:$D$505,'Лист2'!$A$2:$A$505,A432,'Лист2'!$B$2:$B$505,B432),NA())</x:f>
        <x:v>876</x:v>
      </x:c>
      <x:c r="I432" s="1" t="n">
        <x:f>IF(N432=1,SUMIFS('Лист2'!$E$2:$E$505,'Лист2'!$A$2:$A$505,A432,'Лист2'!$B$2:$B$505,B432),NA())</x:f>
        <x:v>762</x:v>
      </x:c>
      <x:c r="J432" s="5" t="n">
        <x:f>A432-WEEKDAY(A432,2)+1</x:f>
        <x:v>43976</x:v>
      </x:c>
      <x:c r="K432" s="1" t="n">
        <x:f>YEAR(J432+3)</x:f>
        <x:v>2020</x:v>
      </x:c>
      <x:c r="L432" s="1" t="n">
        <x:f>INT((J432-DATE(K432,1,4)+WEEKDAY(DATE(K432,1,4),2)-1)/7)+1</x:f>
        <x:v>22</x:v>
      </x:c>
      <x:c r="M432" s="1" t="str">
        <x:f>A432&amp;"|"&amp;B432</x:f>
        <x:v>43979|Ростов-на-Дону</x:v>
      </x:c>
      <x:c r="N432" s="1" t="n">
        <x:f>COUNTIFS('Лист2'!$F$2:$F$505,M432)</x:f>
        <x:v>1</x:v>
      </x:c>
      <x:c r="O432" s="1"/>
      <x:c r="P432" s="1"/>
      <x:c r="Q432" s="1"/>
    </x:row>
    <x:row r="433" ht="21" customHeight="1">
      <x:c r="A433" s="5" t="n">
        <x:f>'Лист1'!A433</x:f>
        <x:v>43979</x:v>
      </x:c>
      <x:c r="B433" s="1" t="str">
        <x:f>'Лист1'!B433</x:f>
        <x:v>Самара</x:v>
      </x:c>
      <x:c r="C433" s="1" t="n">
        <x:f>'Лист1'!C433</x:f>
        <x:v>8536.5</x:v>
      </x:c>
      <x:c r="D433" s="6" t="n">
        <x:f>'Лист1'!D433</x:f>
        <x:v>643944</x:v>
      </x:c>
      <x:c r="E433" s="6" t="n">
        <x:f>'Лист1'!E433</x:f>
        <x:v>640961.693</x:v>
      </x:c>
      <x:c r="F433" s="6" t="n">
        <x:f>'Лист1'!F433</x:f>
        <x:v>61475.592307692306</x:v>
      </x:c>
      <x:c r="G433" s="1" t="n">
        <x:f>IF(N433=1,SUMIFS('Лист2'!$C$2:$C$505,'Лист2'!$A$2:$A$505,A433,'Лист2'!$B$2:$B$505,B433),NA())</x:f>
        <x:v>15</x:v>
      </x:c>
      <x:c r="H433" s="1" t="n">
        <x:f>IF(N433=1,SUMIFS('Лист2'!$D$2:$D$505,'Лист2'!$A$2:$A$505,A433,'Лист2'!$B$2:$B$505,B433),NA())</x:f>
        <x:v>464</x:v>
      </x:c>
      <x:c r="I433" s="1" t="n">
        <x:f>IF(N433=1,SUMIFS('Лист2'!$E$2:$E$505,'Лист2'!$A$2:$A$505,A433,'Лист2'!$B$2:$B$505,B433),NA())</x:f>
        <x:v>390</x:v>
      </x:c>
      <x:c r="J433" s="5" t="n">
        <x:f>A433-WEEKDAY(A433,2)+1</x:f>
        <x:v>43976</x:v>
      </x:c>
      <x:c r="K433" s="1" t="n">
        <x:f>YEAR(J433+3)</x:f>
        <x:v>2020</x:v>
      </x:c>
      <x:c r="L433" s="1" t="n">
        <x:f>INT((J433-DATE(K433,1,4)+WEEKDAY(DATE(K433,1,4),2)-1)/7)+1</x:f>
        <x:v>22</x:v>
      </x:c>
      <x:c r="M433" s="1" t="str">
        <x:f>A433&amp;"|"&amp;B433</x:f>
        <x:v>43979|Самара</x:v>
      </x:c>
      <x:c r="N433" s="1" t="n">
        <x:f>COUNTIFS('Лист2'!$F$2:$F$505,M433)</x:f>
        <x:v>1</x:v>
      </x:c>
      <x:c r="O433" s="1"/>
      <x:c r="P433" s="1"/>
      <x:c r="Q433" s="1"/>
    </x:row>
    <x:row r="434" ht="21" customHeight="1">
      <x:c r="A434" s="5" t="n">
        <x:f>'Лист1'!A434</x:f>
        <x:v>43979</x:v>
      </x:c>
      <x:c r="B434" s="1" t="str">
        <x:f>'Лист1'!B434</x:f>
        <x:v>Санкт-Петербург Север</x:v>
      </x:c>
      <x:c r="C434" s="1" t="n">
        <x:f>'Лист1'!C434</x:f>
        <x:v>364638</x:v>
      </x:c>
      <x:c r="D434" s="6" t="n">
        <x:f>'Лист1'!D434</x:f>
        <x:v>37947688.5</x:v>
      </x:c>
      <x:c r="E434" s="6" t="n">
        <x:f>'Лист1'!E434</x:f>
        <x:v>27829971.363</x:v>
      </x:c>
      <x:c r="F434" s="6" t="n">
        <x:f>'Лист1'!F434</x:f>
        <x:v>628647.3307692307</x:v>
      </x:c>
      <x:c r="G434" s="1" t="n">
        <x:f>IF(N434=1,SUMIFS('Лист2'!$C$2:$C$505,'Лист2'!$A$2:$A$505,A434,'Лист2'!$B$2:$B$505,B434),NA())</x:f>
        <x:v>124</x:v>
      </x:c>
      <x:c r="H434" s="1" t="n">
        <x:f>IF(N434=1,SUMIFS('Лист2'!$D$2:$D$505,'Лист2'!$A$2:$A$505,A434,'Лист2'!$B$2:$B$505,B434),NA())</x:f>
        <x:v>20868</x:v>
      </x:c>
      <x:c r="I434" s="1" t="n">
        <x:f>IF(N434=1,SUMIFS('Лист2'!$E$2:$E$505,'Лист2'!$A$2:$A$505,A434,'Лист2'!$B$2:$B$505,B434),NA())</x:f>
        <x:v>19342</x:v>
      </x:c>
      <x:c r="J434" s="5" t="n">
        <x:f>A434-WEEKDAY(A434,2)+1</x:f>
        <x:v>43976</x:v>
      </x:c>
      <x:c r="K434" s="1" t="n">
        <x:f>YEAR(J434+3)</x:f>
        <x:v>2020</x:v>
      </x:c>
      <x:c r="L434" s="1" t="n">
        <x:f>INT((J434-DATE(K434,1,4)+WEEKDAY(DATE(K434,1,4),2)-1)/7)+1</x:f>
        <x:v>22</x:v>
      </x:c>
      <x:c r="M434" s="1" t="str">
        <x:f>A434&amp;"|"&amp;B434</x:f>
        <x:v>43979|Санкт-Петербург Север</x:v>
      </x:c>
      <x:c r="N434" s="1" t="n">
        <x:f>COUNTIFS('Лист2'!$F$2:$F$505,M434)</x:f>
        <x:v>1</x:v>
      </x:c>
      <x:c r="O434" s="1"/>
      <x:c r="P434" s="1"/>
      <x:c r="Q434" s="1"/>
    </x:row>
    <x:row r="435" ht="21" customHeight="1">
      <x:c r="A435" s="5" t="n">
        <x:f>'Лист1'!A435</x:f>
        <x:v>43979</x:v>
      </x:c>
      <x:c r="B435" s="1" t="str">
        <x:f>'Лист1'!B435</x:f>
        <x:v>Санкт-Петербург Юг</x:v>
      </x:c>
      <x:c r="C435" s="1" t="n">
        <x:f>'Лист1'!C435</x:f>
        <x:v>278491.5</x:v>
      </x:c>
      <x:c r="D435" s="6" t="n">
        <x:f>'Лист1'!D435</x:f>
        <x:v>28151004.75</x:v>
      </x:c>
      <x:c r="E435" s="6" t="n">
        <x:f>'Лист1'!E435</x:f>
        <x:v>20806418.796</x:v>
      </x:c>
      <x:c r="F435" s="6" t="n">
        <x:f>'Лист1'!F435</x:f>
        <x:v>591565.3538461538</x:v>
      </x:c>
      <x:c r="G435" s="1" t="n">
        <x:f>IF(N435=1,SUMIFS('Лист2'!$C$2:$C$505,'Лист2'!$A$2:$A$505,A435,'Лист2'!$B$2:$B$505,B435),NA())</x:f>
        <x:v>129</x:v>
      </x:c>
      <x:c r="H435" s="1" t="n">
        <x:f>IF(N435=1,SUMIFS('Лист2'!$D$2:$D$505,'Лист2'!$A$2:$A$505,A435,'Лист2'!$B$2:$B$505,B435),NA())</x:f>
        <x:v>16453</x:v>
      </x:c>
      <x:c r="I435" s="1" t="n">
        <x:f>IF(N435=1,SUMIFS('Лист2'!$E$2:$E$505,'Лист2'!$A$2:$A$505,A435,'Лист2'!$B$2:$B$505,B435),NA())</x:f>
        <x:v>15289</x:v>
      </x:c>
      <x:c r="J435" s="5" t="n">
        <x:f>A435-WEEKDAY(A435,2)+1</x:f>
        <x:v>43976</x:v>
      </x:c>
      <x:c r="K435" s="1" t="n">
        <x:f>YEAR(J435+3)</x:f>
        <x:v>2020</x:v>
      </x:c>
      <x:c r="L435" s="1" t="n">
        <x:f>INT((J435-DATE(K435,1,4)+WEEKDAY(DATE(K435,1,4),2)-1)/7)+1</x:f>
        <x:v>22</x:v>
      </x:c>
      <x:c r="M435" s="1" t="str">
        <x:f>A435&amp;"|"&amp;B435</x:f>
        <x:v>43979|Санкт-Петербург Юг</x:v>
      </x:c>
      <x:c r="N435" s="1" t="n">
        <x:f>COUNTIFS('Лист2'!$F$2:$F$505,M435)</x:f>
        <x:v>1</x:v>
      </x:c>
      <x:c r="O435" s="1"/>
      <x:c r="P435" s="1"/>
      <x:c r="Q435" s="1"/>
    </x:row>
    <x:row r="436" ht="21" customHeight="1">
      <x:c r="A436" s="5" t="n">
        <x:f>'Лист1'!A436</x:f>
        <x:v>43979</x:v>
      </x:c>
      <x:c r="B436" s="1" t="str">
        <x:f>'Лист1'!B436</x:f>
        <x:v>Тольятти</x:v>
      </x:c>
      <x:c r="C436" s="1" t="n">
        <x:f>'Лист1'!C436</x:f>
        <x:v>13038</x:v>
      </x:c>
      <x:c r="D436" s="6" t="n">
        <x:f>'Лист1'!D436</x:f>
        <x:v>1114552.5</x:v>
      </x:c>
      <x:c r="E436" s="6" t="n">
        <x:f>'Лист1'!E436</x:f>
        <x:v>939269.567</x:v>
      </x:c>
      <x:c r="F436" s="6" t="n">
        <x:f>'Лист1'!F436</x:f>
        <x:v>74269.06047692307</x:v>
      </x:c>
      <x:c r="G436" s="1" t="n">
        <x:f>IF(N436=1,SUMIFS('Лист2'!$C$2:$C$505,'Лист2'!$A$2:$A$505,A436,'Лист2'!$B$2:$B$505,B436),NA())</x:f>
        <x:v>10</x:v>
      </x:c>
      <x:c r="H436" s="1" t="n">
        <x:f>IF(N436=1,SUMIFS('Лист2'!$D$2:$D$505,'Лист2'!$A$2:$A$505,A436,'Лист2'!$B$2:$B$505,B436),NA())</x:f>
        <x:v>791</x:v>
      </x:c>
      <x:c r="I436" s="1" t="n">
        <x:f>IF(N436=1,SUMIFS('Лист2'!$E$2:$E$505,'Лист2'!$A$2:$A$505,A436,'Лист2'!$B$2:$B$505,B436),NA())</x:f>
        <x:v>697</x:v>
      </x:c>
      <x:c r="J436" s="5" t="n">
        <x:f>A436-WEEKDAY(A436,2)+1</x:f>
        <x:v>43976</x:v>
      </x:c>
      <x:c r="K436" s="1" t="n">
        <x:f>YEAR(J436+3)</x:f>
        <x:v>2020</x:v>
      </x:c>
      <x:c r="L436" s="1" t="n">
        <x:f>INT((J436-DATE(K436,1,4)+WEEKDAY(DATE(K436,1,4),2)-1)/7)+1</x:f>
        <x:v>22</x:v>
      </x:c>
      <x:c r="M436" s="1" t="str">
        <x:f>A436&amp;"|"&amp;B436</x:f>
        <x:v>43979|Тольятти</x:v>
      </x:c>
      <x:c r="N436" s="1" t="n">
        <x:f>COUNTIFS('Лист2'!$F$2:$F$505,M436)</x:f>
        <x:v>1</x:v>
      </x:c>
      <x:c r="O436" s="1"/>
      <x:c r="P436" s="1"/>
      <x:c r="Q436" s="1"/>
    </x:row>
    <x:row r="437" ht="21" customHeight="1">
      <x:c r="A437" s="5" t="n">
        <x:f>'Лист1'!A437</x:f>
        <x:v>43979</x:v>
      </x:c>
      <x:c r="B437" s="1" t="str">
        <x:f>'Лист1'!B437</x:f>
        <x:v>Тюмень</x:v>
      </x:c>
      <x:c r="C437" s="1" t="n">
        <x:f>'Лист1'!C437</x:f>
        <x:v>8428.5</x:v>
      </x:c>
      <x:c r="D437" s="6" t="n">
        <x:f>'Лист1'!D437</x:f>
        <x:v>694669.5</x:v>
      </x:c>
      <x:c r="E437" s="6" t="n">
        <x:f>'Лист1'!E437</x:f>
        <x:v>594994.696</x:v>
      </x:c>
      <x:c r="F437" s="6" t="n">
        <x:f>'Лист1'!F437</x:f>
        <x:v>42699.38461538461</x:v>
      </x:c>
      <x:c r="G437" s="1" t="n">
        <x:f>IF(N437=1,SUMIFS('Лист2'!$C$2:$C$505,'Лист2'!$A$2:$A$505,A437,'Лист2'!$B$2:$B$505,B437),NA())</x:f>
        <x:v>7</x:v>
      </x:c>
      <x:c r="H437" s="1" t="n">
        <x:f>IF(N437=1,SUMIFS('Лист2'!$D$2:$D$505,'Лист2'!$A$2:$A$505,A437,'Лист2'!$B$2:$B$505,B437),NA())</x:f>
        <x:v>420</x:v>
      </x:c>
      <x:c r="I437" s="1" t="n">
        <x:f>IF(N437=1,SUMIFS('Лист2'!$E$2:$E$505,'Лист2'!$A$2:$A$505,A437,'Лист2'!$B$2:$B$505,B437),NA())</x:f>
        <x:v>347</x:v>
      </x:c>
      <x:c r="J437" s="5" t="n">
        <x:f>A437-WEEKDAY(A437,2)+1</x:f>
        <x:v>43976</x:v>
      </x:c>
      <x:c r="K437" s="1" t="n">
        <x:f>YEAR(J437+3)</x:f>
        <x:v>2020</x:v>
      </x:c>
      <x:c r="L437" s="1" t="n">
        <x:f>INT((J437-DATE(K437,1,4)+WEEKDAY(DATE(K437,1,4),2)-1)/7)+1</x:f>
        <x:v>22</x:v>
      </x:c>
      <x:c r="M437" s="1" t="str">
        <x:f>A437&amp;"|"&amp;B437</x:f>
        <x:v>43979|Тюмень</x:v>
      </x:c>
      <x:c r="N437" s="1" t="n">
        <x:f>COUNTIFS('Лист2'!$F$2:$F$505,M437)</x:f>
        <x:v>1</x:v>
      </x:c>
      <x:c r="O437" s="1"/>
      <x:c r="P437" s="1"/>
      <x:c r="Q437" s="1"/>
    </x:row>
    <x:row r="438" ht="21" customHeight="1">
      <x:c r="A438" s="5" t="n">
        <x:f>'Лист1'!A438</x:f>
        <x:v>43980</x:v>
      </x:c>
      <x:c r="B438" s="1" t="str">
        <x:f>'Лист1'!B438</x:f>
        <x:v>Волгоград</x:v>
      </x:c>
      <x:c r="C438" s="1" t="n">
        <x:f>'Лист1'!C438</x:f>
        <x:v>84433.5</x:v>
      </x:c>
      <x:c r="D438" s="6" t="n">
        <x:f>'Лист1'!D438</x:f>
        <x:v>7228395</x:v>
      </x:c>
      <x:c r="E438" s="6" t="n">
        <x:f>'Лист1'!E438</x:f>
        <x:v>5795765.936</x:v>
      </x:c>
      <x:c r="F438" s="6" t="n">
        <x:f>'Лист1'!F438</x:f>
        <x:v>264121.66047692305</x:v>
      </x:c>
      <x:c r="G438" s="1" t="n">
        <x:f>IF(N438=1,SUMIFS('Лист2'!$C$2:$C$505,'Лист2'!$A$2:$A$505,A438,'Лист2'!$B$2:$B$505,B438),NA())</x:f>
        <x:v>37</x:v>
      </x:c>
      <x:c r="H438" s="1" t="n">
        <x:f>IF(N438=1,SUMIFS('Лист2'!$D$2:$D$505,'Лист2'!$A$2:$A$505,A438,'Лист2'!$B$2:$B$505,B438),NA())</x:f>
        <x:v>5672</x:v>
      </x:c>
      <x:c r="I438" s="1" t="n">
        <x:f>IF(N438=1,SUMIFS('Лист2'!$E$2:$E$505,'Лист2'!$A$2:$A$505,A438,'Лист2'!$B$2:$B$505,B438),NA())</x:f>
        <x:v>5198</x:v>
      </x:c>
      <x:c r="J438" s="5" t="n">
        <x:f>A438-WEEKDAY(A438,2)+1</x:f>
        <x:v>43976</x:v>
      </x:c>
      <x:c r="K438" s="1" t="n">
        <x:f>YEAR(J438+3)</x:f>
        <x:v>2020</x:v>
      </x:c>
      <x:c r="L438" s="1" t="n">
        <x:f>INT((J438-DATE(K438,1,4)+WEEKDAY(DATE(K438,1,4),2)-1)/7)+1</x:f>
        <x:v>22</x:v>
      </x:c>
      <x:c r="M438" s="1" t="str">
        <x:f>A438&amp;"|"&amp;B438</x:f>
        <x:v>43980|Волгоград</x:v>
      </x:c>
      <x:c r="N438" s="1" t="n">
        <x:f>COUNTIFS('Лист2'!$F$2:$F$505,M438)</x:f>
        <x:v>1</x:v>
      </x:c>
      <x:c r="O438" s="1"/>
      <x:c r="P438" s="1"/>
      <x:c r="Q438" s="1"/>
    </x:row>
    <x:row r="439" ht="21" customHeight="1">
      <x:c r="A439" s="5" t="n">
        <x:f>'Лист1'!A439</x:f>
        <x:v>43980</x:v>
      </x:c>
      <x:c r="B439" s="1" t="str">
        <x:f>'Лист1'!B439</x:f>
        <x:v>Екатеринбург</x:v>
      </x:c>
      <x:c r="C439" s="1" t="n">
        <x:f>'Лист1'!C439</x:f>
        <x:v>87552</x:v>
      </x:c>
      <x:c r="D439" s="6" t="n">
        <x:f>'Лист1'!D439</x:f>
        <x:v>7387116</x:v>
      </x:c>
      <x:c r="E439" s="6" t="n">
        <x:f>'Лист1'!E439</x:f>
        <x:v>5815890.3319999995</x:v>
      </x:c>
      <x:c r="F439" s="6" t="n">
        <x:f>'Лист1'!F439</x:f>
        <x:v>161811.8923076923</x:v>
      </x:c>
      <x:c r="G439" s="1" t="n">
        <x:f>IF(N439=1,SUMIFS('Лист2'!$C$2:$C$505,'Лист2'!$A$2:$A$505,A439,'Лист2'!$B$2:$B$505,B439),NA())</x:f>
        <x:v>31</x:v>
      </x:c>
      <x:c r="H439" s="1" t="n">
        <x:f>IF(N439=1,SUMIFS('Лист2'!$D$2:$D$505,'Лист2'!$A$2:$A$505,A439,'Лист2'!$B$2:$B$505,B439),NA())</x:f>
        <x:v>5751</x:v>
      </x:c>
      <x:c r="I439" s="1" t="n">
        <x:f>IF(N439=1,SUMIFS('Лист2'!$E$2:$E$505,'Лист2'!$A$2:$A$505,A439,'Лист2'!$B$2:$B$505,B439),NA())</x:f>
        <x:v>5319</x:v>
      </x:c>
      <x:c r="J439" s="5" t="n">
        <x:f>A439-WEEKDAY(A439,2)+1</x:f>
        <x:v>43976</x:v>
      </x:c>
      <x:c r="K439" s="1" t="n">
        <x:f>YEAR(J439+3)</x:f>
        <x:v>2020</x:v>
      </x:c>
      <x:c r="L439" s="1" t="n">
        <x:f>INT((J439-DATE(K439,1,4)+WEEKDAY(DATE(K439,1,4),2)-1)/7)+1</x:f>
        <x:v>22</x:v>
      </x:c>
      <x:c r="M439" s="1" t="str">
        <x:f>A439&amp;"|"&amp;B439</x:f>
        <x:v>43980|Екатеринбург</x:v>
      </x:c>
      <x:c r="N439" s="1" t="n">
        <x:f>COUNTIFS('Лист2'!$F$2:$F$505,M439)</x:f>
        <x:v>1</x:v>
      </x:c>
      <x:c r="O439" s="1"/>
      <x:c r="P439" s="1"/>
      <x:c r="Q439" s="1"/>
    </x:row>
    <x:row r="440" ht="21" customHeight="1">
      <x:c r="A440" s="5" t="n">
        <x:f>'Лист1'!A440</x:f>
        <x:v>43980</x:v>
      </x:c>
      <x:c r="B440" s="1" t="str">
        <x:f>'Лист1'!B440</x:f>
        <x:v>Казань</x:v>
      </x:c>
      <x:c r="C440" s="1" t="n">
        <x:f>'Лист1'!C440</x:f>
        <x:v>44569.5</x:v>
      </x:c>
      <x:c r="D440" s="6" t="n">
        <x:f>'Лист1'!D440</x:f>
        <x:v>4108596</x:v>
      </x:c>
      <x:c r="E440" s="6" t="n">
        <x:f>'Лист1'!E440</x:f>
        <x:v>3229427.083</x:v>
      </x:c>
      <x:c r="F440" s="6" t="n">
        <x:f>'Лист1'!F440</x:f>
        <x:v>121448.35925384614</x:v>
      </x:c>
      <x:c r="G440" s="1" t="n">
        <x:f>IF(N440=1,SUMIFS('Лист2'!$C$2:$C$505,'Лист2'!$A$2:$A$505,A440,'Лист2'!$B$2:$B$505,B440),NA())</x:f>
        <x:v>22</x:v>
      </x:c>
      <x:c r="H440" s="1" t="n">
        <x:f>IF(N440=1,SUMIFS('Лист2'!$D$2:$D$505,'Лист2'!$A$2:$A$505,A440,'Лист2'!$B$2:$B$505,B440),NA())</x:f>
        <x:v>2597</x:v>
      </x:c>
      <x:c r="I440" s="1" t="n">
        <x:f>IF(N440=1,SUMIFS('Лист2'!$E$2:$E$505,'Лист2'!$A$2:$A$505,A440,'Лист2'!$B$2:$B$505,B440),NA())</x:f>
        <x:v>2379</x:v>
      </x:c>
      <x:c r="J440" s="5" t="n">
        <x:f>A440-WEEKDAY(A440,2)+1</x:f>
        <x:v>43976</x:v>
      </x:c>
      <x:c r="K440" s="1" t="n">
        <x:f>YEAR(J440+3)</x:f>
        <x:v>2020</x:v>
      </x:c>
      <x:c r="L440" s="1" t="n">
        <x:f>INT((J440-DATE(K440,1,4)+WEEKDAY(DATE(K440,1,4),2)-1)/7)+1</x:f>
        <x:v>22</x:v>
      </x:c>
      <x:c r="M440" s="1" t="str">
        <x:f>A440&amp;"|"&amp;B440</x:f>
        <x:v>43980|Казань</x:v>
      </x:c>
      <x:c r="N440" s="1" t="n">
        <x:f>COUNTIFS('Лист2'!$F$2:$F$505,M440)</x:f>
        <x:v>1</x:v>
      </x:c>
      <x:c r="O440" s="1"/>
      <x:c r="P440" s="1"/>
      <x:c r="Q440" s="1"/>
    </x:row>
    <x:row r="441" ht="21" customHeight="1">
      <x:c r="A441" s="5" t="n">
        <x:f>'Лист1'!A441</x:f>
        <x:v>43980</x:v>
      </x:c>
      <x:c r="B441" s="1" t="str">
        <x:f>'Лист1'!B441</x:f>
        <x:v>Кемерово</x:v>
      </x:c>
      <x:c r="C441" s="1" t="n">
        <x:f>'Лист1'!C441</x:f>
        <x:v>35431.5</x:v>
      </x:c>
      <x:c r="D441" s="6" t="n">
        <x:f>'Лист1'!D441</x:f>
        <x:v>3193167</x:v>
      </x:c>
      <x:c r="E441" s="6" t="n">
        <x:f>'Лист1'!E441</x:f>
        <x:v>2545757.0549999997</x:v>
      </x:c>
      <x:c r="F441" s="6" t="n">
        <x:f>'Лист1'!F441</x:f>
        <x:v>202281.06923076924</x:v>
      </x:c>
      <x:c r="G441" s="1" t="n">
        <x:f>IF(N441=1,SUMIFS('Лист2'!$C$2:$C$505,'Лист2'!$A$2:$A$505,A441,'Лист2'!$B$2:$B$505,B441),NA())</x:f>
        <x:v>20</x:v>
      </x:c>
      <x:c r="H441" s="1" t="n">
        <x:f>IF(N441=1,SUMIFS('Лист2'!$D$2:$D$505,'Лист2'!$A$2:$A$505,A441,'Лист2'!$B$2:$B$505,B441),NA())</x:f>
        <x:v>2111</x:v>
      </x:c>
      <x:c r="I441" s="1" t="n">
        <x:f>IF(N441=1,SUMIFS('Лист2'!$E$2:$E$505,'Лист2'!$A$2:$A$505,A441,'Лист2'!$B$2:$B$505,B441),NA())</x:f>
        <x:v>1917</x:v>
      </x:c>
      <x:c r="J441" s="5" t="n">
        <x:f>A441-WEEKDAY(A441,2)+1</x:f>
        <x:v>43976</x:v>
      </x:c>
      <x:c r="K441" s="1" t="n">
        <x:f>YEAR(J441+3)</x:f>
        <x:v>2020</x:v>
      </x:c>
      <x:c r="L441" s="1" t="n">
        <x:f>INT((J441-DATE(K441,1,4)+WEEKDAY(DATE(K441,1,4),2)-1)/7)+1</x:f>
        <x:v>22</x:v>
      </x:c>
      <x:c r="M441" s="1" t="str">
        <x:f>A441&amp;"|"&amp;B441</x:f>
        <x:v>43980|Кемерово</x:v>
      </x:c>
      <x:c r="N441" s="1" t="n">
        <x:f>COUNTIFS('Лист2'!$F$2:$F$505,M441)</x:f>
        <x:v>1</x:v>
      </x:c>
      <x:c r="O441" s="1"/>
      <x:c r="P441" s="1"/>
      <x:c r="Q441" s="1"/>
    </x:row>
    <x:row r="442" ht="21" customHeight="1">
      <x:c r="A442" s="5" t="n">
        <x:f>'Лист1'!A442</x:f>
        <x:v>43980</x:v>
      </x:c>
      <x:c r="B442" s="1" t="str">
        <x:f>'Лист1'!B442</x:f>
        <x:v>Краснодар</x:v>
      </x:c>
      <x:c r="C442" s="1" t="n">
        <x:f>'Лист1'!C442</x:f>
        <x:v>32782.5</x:v>
      </x:c>
      <x:c r="D442" s="6" t="n">
        <x:f>'Лист1'!D442</x:f>
        <x:v>2854741.5</x:v>
      </x:c>
      <x:c r="E442" s="6" t="n">
        <x:f>'Лист1'!E442</x:f>
        <x:v>2293738.957</x:v>
      </x:c>
      <x:c r="F442" s="6" t="n">
        <x:f>'Лист1'!F442</x:f>
        <x:v>58400.7992</x:v>
      </x:c>
      <x:c r="G442" s="1" t="n">
        <x:f>IF(N442=1,SUMIFS('Лист2'!$C$2:$C$505,'Лист2'!$A$2:$A$505,A442,'Лист2'!$B$2:$B$505,B442),NA())</x:f>
        <x:v>20</x:v>
      </x:c>
      <x:c r="H442" s="1" t="n">
        <x:f>IF(N442=1,SUMIFS('Лист2'!$D$2:$D$505,'Лист2'!$A$2:$A$505,A442,'Лист2'!$B$2:$B$505,B442),NA())</x:f>
        <x:v>2064</x:v>
      </x:c>
      <x:c r="I442" s="1" t="n">
        <x:f>IF(N442=1,SUMIFS('Лист2'!$E$2:$E$505,'Лист2'!$A$2:$A$505,A442,'Лист2'!$B$2:$B$505,B442),NA())</x:f>
        <x:v>1896</x:v>
      </x:c>
      <x:c r="J442" s="5" t="n">
        <x:f>A442-WEEKDAY(A442,2)+1</x:f>
        <x:v>43976</x:v>
      </x:c>
      <x:c r="K442" s="1" t="n">
        <x:f>YEAR(J442+3)</x:f>
        <x:v>2020</x:v>
      </x:c>
      <x:c r="L442" s="1" t="n">
        <x:f>INT((J442-DATE(K442,1,4)+WEEKDAY(DATE(K442,1,4),2)-1)/7)+1</x:f>
        <x:v>22</x:v>
      </x:c>
      <x:c r="M442" s="1" t="str">
        <x:f>A442&amp;"|"&amp;B442</x:f>
        <x:v>43980|Краснодар</x:v>
      </x:c>
      <x:c r="N442" s="1" t="n">
        <x:f>COUNTIFS('Лист2'!$F$2:$F$505,M442)</x:f>
        <x:v>1</x:v>
      </x:c>
      <x:c r="O442" s="1"/>
      <x:c r="P442" s="1"/>
      <x:c r="Q442" s="1"/>
    </x:row>
    <x:row r="443" ht="21" customHeight="1">
      <x:c r="A443" s="5" t="n">
        <x:f>'Лист1'!A443</x:f>
        <x:v>43980</x:v>
      </x:c>
      <x:c r="B443" s="1" t="str">
        <x:f>'Лист1'!B443</x:f>
        <x:v>Москва Восток</x:v>
      </x:c>
      <x:c r="C443" s="1" t="n">
        <x:f>'Лист1'!C443</x:f>
        <x:v>226476</x:v>
      </x:c>
      <x:c r="D443" s="6" t="n">
        <x:f>'Лист1'!D443</x:f>
        <x:v>22416151.5</x:v>
      </x:c>
      <x:c r="E443" s="6" t="n">
        <x:f>'Лист1'!E443</x:f>
        <x:v>17175270.221</x:v>
      </x:c>
      <x:c r="F443" s="6" t="n">
        <x:f>'Лист1'!F443</x:f>
        <x:v>306548.18846153846</x:v>
      </x:c>
      <x:c r="G443" s="1" t="n">
        <x:f>IF(N443=1,SUMIFS('Лист2'!$C$2:$C$505,'Лист2'!$A$2:$A$505,A443,'Лист2'!$B$2:$B$505,B443),NA())</x:f>
        <x:v>54</x:v>
      </x:c>
      <x:c r="H443" s="1" t="n">
        <x:f>IF(N443=1,SUMIFS('Лист2'!$D$2:$D$505,'Лист2'!$A$2:$A$505,A443,'Лист2'!$B$2:$B$505,B443),NA())</x:f>
        <x:v>14031</x:v>
      </x:c>
      <x:c r="I443" s="1" t="n">
        <x:f>IF(N443=1,SUMIFS('Лист2'!$E$2:$E$505,'Лист2'!$A$2:$A$505,A443,'Лист2'!$B$2:$B$505,B443),NA())</x:f>
        <x:v>12943</x:v>
      </x:c>
      <x:c r="J443" s="5" t="n">
        <x:f>A443-WEEKDAY(A443,2)+1</x:f>
        <x:v>43976</x:v>
      </x:c>
      <x:c r="K443" s="1" t="n">
        <x:f>YEAR(J443+3)</x:f>
        <x:v>2020</x:v>
      </x:c>
      <x:c r="L443" s="1" t="n">
        <x:f>INT((J443-DATE(K443,1,4)+WEEKDAY(DATE(K443,1,4),2)-1)/7)+1</x:f>
        <x:v>22</x:v>
      </x:c>
      <x:c r="M443" s="1" t="str">
        <x:f>A443&amp;"|"&amp;B443</x:f>
        <x:v>43980|Москва Восток</x:v>
      </x:c>
      <x:c r="N443" s="1" t="n">
        <x:f>COUNTIFS('Лист2'!$F$2:$F$505,M443)</x:f>
        <x:v>1</x:v>
      </x:c>
      <x:c r="O443" s="1"/>
      <x:c r="P443" s="1"/>
      <x:c r="Q443" s="1"/>
    </x:row>
    <x:row r="444" ht="21" customHeight="1">
      <x:c r="A444" s="5" t="n">
        <x:f>'Лист1'!A444</x:f>
        <x:v>43980</x:v>
      </x:c>
      <x:c r="B444" s="1" t="str">
        <x:f>'Лист1'!B444</x:f>
        <x:v>Москва Запад</x:v>
      </x:c>
      <x:c r="C444" s="1" t="n">
        <x:f>'Лист1'!C444</x:f>
        <x:v>232102.5</x:v>
      </x:c>
      <x:c r="D444" s="6" t="n">
        <x:f>'Лист1'!D444</x:f>
        <x:v>23120443.5</x:v>
      </x:c>
      <x:c r="E444" s="6" t="n">
        <x:f>'Лист1'!E444</x:f>
        <x:v>17632080.519</x:v>
      </x:c>
      <x:c r="F444" s="6" t="n">
        <x:f>'Лист1'!F444</x:f>
        <x:v>331721.6692307692</x:v>
      </x:c>
      <x:c r="G444" s="1" t="n">
        <x:f>IF(N444=1,SUMIFS('Лист2'!$C$2:$C$505,'Лист2'!$A$2:$A$505,A444,'Лист2'!$B$2:$B$505,B444),NA())</x:f>
        <x:v>59</x:v>
      </x:c>
      <x:c r="H444" s="1" t="n">
        <x:f>IF(N444=1,SUMIFS('Лист2'!$D$2:$D$505,'Лист2'!$A$2:$A$505,A444,'Лист2'!$B$2:$B$505,B444),NA())</x:f>
        <x:v>14507</x:v>
      </x:c>
      <x:c r="I444" s="1" t="n">
        <x:f>IF(N444=1,SUMIFS('Лист2'!$E$2:$E$505,'Лист2'!$A$2:$A$505,A444,'Лист2'!$B$2:$B$505,B444),NA())</x:f>
        <x:v>13386</x:v>
      </x:c>
      <x:c r="J444" s="5" t="n">
        <x:f>A444-WEEKDAY(A444,2)+1</x:f>
        <x:v>43976</x:v>
      </x:c>
      <x:c r="K444" s="1" t="n">
        <x:f>YEAR(J444+3)</x:f>
        <x:v>2020</x:v>
      </x:c>
      <x:c r="L444" s="1" t="n">
        <x:f>INT((J444-DATE(K444,1,4)+WEEKDAY(DATE(K444,1,4),2)-1)/7)+1</x:f>
        <x:v>22</x:v>
      </x:c>
      <x:c r="M444" s="1" t="str">
        <x:f>A444&amp;"|"&amp;B444</x:f>
        <x:v>43980|Москва Запад</x:v>
      </x:c>
      <x:c r="N444" s="1" t="n">
        <x:f>COUNTIFS('Лист2'!$F$2:$F$505,M444)</x:f>
        <x:v>1</x:v>
      </x:c>
      <x:c r="O444" s="1"/>
      <x:c r="P444" s="1"/>
      <x:c r="Q444" s="1"/>
    </x:row>
    <x:row r="445" ht="21" customHeight="1">
      <x:c r="A445" s="5" t="n">
        <x:f>'Лист1'!A445</x:f>
        <x:v>43980</x:v>
      </x:c>
      <x:c r="B445" s="1" t="str">
        <x:f>'Лист1'!B445</x:f>
        <x:v>Нижний Новгород</x:v>
      </x:c>
      <x:c r="C445" s="1" t="n">
        <x:f>'Лист1'!C445</x:f>
        <x:v>35346</x:v>
      </x:c>
      <x:c r="D445" s="6" t="n">
        <x:f>'Лист1'!D445</x:f>
        <x:v>3258054</x:v>
      </x:c>
      <x:c r="E445" s="6" t="n">
        <x:f>'Лист1'!E445</x:f>
        <x:v>2595610.66</x:v>
      </x:c>
      <x:c r="F445" s="6" t="n">
        <x:f>'Лист1'!F445</x:f>
        <x:v>195198.78461538462</x:v>
      </x:c>
      <x:c r="G445" s="1" t="n">
        <x:f>IF(N445=1,SUMIFS('Лист2'!$C$2:$C$505,'Лист2'!$A$2:$A$505,A445,'Лист2'!$B$2:$B$505,B445),NA())</x:f>
        <x:v>20</x:v>
      </x:c>
      <x:c r="H445" s="1" t="n">
        <x:f>IF(N445=1,SUMIFS('Лист2'!$D$2:$D$505,'Лист2'!$A$2:$A$505,A445,'Лист2'!$B$2:$B$505,B445),NA())</x:f>
        <x:v>2249</x:v>
      </x:c>
      <x:c r="I445" s="1" t="n">
        <x:f>IF(N445=1,SUMIFS('Лист2'!$E$2:$E$505,'Лист2'!$A$2:$A$505,A445,'Лист2'!$B$2:$B$505,B445),NA())</x:f>
        <x:v>2000</x:v>
      </x:c>
      <x:c r="J445" s="5" t="n">
        <x:f>A445-WEEKDAY(A445,2)+1</x:f>
        <x:v>43976</x:v>
      </x:c>
      <x:c r="K445" s="1" t="n">
        <x:f>YEAR(J445+3)</x:f>
        <x:v>2020</x:v>
      </x:c>
      <x:c r="L445" s="1" t="n">
        <x:f>INT((J445-DATE(K445,1,4)+WEEKDAY(DATE(K445,1,4),2)-1)/7)+1</x:f>
        <x:v>22</x:v>
      </x:c>
      <x:c r="M445" s="1" t="str">
        <x:f>A445&amp;"|"&amp;B445</x:f>
        <x:v>43980|Нижний Новгород</x:v>
      </x:c>
      <x:c r="N445" s="1" t="n">
        <x:f>COUNTIFS('Лист2'!$F$2:$F$505,M445)</x:f>
        <x:v>1</x:v>
      </x:c>
      <x:c r="O445" s="1"/>
      <x:c r="P445" s="1"/>
      <x:c r="Q445" s="1"/>
    </x:row>
    <x:row r="446" ht="21" customHeight="1">
      <x:c r="A446" s="5" t="n">
        <x:f>'Лист1'!A446</x:f>
        <x:v>43980</x:v>
      </x:c>
      <x:c r="B446" s="1" t="str">
        <x:f>'Лист1'!B446</x:f>
        <x:v>Новосибирск</x:v>
      </x:c>
      <x:c r="C446" s="1" t="n">
        <x:f>'Лист1'!C446</x:f>
        <x:v>16878</x:v>
      </x:c>
      <x:c r="D446" s="6" t="n">
        <x:f>'Лист1'!D446</x:f>
        <x:v>1438255.5</x:v>
      </x:c>
      <x:c r="E446" s="6" t="n">
        <x:f>'Лист1'!E446</x:f>
        <x:v>1180692.704</x:v>
      </x:c>
      <x:c r="F446" s="6" t="n">
        <x:f>'Лист1'!F446</x:f>
        <x:v>102040.10621538461</x:v>
      </x:c>
      <x:c r="G446" s="1" t="n">
        <x:f>IF(N446=1,SUMIFS('Лист2'!$C$2:$C$505,'Лист2'!$A$2:$A$505,A446,'Лист2'!$B$2:$B$505,B446),NA())</x:f>
        <x:v>18</x:v>
      </x:c>
      <x:c r="H446" s="1" t="n">
        <x:f>IF(N446=1,SUMIFS('Лист2'!$D$2:$D$505,'Лист2'!$A$2:$A$505,A446,'Лист2'!$B$2:$B$505,B446),NA())</x:f>
        <x:v>1014</x:v>
      </x:c>
      <x:c r="I446" s="1" t="n">
        <x:f>IF(N446=1,SUMIFS('Лист2'!$E$2:$E$505,'Лист2'!$A$2:$A$505,A446,'Лист2'!$B$2:$B$505,B446),NA())</x:f>
        <x:v>893</x:v>
      </x:c>
      <x:c r="J446" s="5" t="n">
        <x:f>A446-WEEKDAY(A446,2)+1</x:f>
        <x:v>43976</x:v>
      </x:c>
      <x:c r="K446" s="1" t="n">
        <x:f>YEAR(J446+3)</x:f>
        <x:v>2020</x:v>
      </x:c>
      <x:c r="L446" s="1" t="n">
        <x:f>INT((J446-DATE(K446,1,4)+WEEKDAY(DATE(K446,1,4),2)-1)/7)+1</x:f>
        <x:v>22</x:v>
      </x:c>
      <x:c r="M446" s="1" t="str">
        <x:f>A446&amp;"|"&amp;B446</x:f>
        <x:v>43980|Новосибирск</x:v>
      </x:c>
      <x:c r="N446" s="1" t="n">
        <x:f>COUNTIFS('Лист2'!$F$2:$F$505,M446)</x:f>
        <x:v>1</x:v>
      </x:c>
      <x:c r="O446" s="1"/>
      <x:c r="P446" s="1"/>
      <x:c r="Q446" s="1"/>
    </x:row>
    <x:row r="447" ht="21" customHeight="1">
      <x:c r="A447" s="5" t="n">
        <x:f>'Лист1'!A447</x:f>
        <x:v>43980</x:v>
      </x:c>
      <x:c r="B447" s="1" t="str">
        <x:f>'Лист1'!B447</x:f>
        <x:v>Пермь</x:v>
      </x:c>
      <x:c r="C447" s="1" t="n">
        <x:f>'Лист1'!C447</x:f>
        <x:v>19647</x:v>
      </x:c>
      <x:c r="D447" s="6" t="n">
        <x:f>'Лист1'!D447</x:f>
        <x:v>1764669</x:v>
      </x:c>
      <x:c r="E447" s="6" t="n">
        <x:f>'Лист1'!E447</x:f>
        <x:v>1409485.402</x:v>
      </x:c>
      <x:c r="F447" s="6" t="n">
        <x:f>'Лист1'!F447</x:f>
        <x:v>182377.32307692306</x:v>
      </x:c>
      <x:c r="G447" s="1" t="n">
        <x:f>IF(N447=1,SUMIFS('Лист2'!$C$2:$C$505,'Лист2'!$A$2:$A$505,A447,'Лист2'!$B$2:$B$505,B447),NA())</x:f>
        <x:v>17</x:v>
      </x:c>
      <x:c r="H447" s="1" t="n">
        <x:f>IF(N447=1,SUMIFS('Лист2'!$D$2:$D$505,'Лист2'!$A$2:$A$505,A447,'Лист2'!$B$2:$B$505,B447),NA())</x:f>
        <x:v>1296</x:v>
      </x:c>
      <x:c r="I447" s="1" t="n">
        <x:f>IF(N447=1,SUMIFS('Лист2'!$E$2:$E$505,'Лист2'!$A$2:$A$505,A447,'Лист2'!$B$2:$B$505,B447),NA())</x:f>
        <x:v>1153</x:v>
      </x:c>
      <x:c r="J447" s="5" t="n">
        <x:f>A447-WEEKDAY(A447,2)+1</x:f>
        <x:v>43976</x:v>
      </x:c>
      <x:c r="K447" s="1" t="n">
        <x:f>YEAR(J447+3)</x:f>
        <x:v>2020</x:v>
      </x:c>
      <x:c r="L447" s="1" t="n">
        <x:f>INT((J447-DATE(K447,1,4)+WEEKDAY(DATE(K447,1,4),2)-1)/7)+1</x:f>
        <x:v>22</x:v>
      </x:c>
      <x:c r="M447" s="1" t="str">
        <x:f>A447&amp;"|"&amp;B447</x:f>
        <x:v>43980|Пермь</x:v>
      </x:c>
      <x:c r="N447" s="1" t="n">
        <x:f>COUNTIFS('Лист2'!$F$2:$F$505,M447)</x:f>
        <x:v>1</x:v>
      </x:c>
      <x:c r="O447" s="1"/>
      <x:c r="P447" s="1"/>
      <x:c r="Q447" s="1"/>
    </x:row>
    <x:row r="448" ht="21" customHeight="1">
      <x:c r="A448" s="5" t="n">
        <x:f>'Лист1'!A448</x:f>
        <x:v>43980</x:v>
      </x:c>
      <x:c r="B448" s="1" t="str">
        <x:f>'Лист1'!B448</x:f>
        <x:v>Ростов-на-Дону</x:v>
      </x:c>
      <x:c r="C448" s="1" t="n">
        <x:f>'Лист1'!C448</x:f>
        <x:v>17052</x:v>
      </x:c>
      <x:c r="D448" s="6" t="n">
        <x:f>'Лист1'!D448</x:f>
        <x:v>1549020</x:v>
      </x:c>
      <x:c r="E448" s="6" t="n">
        <x:f>'Лист1'!E448</x:f>
        <x:v>1246591.997</x:v>
      </x:c>
      <x:c r="F448" s="6" t="n">
        <x:f>'Лист1'!F448</x:f>
        <x:v>104864.4846153846</x:v>
      </x:c>
      <x:c r="G448" s="1" t="n">
        <x:f>IF(N448=1,SUMIFS('Лист2'!$C$2:$C$505,'Лист2'!$A$2:$A$505,A448,'Лист2'!$B$2:$B$505,B448),NA())</x:f>
        <x:v>16</x:v>
      </x:c>
      <x:c r="H448" s="1" t="n">
        <x:f>IF(N448=1,SUMIFS('Лист2'!$D$2:$D$505,'Лист2'!$A$2:$A$505,A448,'Лист2'!$B$2:$B$505,B448),NA())</x:f>
        <x:v>981</x:v>
      </x:c>
      <x:c r="I448" s="1" t="n">
        <x:f>IF(N448=1,SUMIFS('Лист2'!$E$2:$E$505,'Лист2'!$A$2:$A$505,A448,'Лист2'!$B$2:$B$505,B448),NA())</x:f>
        <x:v>859</x:v>
      </x:c>
      <x:c r="J448" s="5" t="n">
        <x:f>A448-WEEKDAY(A448,2)+1</x:f>
        <x:v>43976</x:v>
      </x:c>
      <x:c r="K448" s="1" t="n">
        <x:f>YEAR(J448+3)</x:f>
        <x:v>2020</x:v>
      </x:c>
      <x:c r="L448" s="1" t="n">
        <x:f>INT((J448-DATE(K448,1,4)+WEEKDAY(DATE(K448,1,4),2)-1)/7)+1</x:f>
        <x:v>22</x:v>
      </x:c>
      <x:c r="M448" s="1" t="str">
        <x:f>A448&amp;"|"&amp;B448</x:f>
        <x:v>43980|Ростов-на-Дону</x:v>
      </x:c>
      <x:c r="N448" s="1" t="n">
        <x:f>COUNTIFS('Лист2'!$F$2:$F$505,M448)</x:f>
        <x:v>1</x:v>
      </x:c>
      <x:c r="O448" s="1"/>
      <x:c r="P448" s="1"/>
      <x:c r="Q448" s="1"/>
    </x:row>
    <x:row r="449" ht="21" customHeight="1">
      <x:c r="A449" s="5" t="n">
        <x:f>'Лист1'!A449</x:f>
        <x:v>43980</x:v>
      </x:c>
      <x:c r="B449" s="1" t="str">
        <x:f>'Лист1'!B449</x:f>
        <x:v>Самара</x:v>
      </x:c>
      <x:c r="C449" s="1" t="n">
        <x:f>'Лист1'!C449</x:f>
        <x:v>8350.5</x:v>
      </x:c>
      <x:c r="D449" s="6" t="n">
        <x:f>'Лист1'!D449</x:f>
        <x:v>651237</x:v>
      </x:c>
      <x:c r="E449" s="6" t="n">
        <x:f>'Лист1'!E449</x:f>
        <x:v>601485.126</x:v>
      </x:c>
      <x:c r="F449" s="6" t="n">
        <x:f>'Лист1'!F449</x:f>
        <x:v>83014.63505384616</x:v>
      </x:c>
      <x:c r="G449" s="1" t="n">
        <x:f>IF(N449=1,SUMIFS('Лист2'!$C$2:$C$505,'Лист2'!$A$2:$A$505,A449,'Лист2'!$B$2:$B$505,B449),NA())</x:f>
        <x:v>15</x:v>
      </x:c>
      <x:c r="H449" s="1" t="n">
        <x:f>IF(N449=1,SUMIFS('Лист2'!$D$2:$D$505,'Лист2'!$A$2:$A$505,A449,'Лист2'!$B$2:$B$505,B449),NA())</x:f>
        <x:v>400</x:v>
      </x:c>
      <x:c r="I449" s="1" t="n">
        <x:f>IF(N449=1,SUMIFS('Лист2'!$E$2:$E$505,'Лист2'!$A$2:$A$505,A449,'Лист2'!$B$2:$B$505,B449),NA())</x:f>
        <x:v>329</x:v>
      </x:c>
      <x:c r="J449" s="5" t="n">
        <x:f>A449-WEEKDAY(A449,2)+1</x:f>
        <x:v>43976</x:v>
      </x:c>
      <x:c r="K449" s="1" t="n">
        <x:f>YEAR(J449+3)</x:f>
        <x:v>2020</x:v>
      </x:c>
      <x:c r="L449" s="1" t="n">
        <x:f>INT((J449-DATE(K449,1,4)+WEEKDAY(DATE(K449,1,4),2)-1)/7)+1</x:f>
        <x:v>22</x:v>
      </x:c>
      <x:c r="M449" s="1" t="str">
        <x:f>A449&amp;"|"&amp;B449</x:f>
        <x:v>43980|Самара</x:v>
      </x:c>
      <x:c r="N449" s="1" t="n">
        <x:f>COUNTIFS('Лист2'!$F$2:$F$505,M449)</x:f>
        <x:v>1</x:v>
      </x:c>
      <x:c r="O449" s="1"/>
      <x:c r="P449" s="1"/>
      <x:c r="Q449" s="1"/>
    </x:row>
    <x:row r="450" ht="21" customHeight="1">
      <x:c r="A450" s="5" t="n">
        <x:f>'Лист1'!A450</x:f>
        <x:v>43980</x:v>
      </x:c>
      <x:c r="B450" s="1" t="str">
        <x:f>'Лист1'!B450</x:f>
        <x:v>Санкт-Петербург Север</x:v>
      </x:c>
      <x:c r="C450" s="1" t="n">
        <x:f>'Лист1'!C450</x:f>
        <x:v>524481</x:v>
      </x:c>
      <x:c r="D450" s="6" t="n">
        <x:f>'Лист1'!D450</x:f>
        <x:v>54172029</x:v>
      </x:c>
      <x:c r="E450" s="6" t="n">
        <x:f>'Лист1'!E450</x:f>
        <x:v>41382275.210999995</x:v>
      </x:c>
      <x:c r="F450" s="6" t="n">
        <x:f>'Лист1'!F450</x:f>
        <x:v>512623.0388076923</x:v>
      </x:c>
      <x:c r="G450" s="1" t="n">
        <x:f>IF(N450=1,SUMIFS('Лист2'!$C$2:$C$505,'Лист2'!$A$2:$A$505,A450,'Лист2'!$B$2:$B$505,B450),NA())</x:f>
        <x:v>124</x:v>
      </x:c>
      <x:c r="H450" s="1" t="n">
        <x:f>IF(N450=1,SUMIFS('Лист2'!$D$2:$D$505,'Лист2'!$A$2:$A$505,A450,'Лист2'!$B$2:$B$505,B450),NA())</x:f>
        <x:v>25828</x:v>
      </x:c>
      <x:c r="I450" s="1" t="n">
        <x:f>IF(N450=1,SUMIFS('Лист2'!$E$2:$E$505,'Лист2'!$A$2:$A$505,A450,'Лист2'!$B$2:$B$505,B450),NA())</x:f>
        <x:v>23974</x:v>
      </x:c>
      <x:c r="J450" s="5" t="n">
        <x:f>A450-WEEKDAY(A450,2)+1</x:f>
        <x:v>43976</x:v>
      </x:c>
      <x:c r="K450" s="1" t="n">
        <x:f>YEAR(J450+3)</x:f>
        <x:v>2020</x:v>
      </x:c>
      <x:c r="L450" s="1" t="n">
        <x:f>INT((J450-DATE(K450,1,4)+WEEKDAY(DATE(K450,1,4),2)-1)/7)+1</x:f>
        <x:v>22</x:v>
      </x:c>
      <x:c r="M450" s="1" t="str">
        <x:f>A450&amp;"|"&amp;B450</x:f>
        <x:v>43980|Санкт-Петербург Север</x:v>
      </x:c>
      <x:c r="N450" s="1" t="n">
        <x:f>COUNTIFS('Лист2'!$F$2:$F$505,M450)</x:f>
        <x:v>1</x:v>
      </x:c>
      <x:c r="O450" s="1"/>
      <x:c r="P450" s="1"/>
      <x:c r="Q450" s="1"/>
    </x:row>
    <x:row r="451" ht="21" customHeight="1">
      <x:c r="A451" s="5" t="n">
        <x:f>'Лист1'!A451</x:f>
        <x:v>43980</x:v>
      </x:c>
      <x:c r="B451" s="1" t="str">
        <x:f>'Лист1'!B451</x:f>
        <x:v>Санкт-Петербург Юг</x:v>
      </x:c>
      <x:c r="C451" s="1" t="n">
        <x:f>'Лист1'!C451</x:f>
        <x:v>422965.5</x:v>
      </x:c>
      <x:c r="D451" s="6" t="n">
        <x:f>'Лист1'!D451</x:f>
        <x:v>41767140.105000004</x:v>
      </x:c>
      <x:c r="E451" s="6" t="n">
        <x:f>'Лист1'!E451</x:f>
        <x:v>32361318.847</x:v>
      </x:c>
      <x:c r="F451" s="6" t="n">
        <x:f>'Лист1'!F451</x:f>
        <x:v>525087.9153846154</x:v>
      </x:c>
      <x:c r="G451" s="1" t="n">
        <x:f>IF(N451=1,SUMIFS('Лист2'!$C$2:$C$505,'Лист2'!$A$2:$A$505,A451,'Лист2'!$B$2:$B$505,B451),NA())</x:f>
        <x:v>129</x:v>
      </x:c>
      <x:c r="H451" s="1" t="n">
        <x:f>IF(N451=1,SUMIFS('Лист2'!$D$2:$D$505,'Лист2'!$A$2:$A$505,A451,'Лист2'!$B$2:$B$505,B451),NA())</x:f>
        <x:v>22403</x:v>
      </x:c>
      <x:c r="I451" s="1" t="n">
        <x:f>IF(N451=1,SUMIFS('Лист2'!$E$2:$E$505,'Лист2'!$A$2:$A$505,A451,'Лист2'!$B$2:$B$505,B451),NA())</x:f>
        <x:v>20676</x:v>
      </x:c>
      <x:c r="J451" s="5" t="n">
        <x:f>A451-WEEKDAY(A451,2)+1</x:f>
        <x:v>43976</x:v>
      </x:c>
      <x:c r="K451" s="1" t="n">
        <x:f>YEAR(J451+3)</x:f>
        <x:v>2020</x:v>
      </x:c>
      <x:c r="L451" s="1" t="n">
        <x:f>INT((J451-DATE(K451,1,4)+WEEKDAY(DATE(K451,1,4),2)-1)/7)+1</x:f>
        <x:v>22</x:v>
      </x:c>
      <x:c r="M451" s="1" t="str">
        <x:f>A451&amp;"|"&amp;B451</x:f>
        <x:v>43980|Санкт-Петербург Юг</x:v>
      </x:c>
      <x:c r="N451" s="1" t="n">
        <x:f>COUNTIFS('Лист2'!$F$2:$F$505,M451)</x:f>
        <x:v>1</x:v>
      </x:c>
      <x:c r="O451" s="1"/>
      <x:c r="P451" s="1"/>
      <x:c r="Q451" s="1"/>
    </x:row>
    <x:row r="452" ht="21" customHeight="1">
      <x:c r="A452" s="5" t="n">
        <x:f>'Лист1'!A452</x:f>
        <x:v>43980</x:v>
      </x:c>
      <x:c r="B452" s="1" t="str">
        <x:f>'Лист1'!B452</x:f>
        <x:v>Тольятти</x:v>
      </x:c>
      <x:c r="C452" s="1" t="n">
        <x:f>'Лист1'!C452</x:f>
        <x:v>14823</x:v>
      </x:c>
      <x:c r="D452" s="6" t="n">
        <x:f>'Лист1'!D452</x:f>
        <x:v>1273464</x:v>
      </x:c>
      <x:c r="E452" s="6" t="n">
        <x:f>'Лист1'!E452</x:f>
        <x:v>1068326.937</x:v>
      </x:c>
      <x:c r="F452" s="6" t="n">
        <x:f>'Лист1'!F452</x:f>
        <x:v>76299.02338461539</x:v>
      </x:c>
      <x:c r="G452" s="1" t="n">
        <x:f>IF(N452=1,SUMIFS('Лист2'!$C$2:$C$505,'Лист2'!$A$2:$A$505,A452,'Лист2'!$B$2:$B$505,B452),NA())</x:f>
        <x:v>10</x:v>
      </x:c>
      <x:c r="H452" s="1" t="n">
        <x:f>IF(N452=1,SUMIFS('Лист2'!$D$2:$D$505,'Лист2'!$A$2:$A$505,A452,'Лист2'!$B$2:$B$505,B452),NA())</x:f>
        <x:v>873</x:v>
      </x:c>
      <x:c r="I452" s="1" t="n">
        <x:f>IF(N452=1,SUMIFS('Лист2'!$E$2:$E$505,'Лист2'!$A$2:$A$505,A452,'Лист2'!$B$2:$B$505,B452),NA())</x:f>
        <x:v>770</x:v>
      </x:c>
      <x:c r="J452" s="5" t="n">
        <x:f>A452-WEEKDAY(A452,2)+1</x:f>
        <x:v>43976</x:v>
      </x:c>
      <x:c r="K452" s="1" t="n">
        <x:f>YEAR(J452+3)</x:f>
        <x:v>2020</x:v>
      </x:c>
      <x:c r="L452" s="1" t="n">
        <x:f>INT((J452-DATE(K452,1,4)+WEEKDAY(DATE(K452,1,4),2)-1)/7)+1</x:f>
        <x:v>22</x:v>
      </x:c>
      <x:c r="M452" s="1" t="str">
        <x:f>A452&amp;"|"&amp;B452</x:f>
        <x:v>43980|Тольятти</x:v>
      </x:c>
      <x:c r="N452" s="1" t="n">
        <x:f>COUNTIFS('Лист2'!$F$2:$F$505,M452)</x:f>
        <x:v>1</x:v>
      </x:c>
      <x:c r="O452" s="1"/>
      <x:c r="P452" s="1"/>
      <x:c r="Q452" s="1"/>
    </x:row>
    <x:row r="453" ht="21" customHeight="1">
      <x:c r="A453" s="5" t="n">
        <x:f>'Лист1'!A453</x:f>
        <x:v>43980</x:v>
      </x:c>
      <x:c r="B453" s="1" t="str">
        <x:f>'Лист1'!B453</x:f>
        <x:v>Тюмень</x:v>
      </x:c>
      <x:c r="C453" s="1" t="n">
        <x:f>'Лист1'!C453</x:f>
        <x:v>9927</x:v>
      </x:c>
      <x:c r="D453" s="6" t="n">
        <x:f>'Лист1'!D453</x:f>
        <x:v>850840.5</x:v>
      </x:c>
      <x:c r="E453" s="6" t="n">
        <x:f>'Лист1'!E453</x:f>
        <x:v>733232.389</x:v>
      </x:c>
      <x:c r="F453" s="6" t="n">
        <x:f>'Лист1'!F453</x:f>
        <x:v>51066.35384615384</x:v>
      </x:c>
      <x:c r="G453" s="1" t="n">
        <x:f>IF(N453=1,SUMIFS('Лист2'!$C$2:$C$505,'Лист2'!$A$2:$A$505,A453,'Лист2'!$B$2:$B$505,B453),NA())</x:f>
        <x:v>7</x:v>
      </x:c>
      <x:c r="H453" s="1" t="n">
        <x:f>IF(N453=1,SUMIFS('Лист2'!$D$2:$D$505,'Лист2'!$A$2:$A$505,A453,'Лист2'!$B$2:$B$505,B453),NA())</x:f>
        <x:v>491</x:v>
      </x:c>
      <x:c r="I453" s="1" t="n">
        <x:f>IF(N453=1,SUMIFS('Лист2'!$E$2:$E$505,'Лист2'!$A$2:$A$505,A453,'Лист2'!$B$2:$B$505,B453),NA())</x:f>
        <x:v>411</x:v>
      </x:c>
      <x:c r="J453" s="5" t="n">
        <x:f>A453-WEEKDAY(A453,2)+1</x:f>
        <x:v>43976</x:v>
      </x:c>
      <x:c r="K453" s="1" t="n">
        <x:f>YEAR(J453+3)</x:f>
        <x:v>2020</x:v>
      </x:c>
      <x:c r="L453" s="1" t="n">
        <x:f>INT((J453-DATE(K453,1,4)+WEEKDAY(DATE(K453,1,4),2)-1)/7)+1</x:f>
        <x:v>22</x:v>
      </x:c>
      <x:c r="M453" s="1" t="str">
        <x:f>A453&amp;"|"&amp;B453</x:f>
        <x:v>43980|Тюмень</x:v>
      </x:c>
      <x:c r="N453" s="1" t="n">
        <x:f>COUNTIFS('Лист2'!$F$2:$F$505,M453)</x:f>
        <x:v>1</x:v>
      </x:c>
      <x:c r="O453" s="1"/>
      <x:c r="P453" s="1"/>
      <x:c r="Q453" s="1"/>
    </x:row>
    <x:row r="454" ht="21" customHeight="1">
      <x:c r="A454" s="5" t="n">
        <x:f>'Лист1'!A454</x:f>
        <x:v>43981</x:v>
      </x:c>
      <x:c r="B454" s="1" t="str">
        <x:f>'Лист1'!B454</x:f>
        <x:v>Волгоград</x:v>
      </x:c>
      <x:c r="C454" s="1" t="n">
        <x:f>'Лист1'!C454</x:f>
        <x:v>106926</x:v>
      </x:c>
      <x:c r="D454" s="6" t="n">
        <x:f>'Лист1'!D454</x:f>
        <x:v>9098386.5</x:v>
      </x:c>
      <x:c r="E454" s="6" t="n">
        <x:f>'Лист1'!E454</x:f>
        <x:v>7354572.011</x:v>
      </x:c>
      <x:c r="F454" s="6" t="n">
        <x:f>'Лист1'!F454</x:f>
        <x:v>193869.5929230769</x:v>
      </x:c>
      <x:c r="G454" s="1" t="n">
        <x:f>IF(N454=1,SUMIFS('Лист2'!$C$2:$C$505,'Лист2'!$A$2:$A$505,A454,'Лист2'!$B$2:$B$505,B454),NA())</x:f>
        <x:v>37</x:v>
      </x:c>
      <x:c r="H454" s="1" t="n">
        <x:f>IF(N454=1,SUMIFS('Лист2'!$D$2:$D$505,'Лист2'!$A$2:$A$505,A454,'Лист2'!$B$2:$B$505,B454),NA())</x:f>
        <x:v>6645</x:v>
      </x:c>
      <x:c r="I454" s="1" t="n">
        <x:f>IF(N454=1,SUMIFS('Лист2'!$E$2:$E$505,'Лист2'!$A$2:$A$505,A454,'Лист2'!$B$2:$B$505,B454),NA())</x:f>
        <x:v>6122</x:v>
      </x:c>
      <x:c r="J454" s="5" t="n">
        <x:f>A454-WEEKDAY(A454,2)+1</x:f>
        <x:v>43976</x:v>
      </x:c>
      <x:c r="K454" s="1" t="n">
        <x:f>YEAR(J454+3)</x:f>
        <x:v>2020</x:v>
      </x:c>
      <x:c r="L454" s="1" t="n">
        <x:f>INT((J454-DATE(K454,1,4)+WEEKDAY(DATE(K454,1,4),2)-1)/7)+1</x:f>
        <x:v>22</x:v>
      </x:c>
      <x:c r="M454" s="1" t="str">
        <x:f>A454&amp;"|"&amp;B454</x:f>
        <x:v>43981|Волгоград</x:v>
      </x:c>
      <x:c r="N454" s="1" t="n">
        <x:f>COUNTIFS('Лист2'!$F$2:$F$505,M454)</x:f>
        <x:v>1</x:v>
      </x:c>
      <x:c r="O454" s="1"/>
      <x:c r="P454" s="1"/>
      <x:c r="Q454" s="1"/>
    </x:row>
    <x:row r="455" ht="21" customHeight="1">
      <x:c r="A455" s="5" t="n">
        <x:f>'Лист1'!A455</x:f>
        <x:v>43981</x:v>
      </x:c>
      <x:c r="B455" s="1" t="str">
        <x:f>'Лист1'!B455</x:f>
        <x:v>Екатеринбург</x:v>
      </x:c>
      <x:c r="C455" s="1" t="n">
        <x:f>'Лист1'!C455</x:f>
        <x:v>108123</x:v>
      </x:c>
      <x:c r="D455" s="6" t="n">
        <x:f>'Лист1'!D455</x:f>
        <x:v>9164707.5</x:v>
      </x:c>
      <x:c r="E455" s="6" t="n">
        <x:f>'Лист1'!E455</x:f>
        <x:v>7329868.665</x:v>
      </x:c>
      <x:c r="F455" s="6" t="n">
        <x:f>'Лист1'!F455</x:f>
        <x:v>137418.1593076923</x:v>
      </x:c>
      <x:c r="G455" s="1" t="n">
        <x:f>IF(N455=1,SUMIFS('Лист2'!$C$2:$C$505,'Лист2'!$A$2:$A$505,A455,'Лист2'!$B$2:$B$505,B455),NA())</x:f>
        <x:v>31</x:v>
      </x:c>
      <x:c r="H455" s="1" t="n">
        <x:f>IF(N455=1,SUMIFS('Лист2'!$D$2:$D$505,'Лист2'!$A$2:$A$505,A455,'Лист2'!$B$2:$B$505,B455),NA())</x:f>
        <x:v>6735</x:v>
      </x:c>
      <x:c r="I455" s="1" t="n">
        <x:f>IF(N455=1,SUMIFS('Лист2'!$E$2:$E$505,'Лист2'!$A$2:$A$505,A455,'Лист2'!$B$2:$B$505,B455),NA())</x:f>
        <x:v>6264</x:v>
      </x:c>
      <x:c r="J455" s="5" t="n">
        <x:f>A455-WEEKDAY(A455,2)+1</x:f>
        <x:v>43976</x:v>
      </x:c>
      <x:c r="K455" s="1" t="n">
        <x:f>YEAR(J455+3)</x:f>
        <x:v>2020</x:v>
      </x:c>
      <x:c r="L455" s="1" t="n">
        <x:f>INT((J455-DATE(K455,1,4)+WEEKDAY(DATE(K455,1,4),2)-1)/7)+1</x:f>
        <x:v>22</x:v>
      </x:c>
      <x:c r="M455" s="1" t="str">
        <x:f>A455&amp;"|"&amp;B455</x:f>
        <x:v>43981|Екатеринбург</x:v>
      </x:c>
      <x:c r="N455" s="1" t="n">
        <x:f>COUNTIFS('Лист2'!$F$2:$F$505,M455)</x:f>
        <x:v>1</x:v>
      </x:c>
      <x:c r="O455" s="1"/>
      <x:c r="P455" s="1"/>
      <x:c r="Q455" s="1"/>
    </x:row>
    <x:row r="456" ht="21" customHeight="1">
      <x:c r="A456" s="5" t="n">
        <x:f>'Лист1'!A456</x:f>
        <x:v>43981</x:v>
      </x:c>
      <x:c r="B456" s="1" t="str">
        <x:f>'Лист1'!B456</x:f>
        <x:v>Казань</x:v>
      </x:c>
      <x:c r="C456" s="1" t="n">
        <x:f>'Лист1'!C456</x:f>
        <x:v>48286.5</x:v>
      </x:c>
      <x:c r="D456" s="6" t="n">
        <x:f>'Лист1'!D456</x:f>
        <x:v>4456441.5</x:v>
      </x:c>
      <x:c r="E456" s="6" t="n">
        <x:f>'Лист1'!E456</x:f>
        <x:v>3473157.545</x:v>
      </x:c>
      <x:c r="F456" s="6" t="n">
        <x:f>'Лист1'!F456</x:f>
        <x:v>205639.55141538463</x:v>
      </x:c>
      <x:c r="G456" s="1" t="n">
        <x:f>IF(N456=1,SUMIFS('Лист2'!$C$2:$C$505,'Лист2'!$A$2:$A$505,A456,'Лист2'!$B$2:$B$505,B456),NA())</x:f>
        <x:v>22</x:v>
      </x:c>
      <x:c r="H456" s="1" t="n">
        <x:f>IF(N456=1,SUMIFS('Лист2'!$D$2:$D$505,'Лист2'!$A$2:$A$505,A456,'Лист2'!$B$2:$B$505,B456),NA())</x:f>
        <x:v>2793</x:v>
      </x:c>
      <x:c r="I456" s="1" t="n">
        <x:f>IF(N456=1,SUMIFS('Лист2'!$E$2:$E$505,'Лист2'!$A$2:$A$505,A456,'Лист2'!$B$2:$B$505,B456),NA())</x:f>
        <x:v>2539</x:v>
      </x:c>
      <x:c r="J456" s="5" t="n">
        <x:f>A456-WEEKDAY(A456,2)+1</x:f>
        <x:v>43976</x:v>
      </x:c>
      <x:c r="K456" s="1" t="n">
        <x:f>YEAR(J456+3)</x:f>
        <x:v>2020</x:v>
      </x:c>
      <x:c r="L456" s="1" t="n">
        <x:f>INT((J456-DATE(K456,1,4)+WEEKDAY(DATE(K456,1,4),2)-1)/7)+1</x:f>
        <x:v>22</x:v>
      </x:c>
      <x:c r="M456" s="1" t="str">
        <x:f>A456&amp;"|"&amp;B456</x:f>
        <x:v>43981|Казань</x:v>
      </x:c>
      <x:c r="N456" s="1" t="n">
        <x:f>COUNTIFS('Лист2'!$F$2:$F$505,M456)</x:f>
        <x:v>1</x:v>
      </x:c>
      <x:c r="O456" s="1"/>
      <x:c r="P456" s="1"/>
      <x:c r="Q456" s="1"/>
    </x:row>
    <x:row r="457" ht="21" customHeight="1">
      <x:c r="A457" s="5" t="n">
        <x:f>'Лист1'!A457</x:f>
        <x:v>43981</x:v>
      </x:c>
      <x:c r="B457" s="1" t="str">
        <x:f>'Лист1'!B457</x:f>
        <x:v>Кемерово</x:v>
      </x:c>
      <x:c r="C457" s="1" t="n">
        <x:f>'Лист1'!C457</x:f>
        <x:v>44001</x:v>
      </x:c>
      <x:c r="D457" s="6" t="n">
        <x:f>'Лист1'!D457</x:f>
        <x:v>3921784.5</x:v>
      </x:c>
      <x:c r="E457" s="6" t="n">
        <x:f>'Лист1'!E457</x:f>
        <x:v>3132604.841</x:v>
      </x:c>
      <x:c r="F457" s="6" t="n">
        <x:f>'Лист1'!F457</x:f>
        <x:v>242715.2625384615</x:v>
      </x:c>
      <x:c r="G457" s="1" t="n">
        <x:f>IF(N457=1,SUMIFS('Лист2'!$C$2:$C$505,'Лист2'!$A$2:$A$505,A457,'Лист2'!$B$2:$B$505,B457),NA())</x:f>
        <x:v>20</x:v>
      </x:c>
      <x:c r="H457" s="1" t="n">
        <x:f>IF(N457=1,SUMIFS('Лист2'!$D$2:$D$505,'Лист2'!$A$2:$A$505,A457,'Лист2'!$B$2:$B$505,B457),NA())</x:f>
        <x:v>2597</x:v>
      </x:c>
      <x:c r="I457" s="1" t="n">
        <x:f>IF(N457=1,SUMIFS('Лист2'!$E$2:$E$505,'Лист2'!$A$2:$A$505,A457,'Лист2'!$B$2:$B$505,B457),NA())</x:f>
        <x:v>2376</x:v>
      </x:c>
      <x:c r="J457" s="5" t="n">
        <x:f>A457-WEEKDAY(A457,2)+1</x:f>
        <x:v>43976</x:v>
      </x:c>
      <x:c r="K457" s="1" t="n">
        <x:f>YEAR(J457+3)</x:f>
        <x:v>2020</x:v>
      </x:c>
      <x:c r="L457" s="1" t="n">
        <x:f>INT((J457-DATE(K457,1,4)+WEEKDAY(DATE(K457,1,4),2)-1)/7)+1</x:f>
        <x:v>22</x:v>
      </x:c>
      <x:c r="M457" s="1" t="str">
        <x:f>A457&amp;"|"&amp;B457</x:f>
        <x:v>43981|Кемерово</x:v>
      </x:c>
      <x:c r="N457" s="1" t="n">
        <x:f>COUNTIFS('Лист2'!$F$2:$F$505,M457)</x:f>
        <x:v>1</x:v>
      </x:c>
      <x:c r="O457" s="1"/>
      <x:c r="P457" s="1"/>
      <x:c r="Q457" s="1"/>
    </x:row>
    <x:row r="458" ht="21" customHeight="1">
      <x:c r="A458" s="5" t="n">
        <x:f>'Лист1'!A458</x:f>
        <x:v>43981</x:v>
      </x:c>
      <x:c r="B458" s="1" t="str">
        <x:f>'Лист1'!B458</x:f>
        <x:v>Краснодар</x:v>
      </x:c>
      <x:c r="C458" s="1" t="n">
        <x:f>'Лист1'!C458</x:f>
        <x:v>34681.5</x:v>
      </x:c>
      <x:c r="D458" s="6" t="n">
        <x:f>'Лист1'!D458</x:f>
        <x:v>3005334</x:v>
      </x:c>
      <x:c r="E458" s="6" t="n">
        <x:f>'Лист1'!E458</x:f>
        <x:v>2408136.819</x:v>
      </x:c>
      <x:c r="F458" s="6" t="n">
        <x:f>'Лист1'!F458</x:f>
        <x:v>113231.09230769232</x:v>
      </x:c>
      <x:c r="G458" s="1" t="n">
        <x:f>IF(N458=1,SUMIFS('Лист2'!$C$2:$C$505,'Лист2'!$A$2:$A$505,A458,'Лист2'!$B$2:$B$505,B458),NA())</x:f>
        <x:v>20</x:v>
      </x:c>
      <x:c r="H458" s="1" t="n">
        <x:f>IF(N458=1,SUMIFS('Лист2'!$D$2:$D$505,'Лист2'!$A$2:$A$505,A458,'Лист2'!$B$2:$B$505,B458),NA())</x:f>
        <x:v>2174</x:v>
      </x:c>
      <x:c r="I458" s="1" t="n">
        <x:f>IF(N458=1,SUMIFS('Лист2'!$E$2:$E$505,'Лист2'!$A$2:$A$505,A458,'Лист2'!$B$2:$B$505,B458),NA())</x:f>
        <x:v>1957</x:v>
      </x:c>
      <x:c r="J458" s="5" t="n">
        <x:f>A458-WEEKDAY(A458,2)+1</x:f>
        <x:v>43976</x:v>
      </x:c>
      <x:c r="K458" s="1" t="n">
        <x:f>YEAR(J458+3)</x:f>
        <x:v>2020</x:v>
      </x:c>
      <x:c r="L458" s="1" t="n">
        <x:f>INT((J458-DATE(K458,1,4)+WEEKDAY(DATE(K458,1,4),2)-1)/7)+1</x:f>
        <x:v>22</x:v>
      </x:c>
      <x:c r="M458" s="1" t="str">
        <x:f>A458&amp;"|"&amp;B458</x:f>
        <x:v>43981|Краснодар</x:v>
      </x:c>
      <x:c r="N458" s="1" t="n">
        <x:f>COUNTIFS('Лист2'!$F$2:$F$505,M458)</x:f>
        <x:v>1</x:v>
      </x:c>
      <x:c r="O458" s="1"/>
      <x:c r="P458" s="1"/>
      <x:c r="Q458" s="1"/>
    </x:row>
    <x:row r="459" ht="21" customHeight="1">
      <x:c r="A459" s="5" t="n">
        <x:f>'Лист1'!A459</x:f>
        <x:v>43981</x:v>
      </x:c>
      <x:c r="B459" s="1" t="str">
        <x:f>'Лист1'!B459</x:f>
        <x:v>Москва Восток</x:v>
      </x:c>
      <x:c r="C459" s="1" t="n">
        <x:f>'Лист1'!C459</x:f>
        <x:v>244734</x:v>
      </x:c>
      <x:c r="D459" s="6" t="n">
        <x:f>'Лист1'!D459</x:f>
        <x:v>24151980</x:v>
      </x:c>
      <x:c r="E459" s="6" t="n">
        <x:f>'Лист1'!E459</x:f>
        <x:v>18429449.488</x:v>
      </x:c>
      <x:c r="F459" s="6" t="n">
        <x:f>'Лист1'!F459</x:f>
        <x:v>303444.3653846154</x:v>
      </x:c>
      <x:c r="G459" s="1" t="n">
        <x:f>IF(N459=1,SUMIFS('Лист2'!$C$2:$C$505,'Лист2'!$A$2:$A$505,A459,'Лист2'!$B$2:$B$505,B459),NA())</x:f>
        <x:v>54</x:v>
      </x:c>
      <x:c r="H459" s="1" t="n">
        <x:f>IF(N459=1,SUMIFS('Лист2'!$D$2:$D$505,'Лист2'!$A$2:$A$505,A459,'Лист2'!$B$2:$B$505,B459),NA())</x:f>
        <x:v>14590</x:v>
      </x:c>
      <x:c r="I459" s="1" t="n">
        <x:f>IF(N459=1,SUMIFS('Лист2'!$E$2:$E$505,'Лист2'!$A$2:$A$505,A459,'Лист2'!$B$2:$B$505,B459),NA())</x:f>
        <x:v>13551</x:v>
      </x:c>
      <x:c r="J459" s="5" t="n">
        <x:f>A459-WEEKDAY(A459,2)+1</x:f>
        <x:v>43976</x:v>
      </x:c>
      <x:c r="K459" s="1" t="n">
        <x:f>YEAR(J459+3)</x:f>
        <x:v>2020</x:v>
      </x:c>
      <x:c r="L459" s="1" t="n">
        <x:f>INT((J459-DATE(K459,1,4)+WEEKDAY(DATE(K459,1,4),2)-1)/7)+1</x:f>
        <x:v>22</x:v>
      </x:c>
      <x:c r="M459" s="1" t="str">
        <x:f>A459&amp;"|"&amp;B459</x:f>
        <x:v>43981|Москва Восток</x:v>
      </x:c>
      <x:c r="N459" s="1" t="n">
        <x:f>COUNTIFS('Лист2'!$F$2:$F$505,M459)</x:f>
        <x:v>1</x:v>
      </x:c>
      <x:c r="O459" s="1"/>
      <x:c r="P459" s="1"/>
      <x:c r="Q459" s="1"/>
    </x:row>
    <x:row r="460" ht="21" customHeight="1">
      <x:c r="A460" s="5" t="n">
        <x:f>'Лист1'!A460</x:f>
        <x:v>43981</x:v>
      </x:c>
      <x:c r="B460" s="1" t="str">
        <x:f>'Лист1'!B460</x:f>
        <x:v>Москва Запад</x:v>
      </x:c>
      <x:c r="C460" s="1" t="n">
        <x:f>'Лист1'!C460</x:f>
        <x:v>246414</x:v>
      </x:c>
      <x:c r="D460" s="6" t="n">
        <x:f>'Лист1'!D460</x:f>
        <x:v>24527245.5</x:v>
      </x:c>
      <x:c r="E460" s="6" t="n">
        <x:f>'Лист1'!E460</x:f>
        <x:v>18595804.535</x:v>
      </x:c>
      <x:c r="F460" s="6" t="n">
        <x:f>'Лист1'!F460</x:f>
        <x:v>282204.5230769231</x:v>
      </x:c>
      <x:c r="G460" s="1" t="n">
        <x:f>IF(N460=1,SUMIFS('Лист2'!$C$2:$C$505,'Лист2'!$A$2:$A$505,A460,'Лист2'!$B$2:$B$505,B460),NA())</x:f>
        <x:v>59</x:v>
      </x:c>
      <x:c r="H460" s="1" t="n">
        <x:f>IF(N460=1,SUMIFS('Лист2'!$D$2:$D$505,'Лист2'!$A$2:$A$505,A460,'Лист2'!$B$2:$B$505,B460),NA())</x:f>
        <x:v>15030</x:v>
      </x:c>
      <x:c r="I460" s="1" t="n">
        <x:f>IF(N460=1,SUMIFS('Лист2'!$E$2:$E$505,'Лист2'!$A$2:$A$505,A460,'Лист2'!$B$2:$B$505,B460),NA())</x:f>
        <x:v>13956</x:v>
      </x:c>
      <x:c r="J460" s="5" t="n">
        <x:f>A460-WEEKDAY(A460,2)+1</x:f>
        <x:v>43976</x:v>
      </x:c>
      <x:c r="K460" s="1" t="n">
        <x:f>YEAR(J460+3)</x:f>
        <x:v>2020</x:v>
      </x:c>
      <x:c r="L460" s="1" t="n">
        <x:f>INT((J460-DATE(K460,1,4)+WEEKDAY(DATE(K460,1,4),2)-1)/7)+1</x:f>
        <x:v>22</x:v>
      </x:c>
      <x:c r="M460" s="1" t="str">
        <x:f>A460&amp;"|"&amp;B460</x:f>
        <x:v>43981|Москва Запад</x:v>
      </x:c>
      <x:c r="N460" s="1" t="n">
        <x:f>COUNTIFS('Лист2'!$F$2:$F$505,M460)</x:f>
        <x:v>1</x:v>
      </x:c>
      <x:c r="O460" s="1"/>
      <x:c r="P460" s="1"/>
      <x:c r="Q460" s="1"/>
    </x:row>
    <x:row r="461" ht="21" customHeight="1">
      <x:c r="A461" s="5" t="n">
        <x:f>'Лист1'!A461</x:f>
        <x:v>43981</x:v>
      </x:c>
      <x:c r="B461" s="1" t="str">
        <x:f>'Лист1'!B461</x:f>
        <x:v>Нижний Новгород</x:v>
      </x:c>
      <x:c r="C461" s="1" t="n">
        <x:f>'Лист1'!C461</x:f>
        <x:v>39867</x:v>
      </x:c>
      <x:c r="D461" s="6" t="n">
        <x:f>'Лист1'!D461</x:f>
        <x:v>3654166.5</x:v>
      </x:c>
      <x:c r="E461" s="6" t="n">
        <x:f>'Лист1'!E461</x:f>
        <x:v>2919786.295</x:v>
      </x:c>
      <x:c r="F461" s="6" t="n">
        <x:f>'Лист1'!F461</x:f>
        <x:v>182639.11723076922</x:v>
      </x:c>
      <x:c r="G461" s="1" t="n">
        <x:f>IF(N461=1,SUMIFS('Лист2'!$C$2:$C$505,'Лист2'!$A$2:$A$505,A461,'Лист2'!$B$2:$B$505,B461),NA())</x:f>
        <x:v>20</x:v>
      </x:c>
      <x:c r="H461" s="1" t="n">
        <x:f>IF(N461=1,SUMIFS('Лист2'!$D$2:$D$505,'Лист2'!$A$2:$A$505,A461,'Лист2'!$B$2:$B$505,B461),NA())</x:f>
        <x:v>2451</x:v>
      </x:c>
      <x:c r="I461" s="1" t="n">
        <x:f>IF(N461=1,SUMIFS('Лист2'!$E$2:$E$505,'Лист2'!$A$2:$A$505,A461,'Лист2'!$B$2:$B$505,B461),NA())</x:f>
        <x:v>2178</x:v>
      </x:c>
      <x:c r="J461" s="5" t="n">
        <x:f>A461-WEEKDAY(A461,2)+1</x:f>
        <x:v>43976</x:v>
      </x:c>
      <x:c r="K461" s="1" t="n">
        <x:f>YEAR(J461+3)</x:f>
        <x:v>2020</x:v>
      </x:c>
      <x:c r="L461" s="1" t="n">
        <x:f>INT((J461-DATE(K461,1,4)+WEEKDAY(DATE(K461,1,4),2)-1)/7)+1</x:f>
        <x:v>22</x:v>
      </x:c>
      <x:c r="M461" s="1" t="str">
        <x:f>A461&amp;"|"&amp;B461</x:f>
        <x:v>43981|Нижний Новгород</x:v>
      </x:c>
      <x:c r="N461" s="1" t="n">
        <x:f>COUNTIFS('Лист2'!$F$2:$F$505,M461)</x:f>
        <x:v>1</x:v>
      </x:c>
      <x:c r="O461" s="1"/>
      <x:c r="P461" s="1"/>
      <x:c r="Q461" s="1"/>
    </x:row>
    <x:row r="462" ht="21" customHeight="1">
      <x:c r="A462" s="5" t="n">
        <x:f>'Лист1'!A462</x:f>
        <x:v>43981</x:v>
      </x:c>
      <x:c r="B462" s="1" t="str">
        <x:f>'Лист1'!B462</x:f>
        <x:v>Новосибирск</x:v>
      </x:c>
      <x:c r="C462" s="1" t="n">
        <x:f>'Лист1'!C462</x:f>
        <x:v>20688</x:v>
      </x:c>
      <x:c r="D462" s="6" t="n">
        <x:f>'Лист1'!D462</x:f>
        <x:v>1773154.5</x:v>
      </x:c>
      <x:c r="E462" s="6" t="n">
        <x:f>'Лист1'!E462</x:f>
        <x:v>1458979.491</x:v>
      </x:c>
      <x:c r="F462" s="6" t="n">
        <x:f>'Лист1'!F462</x:f>
        <x:v>98432.2134076923</x:v>
      </x:c>
      <x:c r="G462" s="1" t="n">
        <x:f>IF(N462=1,SUMIFS('Лист2'!$C$2:$C$505,'Лист2'!$A$2:$A$505,A462,'Лист2'!$B$2:$B$505,B462),NA())</x:f>
        <x:v>18</x:v>
      </x:c>
      <x:c r="H462" s="1" t="n">
        <x:f>IF(N462=1,SUMIFS('Лист2'!$D$2:$D$505,'Лист2'!$A$2:$A$505,A462,'Лист2'!$B$2:$B$505,B462),NA())</x:f>
        <x:v>1216</x:v>
      </x:c>
      <x:c r="I462" s="1" t="n">
        <x:f>IF(N462=1,SUMIFS('Лист2'!$E$2:$E$505,'Лист2'!$A$2:$A$505,A462,'Лист2'!$B$2:$B$505,B462),NA())</x:f>
        <x:v>1101</x:v>
      </x:c>
      <x:c r="J462" s="5" t="n">
        <x:f>A462-WEEKDAY(A462,2)+1</x:f>
        <x:v>43976</x:v>
      </x:c>
      <x:c r="K462" s="1" t="n">
        <x:f>YEAR(J462+3)</x:f>
        <x:v>2020</x:v>
      </x:c>
      <x:c r="L462" s="1" t="n">
        <x:f>INT((J462-DATE(K462,1,4)+WEEKDAY(DATE(K462,1,4),2)-1)/7)+1</x:f>
        <x:v>22</x:v>
      </x:c>
      <x:c r="M462" s="1" t="str">
        <x:f>A462&amp;"|"&amp;B462</x:f>
        <x:v>43981|Новосибирск</x:v>
      </x:c>
      <x:c r="N462" s="1" t="n">
        <x:f>COUNTIFS('Лист2'!$F$2:$F$505,M462)</x:f>
        <x:v>1</x:v>
      </x:c>
      <x:c r="O462" s="1"/>
      <x:c r="P462" s="1"/>
      <x:c r="Q462" s="1"/>
    </x:row>
    <x:row r="463" ht="21" customHeight="1">
      <x:c r="A463" s="5" t="n">
        <x:f>'Лист1'!A463</x:f>
        <x:v>43981</x:v>
      </x:c>
      <x:c r="B463" s="1" t="str">
        <x:f>'Лист1'!B463</x:f>
        <x:v>Пермь</x:v>
      </x:c>
      <x:c r="C463" s="1" t="n">
        <x:f>'Лист1'!C463</x:f>
        <x:v>27250.5</x:v>
      </x:c>
      <x:c r="D463" s="6" t="n">
        <x:f>'Лист1'!D463</x:f>
        <x:v>2457252</x:v>
      </x:c>
      <x:c r="E463" s="6" t="n">
        <x:f>'Лист1'!E463</x:f>
        <x:v>1983435.05</x:v>
      </x:c>
      <x:c r="F463" s="6" t="n">
        <x:f>'Лист1'!F463</x:f>
        <x:v>175066.50692307693</x:v>
      </x:c>
      <x:c r="G463" s="1" t="n">
        <x:f>IF(N463=1,SUMIFS('Лист2'!$C$2:$C$505,'Лист2'!$A$2:$A$505,A463,'Лист2'!$B$2:$B$505,B463),NA())</x:f>
        <x:v>17</x:v>
      </x:c>
      <x:c r="H463" s="1" t="n">
        <x:f>IF(N463=1,SUMIFS('Лист2'!$D$2:$D$505,'Лист2'!$A$2:$A$505,A463,'Лист2'!$B$2:$B$505,B463),NA())</x:f>
        <x:v>1697</x:v>
      </x:c>
      <x:c r="I463" s="1" t="n">
        <x:f>IF(N463=1,SUMIFS('Лист2'!$E$2:$E$505,'Лист2'!$A$2:$A$505,A463,'Лист2'!$B$2:$B$505,B463),NA())</x:f>
        <x:v>1499</x:v>
      </x:c>
      <x:c r="J463" s="5" t="n">
        <x:f>A463-WEEKDAY(A463,2)+1</x:f>
        <x:v>43976</x:v>
      </x:c>
      <x:c r="K463" s="1" t="n">
        <x:f>YEAR(J463+3)</x:f>
        <x:v>2020</x:v>
      </x:c>
      <x:c r="L463" s="1" t="n">
        <x:f>INT((J463-DATE(K463,1,4)+WEEKDAY(DATE(K463,1,4),2)-1)/7)+1</x:f>
        <x:v>22</x:v>
      </x:c>
      <x:c r="M463" s="1" t="str">
        <x:f>A463&amp;"|"&amp;B463</x:f>
        <x:v>43981|Пермь</x:v>
      </x:c>
      <x:c r="N463" s="1" t="n">
        <x:f>COUNTIFS('Лист2'!$F$2:$F$505,M463)</x:f>
        <x:v>1</x:v>
      </x:c>
      <x:c r="O463" s="1"/>
      <x:c r="P463" s="1"/>
      <x:c r="Q463" s="1"/>
    </x:row>
    <x:row r="464" ht="21" customHeight="1">
      <x:c r="A464" s="5" t="n">
        <x:f>'Лист1'!A464</x:f>
        <x:v>43981</x:v>
      </x:c>
      <x:c r="B464" s="1" t="str">
        <x:f>'Лист1'!B464</x:f>
        <x:v>Ростов-на-Дону</x:v>
      </x:c>
      <x:c r="C464" s="1" t="n">
        <x:f>'Лист1'!C464</x:f>
        <x:v>17946</x:v>
      </x:c>
      <x:c r="D464" s="6" t="n">
        <x:f>'Лист1'!D464</x:f>
        <x:v>1609090.5</x:v>
      </x:c>
      <x:c r="E464" s="6" t="n">
        <x:f>'Лист1'!E464</x:f>
        <x:v>1298844.2</x:v>
      </x:c>
      <x:c r="F464" s="6" t="n">
        <x:f>'Лист1'!F464</x:f>
        <x:v>137945.5276</x:v>
      </x:c>
      <x:c r="G464" s="1" t="n">
        <x:f>IF(N464=1,SUMIFS('Лист2'!$C$2:$C$505,'Лист2'!$A$2:$A$505,A464,'Лист2'!$B$2:$B$505,B464),NA())</x:f>
        <x:v>16</x:v>
      </x:c>
      <x:c r="H464" s="1" t="n">
        <x:f>IF(N464=1,SUMIFS('Лист2'!$D$2:$D$505,'Лист2'!$A$2:$A$505,A464,'Лист2'!$B$2:$B$505,B464),NA())</x:f>
        <x:v>1048</x:v>
      </x:c>
      <x:c r="I464" s="1" t="n">
        <x:f>IF(N464=1,SUMIFS('Лист2'!$E$2:$E$505,'Лист2'!$A$2:$A$505,A464,'Лист2'!$B$2:$B$505,B464),NA())</x:f>
        <x:v>918</x:v>
      </x:c>
      <x:c r="J464" s="5" t="n">
        <x:f>A464-WEEKDAY(A464,2)+1</x:f>
        <x:v>43976</x:v>
      </x:c>
      <x:c r="K464" s="1" t="n">
        <x:f>YEAR(J464+3)</x:f>
        <x:v>2020</x:v>
      </x:c>
      <x:c r="L464" s="1" t="n">
        <x:f>INT((J464-DATE(K464,1,4)+WEEKDAY(DATE(K464,1,4),2)-1)/7)+1</x:f>
        <x:v>22</x:v>
      </x:c>
      <x:c r="M464" s="1" t="str">
        <x:f>A464&amp;"|"&amp;B464</x:f>
        <x:v>43981|Ростов-на-Дону</x:v>
      </x:c>
      <x:c r="N464" s="1" t="n">
        <x:f>COUNTIFS('Лист2'!$F$2:$F$505,M464)</x:f>
        <x:v>1</x:v>
      </x:c>
      <x:c r="O464" s="1"/>
      <x:c r="P464" s="1"/>
      <x:c r="Q464" s="1"/>
    </x:row>
    <x:row r="465" ht="21" customHeight="1">
      <x:c r="A465" s="5" t="n">
        <x:f>'Лист1'!A465</x:f>
        <x:v>43981</x:v>
      </x:c>
      <x:c r="B465" s="1" t="str">
        <x:f>'Лист1'!B465</x:f>
        <x:v>Самара</x:v>
      </x:c>
      <x:c r="C465" s="1" t="n">
        <x:f>'Лист1'!C465</x:f>
        <x:v>10029</x:v>
      </x:c>
      <x:c r="D465" s="6" t="n">
        <x:f>'Лист1'!D465</x:f>
        <x:v>787101</x:v>
      </x:c>
      <x:c r="E465" s="6" t="n">
        <x:f>'Лист1'!E465</x:f>
        <x:v>707654.6309999999</x:v>
      </x:c>
      <x:c r="F465" s="6" t="n">
        <x:f>'Лист1'!F465</x:f>
        <x:v>112379.26539999999</x:v>
      </x:c>
      <x:c r="G465" s="1" t="n">
        <x:f>IF(N465=1,SUMIFS('Лист2'!$C$2:$C$505,'Лист2'!$A$2:$A$505,A465,'Лист2'!$B$2:$B$505,B465),NA())</x:f>
        <x:v>15</x:v>
      </x:c>
      <x:c r="H465" s="1" t="n">
        <x:f>IF(N465=1,SUMIFS('Лист2'!$D$2:$D$505,'Лист2'!$A$2:$A$505,A465,'Лист2'!$B$2:$B$505,B465),NA())</x:f>
        <x:v>490</x:v>
      </x:c>
      <x:c r="I465" s="1" t="n">
        <x:f>IF(N465=1,SUMIFS('Лист2'!$E$2:$E$505,'Лист2'!$A$2:$A$505,A465,'Лист2'!$B$2:$B$505,B465),NA())</x:f>
        <x:v>409</x:v>
      </x:c>
      <x:c r="J465" s="5" t="n">
        <x:f>A465-WEEKDAY(A465,2)+1</x:f>
        <x:v>43976</x:v>
      </x:c>
      <x:c r="K465" s="1" t="n">
        <x:f>YEAR(J465+3)</x:f>
        <x:v>2020</x:v>
      </x:c>
      <x:c r="L465" s="1" t="n">
        <x:f>INT((J465-DATE(K465,1,4)+WEEKDAY(DATE(K465,1,4),2)-1)/7)+1</x:f>
        <x:v>22</x:v>
      </x:c>
      <x:c r="M465" s="1" t="str">
        <x:f>A465&amp;"|"&amp;B465</x:f>
        <x:v>43981|Самара</x:v>
      </x:c>
      <x:c r="N465" s="1" t="n">
        <x:f>COUNTIFS('Лист2'!$F$2:$F$505,M465)</x:f>
        <x:v>1</x:v>
      </x:c>
      <x:c r="O465" s="1"/>
      <x:c r="P465" s="1"/>
      <x:c r="Q465" s="1"/>
    </x:row>
    <x:row r="466" ht="21" customHeight="1">
      <x:c r="A466" s="5" t="n">
        <x:f>'Лист1'!A466</x:f>
        <x:v>43981</x:v>
      </x:c>
      <x:c r="B466" s="1" t="str">
        <x:f>'Лист1'!B466</x:f>
        <x:v>Санкт-Петербург Север</x:v>
      </x:c>
      <x:c r="C466" s="1" t="n">
        <x:f>'Лист1'!C466</x:f>
        <x:v>453123</x:v>
      </x:c>
      <x:c r="D466" s="6" t="n">
        <x:f>'Лист1'!D466</x:f>
        <x:v>46370904</x:v>
      </x:c>
      <x:c r="E466" s="6" t="n">
        <x:f>'Лист1'!E466</x:f>
        <x:v>35190775.285000004</x:v>
      </x:c>
      <x:c r="F466" s="6" t="n">
        <x:f>'Лист1'!F466</x:f>
        <x:v>552625.8</x:v>
      </x:c>
      <x:c r="G466" s="1" t="n">
        <x:f>IF(N466=1,SUMIFS('Лист2'!$C$2:$C$505,'Лист2'!$A$2:$A$505,A466,'Лист2'!$B$2:$B$505,B466),NA())</x:f>
        <x:v>124</x:v>
      </x:c>
      <x:c r="H466" s="1" t="n">
        <x:f>IF(N466=1,SUMIFS('Лист2'!$D$2:$D$505,'Лист2'!$A$2:$A$505,A466,'Лист2'!$B$2:$B$505,B466),NA())</x:f>
        <x:v>24325</x:v>
      </x:c>
      <x:c r="I466" s="1" t="n">
        <x:f>IF(N466=1,SUMIFS('Лист2'!$E$2:$E$505,'Лист2'!$A$2:$A$505,A466,'Лист2'!$B$2:$B$505,B466),NA())</x:f>
        <x:v>22469</x:v>
      </x:c>
      <x:c r="J466" s="5" t="n">
        <x:f>A466-WEEKDAY(A466,2)+1</x:f>
        <x:v>43976</x:v>
      </x:c>
      <x:c r="K466" s="1" t="n">
        <x:f>YEAR(J466+3)</x:f>
        <x:v>2020</x:v>
      </x:c>
      <x:c r="L466" s="1" t="n">
        <x:f>INT((J466-DATE(K466,1,4)+WEEKDAY(DATE(K466,1,4),2)-1)/7)+1</x:f>
        <x:v>22</x:v>
      </x:c>
      <x:c r="M466" s="1" t="str">
        <x:f>A466&amp;"|"&amp;B466</x:f>
        <x:v>43981|Санкт-Петербург Север</x:v>
      </x:c>
      <x:c r="N466" s="1" t="n">
        <x:f>COUNTIFS('Лист2'!$F$2:$F$505,M466)</x:f>
        <x:v>1</x:v>
      </x:c>
      <x:c r="O466" s="1"/>
      <x:c r="P466" s="1"/>
      <x:c r="Q466" s="1"/>
    </x:row>
    <x:row r="467" ht="21" customHeight="1">
      <x:c r="A467" s="5" t="n">
        <x:f>'Лист1'!A467</x:f>
        <x:v>43981</x:v>
      </x:c>
      <x:c r="B467" s="1" t="str">
        <x:f>'Лист1'!B467</x:f>
        <x:v>Санкт-Петербург Юг</x:v>
      </x:c>
      <x:c r="C467" s="1" t="n">
        <x:f>'Лист1'!C467</x:f>
        <x:v>364882.5</x:v>
      </x:c>
      <x:c r="D467" s="6" t="n">
        <x:f>'Лист1'!D467</x:f>
        <x:v>35724493.5</x:v>
      </x:c>
      <x:c r="E467" s="6" t="n">
        <x:f>'Лист1'!E467</x:f>
        <x:v>27535617.434</x:v>
      </x:c>
      <x:c r="F467" s="6" t="n">
        <x:f>'Лист1'!F467</x:f>
        <x:v>541116.6988461538</x:v>
      </x:c>
      <x:c r="G467" s="1" t="n">
        <x:f>IF(N467=1,SUMIFS('Лист2'!$C$2:$C$505,'Лист2'!$A$2:$A$505,A467,'Лист2'!$B$2:$B$505,B467),NA())</x:f>
        <x:v>129</x:v>
      </x:c>
      <x:c r="H467" s="1" t="n">
        <x:f>IF(N467=1,SUMIFS('Лист2'!$D$2:$D$505,'Лист2'!$A$2:$A$505,A467,'Лист2'!$B$2:$B$505,B467),NA())</x:f>
        <x:v>20243</x:v>
      </x:c>
      <x:c r="I467" s="1" t="n">
        <x:f>IF(N467=1,SUMIFS('Лист2'!$E$2:$E$505,'Лист2'!$A$2:$A$505,A467,'Лист2'!$B$2:$B$505,B467),NA())</x:f>
        <x:v>18711</x:v>
      </x:c>
      <x:c r="J467" s="5" t="n">
        <x:f>A467-WEEKDAY(A467,2)+1</x:f>
        <x:v>43976</x:v>
      </x:c>
      <x:c r="K467" s="1" t="n">
        <x:f>YEAR(J467+3)</x:f>
        <x:v>2020</x:v>
      </x:c>
      <x:c r="L467" s="1" t="n">
        <x:f>INT((J467-DATE(K467,1,4)+WEEKDAY(DATE(K467,1,4),2)-1)/7)+1</x:f>
        <x:v>22</x:v>
      </x:c>
      <x:c r="M467" s="1" t="str">
        <x:f>A467&amp;"|"&amp;B467</x:f>
        <x:v>43981|Санкт-Петербург Юг</x:v>
      </x:c>
      <x:c r="N467" s="1" t="n">
        <x:f>COUNTIFS('Лист2'!$F$2:$F$505,M467)</x:f>
        <x:v>1</x:v>
      </x:c>
      <x:c r="O467" s="1"/>
      <x:c r="P467" s="1"/>
      <x:c r="Q467" s="1"/>
    </x:row>
    <x:row r="468" ht="21" customHeight="1">
      <x:c r="A468" s="5" t="n">
        <x:f>'Лист1'!A468</x:f>
        <x:v>43981</x:v>
      </x:c>
      <x:c r="B468" s="1" t="str">
        <x:f>'Лист1'!B468</x:f>
        <x:v>Тольятти</x:v>
      </x:c>
      <x:c r="C468" s="1" t="n">
        <x:f>'Лист1'!C468</x:f>
        <x:v>14728.5</x:v>
      </x:c>
      <x:c r="D468" s="6" t="n">
        <x:f>'Лист1'!D468</x:f>
        <x:v>1260483</x:v>
      </x:c>
      <x:c r="E468" s="6" t="n">
        <x:f>'Лист1'!E468</x:f>
        <x:v>1048221.1390000001</x:v>
      </x:c>
      <x:c r="F468" s="6" t="n">
        <x:f>'Лист1'!F468</x:f>
        <x:v>86278.1767</x:v>
      </x:c>
      <x:c r="G468" s="1" t="n">
        <x:f>IF(N468=1,SUMIFS('Лист2'!$C$2:$C$505,'Лист2'!$A$2:$A$505,A468,'Лист2'!$B$2:$B$505,B468),NA())</x:f>
        <x:v>10</x:v>
      </x:c>
      <x:c r="H468" s="1" t="n">
        <x:f>IF(N468=1,SUMIFS('Лист2'!$D$2:$D$505,'Лист2'!$A$2:$A$505,A468,'Лист2'!$B$2:$B$505,B468),NA())</x:f>
        <x:v>865</x:v>
      </x:c>
      <x:c r="I468" s="1" t="n">
        <x:f>IF(N468=1,SUMIFS('Лист2'!$E$2:$E$505,'Лист2'!$A$2:$A$505,A468,'Лист2'!$B$2:$B$505,B468),NA())</x:f>
        <x:v>763</x:v>
      </x:c>
      <x:c r="J468" s="5" t="n">
        <x:f>A468-WEEKDAY(A468,2)+1</x:f>
        <x:v>43976</x:v>
      </x:c>
      <x:c r="K468" s="1" t="n">
        <x:f>YEAR(J468+3)</x:f>
        <x:v>2020</x:v>
      </x:c>
      <x:c r="L468" s="1" t="n">
        <x:f>INT((J468-DATE(K468,1,4)+WEEKDAY(DATE(K468,1,4),2)-1)/7)+1</x:f>
        <x:v>22</x:v>
      </x:c>
      <x:c r="M468" s="1" t="str">
        <x:f>A468&amp;"|"&amp;B468</x:f>
        <x:v>43981|Тольятти</x:v>
      </x:c>
      <x:c r="N468" s="1" t="n">
        <x:f>COUNTIFS('Лист2'!$F$2:$F$505,M468)</x:f>
        <x:v>1</x:v>
      </x:c>
      <x:c r="O468" s="1"/>
      <x:c r="P468" s="1"/>
      <x:c r="Q468" s="1"/>
    </x:row>
    <x:row r="469" ht="21" customHeight="1">
      <x:c r="A469" s="5" t="n">
        <x:f>'Лист1'!A469</x:f>
        <x:v>43981</x:v>
      </x:c>
      <x:c r="B469" s="1" t="str">
        <x:f>'Лист1'!B469</x:f>
        <x:v>Тюмень</x:v>
      </x:c>
      <x:c r="C469" s="1" t="n">
        <x:f>'Лист1'!C469</x:f>
        <x:v>11220</x:v>
      </x:c>
      <x:c r="D469" s="6" t="n">
        <x:f>'Лист1'!D469</x:f>
        <x:v>928675.5</x:v>
      </x:c>
      <x:c r="E469" s="6" t="n">
        <x:f>'Лист1'!E469</x:f>
        <x:v>802403.808</x:v>
      </x:c>
      <x:c r="F469" s="6" t="n">
        <x:f>'Лист1'!F469</x:f>
        <x:v>136423.60523076923</x:v>
      </x:c>
      <x:c r="G469" s="1" t="n">
        <x:f>IF(N469=1,SUMIFS('Лист2'!$C$2:$C$505,'Лист2'!$A$2:$A$505,A469,'Лист2'!$B$2:$B$505,B469),NA())</x:f>
        <x:v>7</x:v>
      </x:c>
      <x:c r="H469" s="1" t="n">
        <x:f>IF(N469=1,SUMIFS('Лист2'!$D$2:$D$505,'Лист2'!$A$2:$A$505,A469,'Лист2'!$B$2:$B$505,B469),NA())</x:f>
        <x:v>532</x:v>
      </x:c>
      <x:c r="I469" s="1" t="n">
        <x:f>IF(N469=1,SUMIFS('Лист2'!$E$2:$E$505,'Лист2'!$A$2:$A$505,A469,'Лист2'!$B$2:$B$505,B469),NA())</x:f>
        <x:v>449</x:v>
      </x:c>
      <x:c r="J469" s="5" t="n">
        <x:f>A469-WEEKDAY(A469,2)+1</x:f>
        <x:v>43976</x:v>
      </x:c>
      <x:c r="K469" s="1" t="n">
        <x:f>YEAR(J469+3)</x:f>
        <x:v>2020</x:v>
      </x:c>
      <x:c r="L469" s="1" t="n">
        <x:f>INT((J469-DATE(K469,1,4)+WEEKDAY(DATE(K469,1,4),2)-1)/7)+1</x:f>
        <x:v>22</x:v>
      </x:c>
      <x:c r="M469" s="1" t="str">
        <x:f>A469&amp;"|"&amp;B469</x:f>
        <x:v>43981|Тюмень</x:v>
      </x:c>
      <x:c r="N469" s="1" t="n">
        <x:f>COUNTIFS('Лист2'!$F$2:$F$505,M469)</x:f>
        <x:v>1</x:v>
      </x:c>
      <x:c r="O469" s="1"/>
      <x:c r="P469" s="1"/>
      <x:c r="Q469" s="1"/>
    </x:row>
    <x:row r="470" ht="21" customHeight="1">
      <x:c r="A470" s="5" t="n">
        <x:f>'Лист1'!A470</x:f>
        <x:v>43982</x:v>
      </x:c>
      <x:c r="B470" s="1" t="str">
        <x:f>'Лист1'!B470</x:f>
        <x:v>Волгоград</x:v>
      </x:c>
      <x:c r="C470" s="1" t="n">
        <x:f>'Лист1'!C470</x:f>
        <x:v>76234.5</x:v>
      </x:c>
      <x:c r="D470" s="6" t="n">
        <x:f>'Лист1'!D470</x:f>
        <x:v>6500848.5</x:v>
      </x:c>
      <x:c r="E470" s="6" t="n">
        <x:f>'Лист1'!E470</x:f>
        <x:v>5172874.443999999</x:v>
      </x:c>
      <x:c r="F470" s="6" t="n">
        <x:f>'Лист1'!F470</x:f>
        <x:v>60556.25153846153</x:v>
      </x:c>
      <x:c r="G470" s="1" t="n">
        <x:f>IF(N470=1,SUMIFS('Лист2'!$C$2:$C$505,'Лист2'!$A$2:$A$505,A470,'Лист2'!$B$2:$B$505,B470),NA())</x:f>
        <x:v>37</x:v>
      </x:c>
      <x:c r="H470" s="1" t="n">
        <x:f>IF(N470=1,SUMIFS('Лист2'!$D$2:$D$505,'Лист2'!$A$2:$A$505,A470,'Лист2'!$B$2:$B$505,B470),NA())</x:f>
        <x:v>5215</x:v>
      </x:c>
      <x:c r="I470" s="1" t="n">
        <x:f>IF(N470=1,SUMIFS('Лист2'!$E$2:$E$505,'Лист2'!$A$2:$A$505,A470,'Лист2'!$B$2:$B$505,B470),NA())</x:f>
        <x:v>4848</x:v>
      </x:c>
      <x:c r="J470" s="5" t="n">
        <x:f>A470-WEEKDAY(A470,2)+1</x:f>
        <x:v>43976</x:v>
      </x:c>
      <x:c r="K470" s="1" t="n">
        <x:f>YEAR(J470+3)</x:f>
        <x:v>2020</x:v>
      </x:c>
      <x:c r="L470" s="1" t="n">
        <x:f>INT((J470-DATE(K470,1,4)+WEEKDAY(DATE(K470,1,4),2)-1)/7)+1</x:f>
        <x:v>22</x:v>
      </x:c>
      <x:c r="M470" s="1" t="str">
        <x:f>A470&amp;"|"&amp;B470</x:f>
        <x:v>43982|Волгоград</x:v>
      </x:c>
      <x:c r="N470" s="1" t="n">
        <x:f>COUNTIFS('Лист2'!$F$2:$F$505,M470)</x:f>
        <x:v>1</x:v>
      </x:c>
      <x:c r="O470" s="1"/>
      <x:c r="P470" s="1"/>
      <x:c r="Q470" s="1"/>
    </x:row>
    <x:row r="471" ht="21" customHeight="1">
      <x:c r="A471" s="5" t="n">
        <x:f>'Лист1'!A471</x:f>
        <x:v>43982</x:v>
      </x:c>
      <x:c r="B471" s="1" t="str">
        <x:f>'Лист1'!B471</x:f>
        <x:v>Екатеринбург</x:v>
      </x:c>
      <x:c r="C471" s="1" t="n">
        <x:f>'Лист1'!C471</x:f>
        <x:v>89149.5</x:v>
      </x:c>
      <x:c r="D471" s="6" t="n">
        <x:f>'Лист1'!D471</x:f>
        <x:v>7512646.5</x:v>
      </x:c>
      <x:c r="E471" s="6" t="n">
        <x:f>'Лист1'!E471</x:f>
        <x:v>5979210.097</x:v>
      </x:c>
      <x:c r="F471" s="6" t="n">
        <x:f>'Лист1'!F471</x:f>
        <x:v>47580.14615384615</x:v>
      </x:c>
      <x:c r="G471" s="1" t="n">
        <x:f>IF(N471=1,SUMIFS('Лист2'!$C$2:$C$505,'Лист2'!$A$2:$A$505,A471,'Лист2'!$B$2:$B$505,B471),NA())</x:f>
        <x:v>31</x:v>
      </x:c>
      <x:c r="H471" s="1" t="n">
        <x:f>IF(N471=1,SUMIFS('Лист2'!$D$2:$D$505,'Лист2'!$A$2:$A$505,A471,'Лист2'!$B$2:$B$505,B471),NA())</x:f>
        <x:v>5760</x:v>
      </x:c>
      <x:c r="I471" s="1" t="n">
        <x:f>IF(N471=1,SUMIFS('Лист2'!$E$2:$E$505,'Лист2'!$A$2:$A$505,A471,'Лист2'!$B$2:$B$505,B471),NA())</x:f>
        <x:v>5367</x:v>
      </x:c>
      <x:c r="J471" s="5" t="n">
        <x:f>A471-WEEKDAY(A471,2)+1</x:f>
        <x:v>43976</x:v>
      </x:c>
      <x:c r="K471" s="1" t="n">
        <x:f>YEAR(J471+3)</x:f>
        <x:v>2020</x:v>
      </x:c>
      <x:c r="L471" s="1" t="n">
        <x:f>INT((J471-DATE(K471,1,4)+WEEKDAY(DATE(K471,1,4),2)-1)/7)+1</x:f>
        <x:v>22</x:v>
      </x:c>
      <x:c r="M471" s="1" t="str">
        <x:f>A471&amp;"|"&amp;B471</x:f>
        <x:v>43982|Екатеринбург</x:v>
      </x:c>
      <x:c r="N471" s="1" t="n">
        <x:f>COUNTIFS('Лист2'!$F$2:$F$505,M471)</x:f>
        <x:v>1</x:v>
      </x:c>
      <x:c r="O471" s="1"/>
      <x:c r="P471" s="1"/>
      <x:c r="Q471" s="1"/>
    </x:row>
    <x:row r="472" ht="21" customHeight="1">
      <x:c r="A472" s="5" t="n">
        <x:f>'Лист1'!A472</x:f>
        <x:v>43982</x:v>
      </x:c>
      <x:c r="B472" s="1" t="str">
        <x:f>'Лист1'!B472</x:f>
        <x:v>Казань</x:v>
      </x:c>
      <x:c r="C472" s="1" t="n">
        <x:f>'Лист1'!C472</x:f>
        <x:v>42423</x:v>
      </x:c>
      <x:c r="D472" s="6" t="n">
        <x:f>'Лист1'!D472</x:f>
        <x:v>3994153.5</x:v>
      </x:c>
      <x:c r="E472" s="6" t="n">
        <x:f>'Лист1'!E472</x:f>
        <x:v>3105853.9129999997</x:v>
      </x:c>
      <x:c r="F472" s="6" t="n">
        <x:f>'Лист1'!F472</x:f>
        <x:v>53605.71215384615</x:v>
      </x:c>
      <x:c r="G472" s="1" t="n">
        <x:f>IF(N472=1,SUMIFS('Лист2'!$C$2:$C$505,'Лист2'!$A$2:$A$505,A472,'Лист2'!$B$2:$B$505,B472),NA())</x:f>
        <x:v>23</x:v>
      </x:c>
      <x:c r="H472" s="1" t="n">
        <x:f>IF(N472=1,SUMIFS('Лист2'!$D$2:$D$505,'Лист2'!$A$2:$A$505,A472,'Лист2'!$B$2:$B$505,B472),NA())</x:f>
        <x:v>2522</x:v>
      </x:c>
      <x:c r="I472" s="1" t="n">
        <x:f>IF(N472=1,SUMIFS('Лист2'!$E$2:$E$505,'Лист2'!$A$2:$A$505,A472,'Лист2'!$B$2:$B$505,B472),NA())</x:f>
        <x:v>2295</x:v>
      </x:c>
      <x:c r="J472" s="5" t="n">
        <x:f>A472-WEEKDAY(A472,2)+1</x:f>
        <x:v>43976</x:v>
      </x:c>
      <x:c r="K472" s="1" t="n">
        <x:f>YEAR(J472+3)</x:f>
        <x:v>2020</x:v>
      </x:c>
      <x:c r="L472" s="1" t="n">
        <x:f>INT((J472-DATE(K472,1,4)+WEEKDAY(DATE(K472,1,4),2)-1)/7)+1</x:f>
        <x:v>22</x:v>
      </x:c>
      <x:c r="M472" s="1" t="str">
        <x:f>A472&amp;"|"&amp;B472</x:f>
        <x:v>43982|Казань</x:v>
      </x:c>
      <x:c r="N472" s="1" t="n">
        <x:f>COUNTIFS('Лист2'!$F$2:$F$505,M472)</x:f>
        <x:v>1</x:v>
      </x:c>
      <x:c r="O472" s="1"/>
      <x:c r="P472" s="1"/>
      <x:c r="Q472" s="1"/>
    </x:row>
    <x:row r="473" ht="21" customHeight="1">
      <x:c r="A473" s="5" t="n">
        <x:f>'Лист1'!A473</x:f>
        <x:v>43982</x:v>
      </x:c>
      <x:c r="B473" s="1" t="str">
        <x:f>'Лист1'!B473</x:f>
        <x:v>Кемерово</x:v>
      </x:c>
      <x:c r="C473" s="1" t="n">
        <x:f>'Лист1'!C473</x:f>
        <x:v>36999</x:v>
      </x:c>
      <x:c r="D473" s="6" t="n">
        <x:f>'Лист1'!D473</x:f>
        <x:v>3473895</x:v>
      </x:c>
      <x:c r="E473" s="6" t="n">
        <x:f>'Лист1'!E473</x:f>
        <x:v>2757933.63</x:v>
      </x:c>
      <x:c r="F473" s="6" t="n">
        <x:f>'Лист1'!F473</x:f>
        <x:v>112971.77692307692</x:v>
      </x:c>
      <x:c r="G473" s="1" t="n">
        <x:f>IF(N473=1,SUMIFS('Лист2'!$C$2:$C$505,'Лист2'!$A$2:$A$505,A473,'Лист2'!$B$2:$B$505,B473),NA())</x:f>
        <x:v>21</x:v>
      </x:c>
      <x:c r="H473" s="1" t="n">
        <x:f>IF(N473=1,SUMIFS('Лист2'!$D$2:$D$505,'Лист2'!$A$2:$A$505,A473,'Лист2'!$B$2:$B$505,B473),NA())</x:f>
        <x:v>2271</x:v>
      </x:c>
      <x:c r="I473" s="1" t="n">
        <x:f>IF(N473=1,SUMIFS('Лист2'!$E$2:$E$505,'Лист2'!$A$2:$A$505,A473,'Лист2'!$B$2:$B$505,B473),NA())</x:f>
        <x:v>2085</x:v>
      </x:c>
      <x:c r="J473" s="5" t="n">
        <x:f>A473-WEEKDAY(A473,2)+1</x:f>
        <x:v>43976</x:v>
      </x:c>
      <x:c r="K473" s="1" t="n">
        <x:f>YEAR(J473+3)</x:f>
        <x:v>2020</x:v>
      </x:c>
      <x:c r="L473" s="1" t="n">
        <x:f>INT((J473-DATE(K473,1,4)+WEEKDAY(DATE(K473,1,4),2)-1)/7)+1</x:f>
        <x:v>22</x:v>
      </x:c>
      <x:c r="M473" s="1" t="str">
        <x:f>A473&amp;"|"&amp;B473</x:f>
        <x:v>43982|Кемерово</x:v>
      </x:c>
      <x:c r="N473" s="1" t="n">
        <x:f>COUNTIFS('Лист2'!$F$2:$F$505,M473)</x:f>
        <x:v>1</x:v>
      </x:c>
      <x:c r="O473" s="1"/>
      <x:c r="P473" s="1"/>
      <x:c r="Q473" s="1"/>
    </x:row>
    <x:row r="474" ht="21" customHeight="1">
      <x:c r="A474" s="5" t="n">
        <x:f>'Лист1'!A474</x:f>
        <x:v>43982</x:v>
      </x:c>
      <x:c r="B474" s="1" t="str">
        <x:f>'Лист1'!B474</x:f>
        <x:v>Краснодар</x:v>
      </x:c>
      <x:c r="C474" s="1" t="n">
        <x:f>'Лист1'!C474</x:f>
        <x:v>31372.5</x:v>
      </x:c>
      <x:c r="D474" s="6" t="n">
        <x:f>'Лист1'!D474</x:f>
        <x:v>2794324.5</x:v>
      </x:c>
      <x:c r="E474" s="6" t="n">
        <x:f>'Лист1'!E474</x:f>
        <x:v>2251714.549</x:v>
      </x:c>
      <x:c r="F474" s="6" t="n">
        <x:f>'Лист1'!F474</x:f>
        <x:v>37852.04366923077</x:v>
      </x:c>
      <x:c r="G474" s="1" t="n">
        <x:f>IF(N474=1,SUMIFS('Лист2'!$C$2:$C$505,'Лист2'!$A$2:$A$505,A474,'Лист2'!$B$2:$B$505,B474),NA())</x:f>
        <x:v>21</x:v>
      </x:c>
      <x:c r="H474" s="1" t="n">
        <x:f>IF(N474=1,SUMIFS('Лист2'!$D$2:$D$505,'Лист2'!$A$2:$A$505,A474,'Лист2'!$B$2:$B$505,B474),NA())</x:f>
        <x:v>2056</x:v>
      </x:c>
      <x:c r="I474" s="1" t="n">
        <x:f>IF(N474=1,SUMIFS('Лист2'!$E$2:$E$505,'Лист2'!$A$2:$A$505,A474,'Лист2'!$B$2:$B$505,B474),NA())</x:f>
        <x:v>1879</x:v>
      </x:c>
      <x:c r="J474" s="5" t="n">
        <x:f>A474-WEEKDAY(A474,2)+1</x:f>
        <x:v>43976</x:v>
      </x:c>
      <x:c r="K474" s="1" t="n">
        <x:f>YEAR(J474+3)</x:f>
        <x:v>2020</x:v>
      </x:c>
      <x:c r="L474" s="1" t="n">
        <x:f>INT((J474-DATE(K474,1,4)+WEEKDAY(DATE(K474,1,4),2)-1)/7)+1</x:f>
        <x:v>22</x:v>
      </x:c>
      <x:c r="M474" s="1" t="str">
        <x:f>A474&amp;"|"&amp;B474</x:f>
        <x:v>43982|Краснодар</x:v>
      </x:c>
      <x:c r="N474" s="1" t="n">
        <x:f>COUNTIFS('Лист2'!$F$2:$F$505,M474)</x:f>
        <x:v>1</x:v>
      </x:c>
      <x:c r="O474" s="1"/>
      <x:c r="P474" s="1"/>
      <x:c r="Q474" s="1"/>
    </x:row>
    <x:row r="475" ht="21" customHeight="1">
      <x:c r="A475" s="5" t="n">
        <x:f>'Лист1'!A475</x:f>
        <x:v>43982</x:v>
      </x:c>
      <x:c r="B475" s="1" t="str">
        <x:f>'Лист1'!B475</x:f>
        <x:v>Москва Восток</x:v>
      </x:c>
      <x:c r="C475" s="1" t="n">
        <x:f>'Лист1'!C475</x:f>
        <x:v>206758.5</x:v>
      </x:c>
      <x:c r="D475" s="6" t="n">
        <x:f>'Лист1'!D475</x:f>
        <x:v>20717248.5</x:v>
      </x:c>
      <x:c r="E475" s="6" t="n">
        <x:f>'Лист1'!E475</x:f>
        <x:v>15667372.685999999</x:v>
      </x:c>
      <x:c r="F475" s="6" t="n">
        <x:f>'Лист1'!F475</x:f>
        <x:v>180007.08753846152</x:v>
      </x:c>
      <x:c r="G475" s="1" t="n">
        <x:f>IF(N475=1,SUMIFS('Лист2'!$C$2:$C$505,'Лист2'!$A$2:$A$505,A475,'Лист2'!$B$2:$B$505,B475),NA())</x:f>
        <x:v>54</x:v>
      </x:c>
      <x:c r="H475" s="1" t="n">
        <x:f>IF(N475=1,SUMIFS('Лист2'!$D$2:$D$505,'Лист2'!$A$2:$A$505,A475,'Лист2'!$B$2:$B$505,B475),NA())</x:f>
        <x:v>13106</x:v>
      </x:c>
      <x:c r="I475" s="1" t="n">
        <x:f>IF(N475=1,SUMIFS('Лист2'!$E$2:$E$505,'Лист2'!$A$2:$A$505,A475,'Лист2'!$B$2:$B$505,B475),NA())</x:f>
        <x:v>12164</x:v>
      </x:c>
      <x:c r="J475" s="5" t="n">
        <x:f>A475-WEEKDAY(A475,2)+1</x:f>
        <x:v>43976</x:v>
      </x:c>
      <x:c r="K475" s="1" t="n">
        <x:f>YEAR(J475+3)</x:f>
        <x:v>2020</x:v>
      </x:c>
      <x:c r="L475" s="1" t="n">
        <x:f>INT((J475-DATE(K475,1,4)+WEEKDAY(DATE(K475,1,4),2)-1)/7)+1</x:f>
        <x:v>22</x:v>
      </x:c>
      <x:c r="M475" s="1" t="str">
        <x:f>A475&amp;"|"&amp;B475</x:f>
        <x:v>43982|Москва Восток</x:v>
      </x:c>
      <x:c r="N475" s="1" t="n">
        <x:f>COUNTIFS('Лист2'!$F$2:$F$505,M475)</x:f>
        <x:v>1</x:v>
      </x:c>
      <x:c r="O475" s="1"/>
      <x:c r="P475" s="1"/>
      <x:c r="Q475" s="1"/>
    </x:row>
    <x:row r="476" ht="21" customHeight="1">
      <x:c r="A476" s="5" t="n">
        <x:f>'Лист1'!A476</x:f>
        <x:v>43982</x:v>
      </x:c>
      <x:c r="B476" s="1" t="str">
        <x:f>'Лист1'!B476</x:f>
        <x:v>Москва Запад</x:v>
      </x:c>
      <x:c r="C476" s="1" t="n">
        <x:f>'Лист1'!C476</x:f>
        <x:v>215277</x:v>
      </x:c>
      <x:c r="D476" s="6" t="n">
        <x:f>'Лист1'!D476</x:f>
        <x:v>21585316.5</x:v>
      </x:c>
      <x:c r="E476" s="6" t="n">
        <x:f>'Лист1'!E476</x:f>
        <x:v>16285354.714</x:v>
      </x:c>
      <x:c r="F476" s="6" t="n">
        <x:f>'Лист1'!F476</x:f>
        <x:v>183249.26153846155</x:v>
      </x:c>
      <x:c r="G476" s="1" t="n">
        <x:f>IF(N476=1,SUMIFS('Лист2'!$C$2:$C$505,'Лист2'!$A$2:$A$505,A476,'Лист2'!$B$2:$B$505,B476),NA())</x:f>
        <x:v>59</x:v>
      </x:c>
      <x:c r="H476" s="1" t="n">
        <x:f>IF(N476=1,SUMIFS('Лист2'!$D$2:$D$505,'Лист2'!$A$2:$A$505,A476,'Лист2'!$B$2:$B$505,B476),NA())</x:f>
        <x:v>13684</x:v>
      </x:c>
      <x:c r="I476" s="1" t="n">
        <x:f>IF(N476=1,SUMIFS('Лист2'!$E$2:$E$505,'Лист2'!$A$2:$A$505,A476,'Лист2'!$B$2:$B$505,B476),NA())</x:f>
        <x:v>12690</x:v>
      </x:c>
      <x:c r="J476" s="5" t="n">
        <x:f>A476-WEEKDAY(A476,2)+1</x:f>
        <x:v>43976</x:v>
      </x:c>
      <x:c r="K476" s="1" t="n">
        <x:f>YEAR(J476+3)</x:f>
        <x:v>2020</x:v>
      </x:c>
      <x:c r="L476" s="1" t="n">
        <x:f>INT((J476-DATE(K476,1,4)+WEEKDAY(DATE(K476,1,4),2)-1)/7)+1</x:f>
        <x:v>22</x:v>
      </x:c>
      <x:c r="M476" s="1" t="str">
        <x:f>A476&amp;"|"&amp;B476</x:f>
        <x:v>43982|Москва Запад</x:v>
      </x:c>
      <x:c r="N476" s="1" t="n">
        <x:f>COUNTIFS('Лист2'!$F$2:$F$505,M476)</x:f>
        <x:v>1</x:v>
      </x:c>
      <x:c r="O476" s="1"/>
      <x:c r="P476" s="1"/>
      <x:c r="Q476" s="1"/>
    </x:row>
    <x:row r="477" ht="21" customHeight="1">
      <x:c r="A477" s="5" t="n">
        <x:f>'Лист1'!A477</x:f>
        <x:v>43982</x:v>
      </x:c>
      <x:c r="B477" s="1" t="str">
        <x:f>'Лист1'!B477</x:f>
        <x:v>Нижний Новгород</x:v>
      </x:c>
      <x:c r="C477" s="1" t="n">
        <x:f>'Лист1'!C477</x:f>
        <x:v>32359.5</x:v>
      </x:c>
      <x:c r="D477" s="6" t="n">
        <x:f>'Лист1'!D477</x:f>
        <x:v>2991999</x:v>
      </x:c>
      <x:c r="E477" s="6" t="n">
        <x:f>'Лист1'!E477</x:f>
        <x:v>2374135.6799999997</x:v>
      </x:c>
      <x:c r="F477" s="6" t="n">
        <x:f>'Лист1'!F477</x:f>
        <x:v>106116.64615384616</x:v>
      </x:c>
      <x:c r="G477" s="1" t="n">
        <x:f>IF(N477=1,SUMIFS('Лист2'!$C$2:$C$505,'Лист2'!$A$2:$A$505,A477,'Лист2'!$B$2:$B$505,B477),NA())</x:f>
        <x:v>20</x:v>
      </x:c>
      <x:c r="H477" s="1" t="n">
        <x:f>IF(N477=1,SUMIFS('Лист2'!$D$2:$D$505,'Лист2'!$A$2:$A$505,A477,'Лист2'!$B$2:$B$505,B477),NA())</x:f>
        <x:v>2060</x:v>
      </x:c>
      <x:c r="I477" s="1" t="n">
        <x:f>IF(N477=1,SUMIFS('Лист2'!$E$2:$E$505,'Лист2'!$A$2:$A$505,A477,'Лист2'!$B$2:$B$505,B477),NA())</x:f>
        <x:v>1826</x:v>
      </x:c>
      <x:c r="J477" s="5" t="n">
        <x:f>A477-WEEKDAY(A477,2)+1</x:f>
        <x:v>43976</x:v>
      </x:c>
      <x:c r="K477" s="1" t="n">
        <x:f>YEAR(J477+3)</x:f>
        <x:v>2020</x:v>
      </x:c>
      <x:c r="L477" s="1" t="n">
        <x:f>INT((J477-DATE(K477,1,4)+WEEKDAY(DATE(K477,1,4),2)-1)/7)+1</x:f>
        <x:v>22</x:v>
      </x:c>
      <x:c r="M477" s="1" t="str">
        <x:f>A477&amp;"|"&amp;B477</x:f>
        <x:v>43982|Нижний Новгород</x:v>
      </x:c>
      <x:c r="N477" s="1" t="n">
        <x:f>COUNTIFS('Лист2'!$F$2:$F$505,M477)</x:f>
        <x:v>1</x:v>
      </x:c>
      <x:c r="O477" s="1"/>
      <x:c r="P477" s="1"/>
      <x:c r="Q477" s="1"/>
    </x:row>
    <x:row r="478" ht="21" customHeight="1">
      <x:c r="A478" s="5" t="n">
        <x:f>'Лист1'!A478</x:f>
        <x:v>43982</x:v>
      </x:c>
      <x:c r="B478" s="1" t="str">
        <x:f>'Лист1'!B478</x:f>
        <x:v>Новосибирск</x:v>
      </x:c>
      <x:c r="C478" s="1" t="n">
        <x:f>'Лист1'!C478</x:f>
        <x:v>16143</x:v>
      </x:c>
      <x:c r="D478" s="6" t="n">
        <x:f>'Лист1'!D478</x:f>
        <x:v>1423410</x:v>
      </x:c>
      <x:c r="E478" s="6" t="n">
        <x:f>'Лист1'!E478</x:f>
        <x:v>1183524.938</x:v>
      </x:c>
      <x:c r="F478" s="6" t="n">
        <x:f>'Лист1'!F478</x:f>
        <x:v>41938.95039230769</x:v>
      </x:c>
      <x:c r="G478" s="1" t="n">
        <x:f>IF(N478=1,SUMIFS('Лист2'!$C$2:$C$505,'Лист2'!$A$2:$A$505,A478,'Лист2'!$B$2:$B$505,B478),NA())</x:f>
        <x:v>18</x:v>
      </x:c>
      <x:c r="H478" s="1" t="n">
        <x:f>IF(N478=1,SUMIFS('Лист2'!$D$2:$D$505,'Лист2'!$A$2:$A$505,A478,'Лист2'!$B$2:$B$505,B478),NA())</x:f>
        <x:v>1029</x:v>
      </x:c>
      <x:c r="I478" s="1" t="n">
        <x:f>IF(N478=1,SUMIFS('Лист2'!$E$2:$E$505,'Лист2'!$A$2:$A$505,A478,'Лист2'!$B$2:$B$505,B478),NA())</x:f>
        <x:v>925</x:v>
      </x:c>
      <x:c r="J478" s="5" t="n">
        <x:f>A478-WEEKDAY(A478,2)+1</x:f>
        <x:v>43976</x:v>
      </x:c>
      <x:c r="K478" s="1" t="n">
        <x:f>YEAR(J478+3)</x:f>
        <x:v>2020</x:v>
      </x:c>
      <x:c r="L478" s="1" t="n">
        <x:f>INT((J478-DATE(K478,1,4)+WEEKDAY(DATE(K478,1,4),2)-1)/7)+1</x:f>
        <x:v>22</x:v>
      </x:c>
      <x:c r="M478" s="1" t="str">
        <x:f>A478&amp;"|"&amp;B478</x:f>
        <x:v>43982|Новосибирск</x:v>
      </x:c>
      <x:c r="N478" s="1" t="n">
        <x:f>COUNTIFS('Лист2'!$F$2:$F$505,M478)</x:f>
        <x:v>1</x:v>
      </x:c>
      <x:c r="O478" s="1"/>
      <x:c r="P478" s="1"/>
      <x:c r="Q478" s="1"/>
    </x:row>
    <x:row r="479" ht="21" customHeight="1">
      <x:c r="A479" s="5" t="n">
        <x:f>'Лист1'!A479</x:f>
        <x:v>43982</x:v>
      </x:c>
      <x:c r="B479" s="1" t="str">
        <x:f>'Лист1'!B479</x:f>
        <x:v>Пермь</x:v>
      </x:c>
      <x:c r="C479" s="1" t="n">
        <x:f>'Лист1'!C479</x:f>
        <x:v>17689.5</x:v>
      </x:c>
      <x:c r="D479" s="6" t="n">
        <x:f>'Лист1'!D479</x:f>
        <x:v>1592119.5</x:v>
      </x:c>
      <x:c r="E479" s="6" t="n">
        <x:f>'Лист1'!E479</x:f>
        <x:v>1279369.153</x:v>
      </x:c>
      <x:c r="F479" s="6" t="n">
        <x:f>'Лист1'!F479</x:f>
        <x:v>119890.85384615383</x:v>
      </x:c>
      <x:c r="G479" s="1" t="n">
        <x:f>IF(N479=1,SUMIFS('Лист2'!$C$2:$C$505,'Лист2'!$A$2:$A$505,A479,'Лист2'!$B$2:$B$505,B479),NA())</x:f>
        <x:v>17</x:v>
      </x:c>
      <x:c r="H479" s="1" t="n">
        <x:f>IF(N479=1,SUMIFS('Лист2'!$D$2:$D$505,'Лист2'!$A$2:$A$505,A479,'Лист2'!$B$2:$B$505,B479),NA())</x:f>
        <x:v>1186</x:v>
      </x:c>
      <x:c r="I479" s="1" t="n">
        <x:f>IF(N479=1,SUMIFS('Лист2'!$E$2:$E$505,'Лист2'!$A$2:$A$505,A479,'Лист2'!$B$2:$B$505,B479),NA())</x:f>
        <x:v>1054</x:v>
      </x:c>
      <x:c r="J479" s="5" t="n">
        <x:f>A479-WEEKDAY(A479,2)+1</x:f>
        <x:v>43976</x:v>
      </x:c>
      <x:c r="K479" s="1" t="n">
        <x:f>YEAR(J479+3)</x:f>
        <x:v>2020</x:v>
      </x:c>
      <x:c r="L479" s="1" t="n">
        <x:f>INT((J479-DATE(K479,1,4)+WEEKDAY(DATE(K479,1,4),2)-1)/7)+1</x:f>
        <x:v>22</x:v>
      </x:c>
      <x:c r="M479" s="1" t="str">
        <x:f>A479&amp;"|"&amp;B479</x:f>
        <x:v>43982|Пермь</x:v>
      </x:c>
      <x:c r="N479" s="1" t="n">
        <x:f>COUNTIFS('Лист2'!$F$2:$F$505,M479)</x:f>
        <x:v>1</x:v>
      </x:c>
      <x:c r="O479" s="1"/>
      <x:c r="P479" s="1"/>
      <x:c r="Q479" s="1"/>
    </x:row>
    <x:row r="480" ht="21" customHeight="1">
      <x:c r="A480" s="5" t="n">
        <x:f>'Лист1'!A480</x:f>
        <x:v>43982</x:v>
      </x:c>
      <x:c r="B480" s="1" t="str">
        <x:f>'Лист1'!B480</x:f>
        <x:v>Ростов-на-Дону</x:v>
      </x:c>
      <x:c r="C480" s="1" t="n">
        <x:f>'Лист1'!C480</x:f>
        <x:v>14808</x:v>
      </x:c>
      <x:c r="D480" s="6" t="n">
        <x:f>'Лист1'!D480</x:f>
        <x:v>1336789.5</x:v>
      </x:c>
      <x:c r="E480" s="6" t="n">
        <x:f>'Лист1'!E480</x:f>
        <x:v>1084824.9949999999</x:v>
      </x:c>
      <x:c r="F480" s="6" t="n">
        <x:f>'Лист1'!F480</x:f>
        <x:v>167974.06755384614</x:v>
      </x:c>
      <x:c r="G480" s="1" t="n">
        <x:f>IF(N480=1,SUMIFS('Лист2'!$C$2:$C$505,'Лист2'!$A$2:$A$505,A480,'Лист2'!$B$2:$B$505,B480),NA())</x:f>
        <x:v>16</x:v>
      </x:c>
      <x:c r="H480" s="1" t="n">
        <x:f>IF(N480=1,SUMIFS('Лист2'!$D$2:$D$505,'Лист2'!$A$2:$A$505,A480,'Лист2'!$B$2:$B$505,B480),NA())</x:f>
        <x:v>917</x:v>
      </x:c>
      <x:c r="I480" s="1" t="n">
        <x:f>IF(N480=1,SUMIFS('Лист2'!$E$2:$E$505,'Лист2'!$A$2:$A$505,A480,'Лист2'!$B$2:$B$505,B480),NA())</x:f>
        <x:v>802</x:v>
      </x:c>
      <x:c r="J480" s="5" t="n">
        <x:f>A480-WEEKDAY(A480,2)+1</x:f>
        <x:v>43976</x:v>
      </x:c>
      <x:c r="K480" s="1" t="n">
        <x:f>YEAR(J480+3)</x:f>
        <x:v>2020</x:v>
      </x:c>
      <x:c r="L480" s="1" t="n">
        <x:f>INT((J480-DATE(K480,1,4)+WEEKDAY(DATE(K480,1,4),2)-1)/7)+1</x:f>
        <x:v>22</x:v>
      </x:c>
      <x:c r="M480" s="1" t="str">
        <x:f>A480&amp;"|"&amp;B480</x:f>
        <x:v>43982|Ростов-на-Дону</x:v>
      </x:c>
      <x:c r="N480" s="1" t="n">
        <x:f>COUNTIFS('Лист2'!$F$2:$F$505,M480)</x:f>
        <x:v>1</x:v>
      </x:c>
      <x:c r="O480" s="1"/>
      <x:c r="P480" s="1"/>
      <x:c r="Q480" s="1"/>
    </x:row>
    <x:row r="481" ht="21" customHeight="1">
      <x:c r="A481" s="5" t="n">
        <x:f>'Лист1'!A481</x:f>
        <x:v>43982</x:v>
      </x:c>
      <x:c r="B481" s="1" t="str">
        <x:f>'Лист1'!B481</x:f>
        <x:v>Самара</x:v>
      </x:c>
      <x:c r="C481" s="1" t="n">
        <x:f>'Лист1'!C481</x:f>
        <x:v>7944</x:v>
      </x:c>
      <x:c r="D481" s="6" t="n">
        <x:f>'Лист1'!D481</x:f>
        <x:v>623971.5</x:v>
      </x:c>
      <x:c r="E481" s="6" t="n">
        <x:f>'Лист1'!E481</x:f>
        <x:v>565363.016</x:v>
      </x:c>
      <x:c r="F481" s="6" t="n">
        <x:f>'Лист1'!F481</x:f>
        <x:v>64235.45692307692</x:v>
      </x:c>
      <x:c r="G481" s="1" t="n">
        <x:f>IF(N481=1,SUMIFS('Лист2'!$C$2:$C$505,'Лист2'!$A$2:$A$505,A481,'Лист2'!$B$2:$B$505,B481),NA())</x:f>
        <x:v>15</x:v>
      </x:c>
      <x:c r="H481" s="1" t="n">
        <x:f>IF(N481=1,SUMIFS('Лист2'!$D$2:$D$505,'Лист2'!$A$2:$A$505,A481,'Лист2'!$B$2:$B$505,B481),NA())</x:f>
        <x:v>441</x:v>
      </x:c>
      <x:c r="I481" s="1" t="n">
        <x:f>IF(N481=1,SUMIFS('Лист2'!$E$2:$E$505,'Лист2'!$A$2:$A$505,A481,'Лист2'!$B$2:$B$505,B481),NA())</x:f>
        <x:v>368</x:v>
      </x:c>
      <x:c r="J481" s="5" t="n">
        <x:f>A481-WEEKDAY(A481,2)+1</x:f>
        <x:v>43976</x:v>
      </x:c>
      <x:c r="K481" s="1" t="n">
        <x:f>YEAR(J481+3)</x:f>
        <x:v>2020</x:v>
      </x:c>
      <x:c r="L481" s="1" t="n">
        <x:f>INT((J481-DATE(K481,1,4)+WEEKDAY(DATE(K481,1,4),2)-1)/7)+1</x:f>
        <x:v>22</x:v>
      </x:c>
      <x:c r="M481" s="1" t="str">
        <x:f>A481&amp;"|"&amp;B481</x:f>
        <x:v>43982|Самара</x:v>
      </x:c>
      <x:c r="N481" s="1" t="n">
        <x:f>COUNTIFS('Лист2'!$F$2:$F$505,M481)</x:f>
        <x:v>1</x:v>
      </x:c>
      <x:c r="O481" s="1"/>
      <x:c r="P481" s="1"/>
      <x:c r="Q481" s="1"/>
    </x:row>
    <x:row r="482" ht="21" customHeight="1">
      <x:c r="A482" s="5" t="n">
        <x:f>'Лист1'!A482</x:f>
        <x:v>43982</x:v>
      </x:c>
      <x:c r="B482" s="1" t="str">
        <x:f>'Лист1'!B482</x:f>
        <x:v>Санкт-Петербург Север</x:v>
      </x:c>
      <x:c r="C482" s="1" t="n">
        <x:f>'Лист1'!C482</x:f>
        <x:v>379663.5</x:v>
      </x:c>
      <x:c r="D482" s="6" t="n">
        <x:f>'Лист1'!D482</x:f>
        <x:v>39380178</x:v>
      </x:c>
      <x:c r="E482" s="6" t="n">
        <x:f>'Лист1'!E482</x:f>
        <x:v>29726473.223999996</x:v>
      </x:c>
      <x:c r="F482" s="6" t="n">
        <x:f>'Лист1'!F482</x:f>
        <x:v>305744.9884307692</x:v>
      </x:c>
      <x:c r="G482" s="1" t="n">
        <x:f>IF(N482=1,SUMIFS('Лист2'!$C$2:$C$505,'Лист2'!$A$2:$A$505,A482,'Лист2'!$B$2:$B$505,B482),NA())</x:f>
        <x:v>124</x:v>
      </x:c>
      <x:c r="H482" s="1" t="n">
        <x:f>IF(N482=1,SUMIFS('Лист2'!$D$2:$D$505,'Лист2'!$A$2:$A$505,A482,'Лист2'!$B$2:$B$505,B482),NA())</x:f>
        <x:v>21392</x:v>
      </x:c>
      <x:c r="I482" s="1" t="n">
        <x:f>IF(N482=1,SUMIFS('Лист2'!$E$2:$E$505,'Лист2'!$A$2:$A$505,A482,'Лист2'!$B$2:$B$505,B482),NA())</x:f>
        <x:v>19869</x:v>
      </x:c>
      <x:c r="J482" s="5" t="n">
        <x:f>A482-WEEKDAY(A482,2)+1</x:f>
        <x:v>43976</x:v>
      </x:c>
      <x:c r="K482" s="1" t="n">
        <x:f>YEAR(J482+3)</x:f>
        <x:v>2020</x:v>
      </x:c>
      <x:c r="L482" s="1" t="n">
        <x:f>INT((J482-DATE(K482,1,4)+WEEKDAY(DATE(K482,1,4),2)-1)/7)+1</x:f>
        <x:v>22</x:v>
      </x:c>
      <x:c r="M482" s="1" t="str">
        <x:f>A482&amp;"|"&amp;B482</x:f>
        <x:v>43982|Санкт-Петербург Север</x:v>
      </x:c>
      <x:c r="N482" s="1" t="n">
        <x:f>COUNTIFS('Лист2'!$F$2:$F$505,M482)</x:f>
        <x:v>1</x:v>
      </x:c>
      <x:c r="O482" s="1"/>
      <x:c r="P482" s="1"/>
      <x:c r="Q482" s="1"/>
    </x:row>
    <x:row r="483" ht="21" customHeight="1">
      <x:c r="A483" s="5" t="n">
        <x:f>'Лист1'!A483</x:f>
        <x:v>43982</x:v>
      </x:c>
      <x:c r="B483" s="1" t="str">
        <x:f>'Лист1'!B483</x:f>
        <x:v>Санкт-Петербург Юг</x:v>
      </x:c>
      <x:c r="C483" s="1" t="n">
        <x:f>'Лист1'!C483</x:f>
        <x:v>294337.5</x:v>
      </x:c>
      <x:c r="D483" s="6" t="n">
        <x:f>'Лист1'!D483</x:f>
        <x:v>29327766</x:v>
      </x:c>
      <x:c r="E483" s="6" t="n">
        <x:f>'Лист1'!E483</x:f>
        <x:v>22491044.692999996</x:v>
      </x:c>
      <x:c r="F483" s="6" t="n">
        <x:f>'Лист1'!F483</x:f>
        <x:v>283716.73846153845</x:v>
      </x:c>
      <x:c r="G483" s="1" t="n">
        <x:f>IF(N483=1,SUMIFS('Лист2'!$C$2:$C$505,'Лист2'!$A$2:$A$505,A483,'Лист2'!$B$2:$B$505,B483),NA())</x:f>
        <x:v>129</x:v>
      </x:c>
      <x:c r="H483" s="1" t="n">
        <x:f>IF(N483=1,SUMIFS('Лист2'!$D$2:$D$505,'Лист2'!$A$2:$A$505,A483,'Лист2'!$B$2:$B$505,B483),NA())</x:f>
        <x:v>17235</x:v>
      </x:c>
      <x:c r="I483" s="1" t="n">
        <x:f>IF(N483=1,SUMIFS('Лист2'!$E$2:$E$505,'Лист2'!$A$2:$A$505,A483,'Лист2'!$B$2:$B$505,B483),NA())</x:f>
        <x:v>16052</x:v>
      </x:c>
      <x:c r="J483" s="5" t="n">
        <x:f>A483-WEEKDAY(A483,2)+1</x:f>
        <x:v>43976</x:v>
      </x:c>
      <x:c r="K483" s="1" t="n">
        <x:f>YEAR(J483+3)</x:f>
        <x:v>2020</x:v>
      </x:c>
      <x:c r="L483" s="1" t="n">
        <x:f>INT((J483-DATE(K483,1,4)+WEEKDAY(DATE(K483,1,4),2)-1)/7)+1</x:f>
        <x:v>22</x:v>
      </x:c>
      <x:c r="M483" s="1" t="str">
        <x:f>A483&amp;"|"&amp;B483</x:f>
        <x:v>43982|Санкт-Петербург Юг</x:v>
      </x:c>
      <x:c r="N483" s="1" t="n">
        <x:f>COUNTIFS('Лист2'!$F$2:$F$505,M483)</x:f>
        <x:v>1</x:v>
      </x:c>
      <x:c r="O483" s="1"/>
      <x:c r="P483" s="1"/>
      <x:c r="Q483" s="1"/>
    </x:row>
    <x:row r="484" ht="21" customHeight="1">
      <x:c r="A484" s="5" t="n">
        <x:f>'Лист1'!A484</x:f>
        <x:v>43982</x:v>
      </x:c>
      <x:c r="B484" s="1" t="str">
        <x:f>'Лист1'!B484</x:f>
        <x:v>Тольятти</x:v>
      </x:c>
      <x:c r="C484" s="1" t="n">
        <x:f>'Лист1'!C484</x:f>
        <x:v>12724.5</x:v>
      </x:c>
      <x:c r="D484" s="6" t="n">
        <x:f>'Лист1'!D484</x:f>
        <x:v>1045515</x:v>
      </x:c>
      <x:c r="E484" s="6" t="n">
        <x:f>'Лист1'!E484</x:f>
        <x:v>896490.07</x:v>
      </x:c>
      <x:c r="F484" s="6" t="n">
        <x:f>'Лист1'!F484</x:f>
        <x:v>49463.98298461539</x:v>
      </x:c>
      <x:c r="G484" s="1" t="n">
        <x:f>IF(N484=1,SUMIFS('Лист2'!$C$2:$C$505,'Лист2'!$A$2:$A$505,A484,'Лист2'!$B$2:$B$505,B484),NA())</x:f>
        <x:v>10</x:v>
      </x:c>
      <x:c r="H484" s="1" t="n">
        <x:f>IF(N484=1,SUMIFS('Лист2'!$D$2:$D$505,'Лист2'!$A$2:$A$505,A484,'Лист2'!$B$2:$B$505,B484),NA())</x:f>
        <x:v>749</x:v>
      </x:c>
      <x:c r="I484" s="1" t="n">
        <x:f>IF(N484=1,SUMIFS('Лист2'!$E$2:$E$505,'Лист2'!$A$2:$A$505,A484,'Лист2'!$B$2:$B$505,B484),NA())</x:f>
        <x:v>655</x:v>
      </x:c>
      <x:c r="J484" s="5" t="n">
        <x:f>A484-WEEKDAY(A484,2)+1</x:f>
        <x:v>43976</x:v>
      </x:c>
      <x:c r="K484" s="1" t="n">
        <x:f>YEAR(J484+3)</x:f>
        <x:v>2020</x:v>
      </x:c>
      <x:c r="L484" s="1" t="n">
        <x:f>INT((J484-DATE(K484,1,4)+WEEKDAY(DATE(K484,1,4),2)-1)/7)+1</x:f>
        <x:v>22</x:v>
      </x:c>
      <x:c r="M484" s="1" t="str">
        <x:f>A484&amp;"|"&amp;B484</x:f>
        <x:v>43982|Тольятти</x:v>
      </x:c>
      <x:c r="N484" s="1" t="n">
        <x:f>COUNTIFS('Лист2'!$F$2:$F$505,M484)</x:f>
        <x:v>1</x:v>
      </x:c>
      <x:c r="O484" s="1"/>
      <x:c r="P484" s="1"/>
      <x:c r="Q484" s="1"/>
    </x:row>
    <x:row r="485" ht="21" customHeight="1">
      <x:c r="A485" s="5" t="n">
        <x:f>'Лист1'!A485</x:f>
        <x:v>43982</x:v>
      </x:c>
      <x:c r="B485" s="1" t="str">
        <x:f>'Лист1'!B485</x:f>
        <x:v>Томск</x:v>
      </x:c>
      <x:c r="C485" s="1" t="n">
        <x:f>'Лист1'!C485</x:f>
        <x:v>6409.5</x:v>
      </x:c>
      <x:c r="D485" s="6" t="n">
        <x:f>'Лист1'!D485</x:f>
        <x:v>493893</x:v>
      </x:c>
      <x:c r="E485" s="6" t="n">
        <x:f>'Лист1'!E485</x:f>
        <x:v>459762.61999999994</x:v>
      </x:c>
      <x:c r="F485" s="6" t="n">
        <x:f>'Лист1'!F485</x:f>
        <x:v>28040.97692307692</x:v>
      </x:c>
      <x:c r="G485" s="1" t="n">
        <x:f>IF(N485=1,SUMIFS('Лист2'!$C$2:$C$505,'Лист2'!$A$2:$A$505,A485,'Лист2'!$B$2:$B$505,B485),NA())</x:f>
        <x:v>9</x:v>
      </x:c>
      <x:c r="H485" s="1" t="n">
        <x:f>IF(N485=1,SUMIFS('Лист2'!$D$2:$D$505,'Лист2'!$A$2:$A$505,A485,'Лист2'!$B$2:$B$505,B485),NA())</x:f>
        <x:v>345</x:v>
      </x:c>
      <x:c r="I485" s="1" t="n">
        <x:f>IF(N485=1,SUMIFS('Лист2'!$E$2:$E$505,'Лист2'!$A$2:$A$505,A485,'Лист2'!$B$2:$B$505,B485),NA())</x:f>
        <x:v>255</x:v>
      </x:c>
      <x:c r="J485" s="5" t="n">
        <x:f>A485-WEEKDAY(A485,2)+1</x:f>
        <x:v>43976</x:v>
      </x:c>
      <x:c r="K485" s="1" t="n">
        <x:f>YEAR(J485+3)</x:f>
        <x:v>2020</x:v>
      </x:c>
      <x:c r="L485" s="1" t="n">
        <x:f>INT((J485-DATE(K485,1,4)+WEEKDAY(DATE(K485,1,4),2)-1)/7)+1</x:f>
        <x:v>22</x:v>
      </x:c>
      <x:c r="M485" s="1" t="str">
        <x:f>A485&amp;"|"&amp;B485</x:f>
        <x:v>43982|Томск</x:v>
      </x:c>
      <x:c r="N485" s="1" t="n">
        <x:f>COUNTIFS('Лист2'!$F$2:$F$505,M485)</x:f>
        <x:v>1</x:v>
      </x:c>
      <x:c r="O485" s="1"/>
      <x:c r="P485" s="1"/>
      <x:c r="Q485" s="1"/>
    </x:row>
    <x:row r="486" ht="21" customHeight="1">
      <x:c r="A486" s="5" t="n">
        <x:f>'Лист1'!A486</x:f>
        <x:v>43982</x:v>
      </x:c>
      <x:c r="B486" s="1" t="str">
        <x:f>'Лист1'!B486</x:f>
        <x:v>Тюмень</x:v>
      </x:c>
      <x:c r="C486" s="1" t="n">
        <x:f>'Лист1'!C486</x:f>
        <x:v>10416</x:v>
      </x:c>
      <x:c r="D486" s="6" t="n">
        <x:f>'Лист1'!D486</x:f>
        <x:v>866023.5</x:v>
      </x:c>
      <x:c r="E486" s="6" t="n">
        <x:f>'Лист1'!E486</x:f>
        <x:v>744833.002</x:v>
      </x:c>
      <x:c r="F486" s="6" t="n">
        <x:f>'Лист1'!F486</x:f>
        <x:v>19998.63846153846</x:v>
      </x:c>
      <x:c r="G486" s="1" t="n">
        <x:f>IF(N486=1,SUMIFS('Лист2'!$C$2:$C$505,'Лист2'!$A$2:$A$505,A486,'Лист2'!$B$2:$B$505,B486),NA())</x:f>
        <x:v>7</x:v>
      </x:c>
      <x:c r="H486" s="1" t="n">
        <x:f>IF(N486=1,SUMIFS('Лист2'!$D$2:$D$505,'Лист2'!$A$2:$A$505,A486,'Лист2'!$B$2:$B$505,B486),NA())</x:f>
        <x:v>530</x:v>
      </x:c>
      <x:c r="I486" s="1" t="n">
        <x:f>IF(N486=1,SUMIFS('Лист2'!$E$2:$E$505,'Лист2'!$A$2:$A$505,A486,'Лист2'!$B$2:$B$505,B486),NA())</x:f>
        <x:v>447</x:v>
      </x:c>
      <x:c r="J486" s="5" t="n">
        <x:f>A486-WEEKDAY(A486,2)+1</x:f>
        <x:v>43976</x:v>
      </x:c>
      <x:c r="K486" s="1" t="n">
        <x:f>YEAR(J486+3)</x:f>
        <x:v>2020</x:v>
      </x:c>
      <x:c r="L486" s="1" t="n">
        <x:f>INT((J486-DATE(K486,1,4)+WEEKDAY(DATE(K486,1,4),2)-1)/7)+1</x:f>
        <x:v>22</x:v>
      </x:c>
      <x:c r="M486" s="1" t="str">
        <x:f>A486&amp;"|"&amp;B486</x:f>
        <x:v>43982|Тюмень</x:v>
      </x:c>
      <x:c r="N486" s="1" t="n">
        <x:f>COUNTIFS('Лист2'!$F$2:$F$505,M486)</x:f>
        <x:v>1</x:v>
      </x:c>
      <x:c r="O486" s="1"/>
      <x:c r="P486" s="1"/>
      <x:c r="Q486" s="1"/>
    </x:row>
    <x:row r="487" ht="21" customHeight="1">
      <x:c r="A487" s="5" t="n">
        <x:f>'Лист1'!A487</x:f>
        <x:v>43982</x:v>
      </x:c>
      <x:c r="B487" s="1" t="str">
        <x:f>'Лист1'!B487</x:f>
        <x:v>Уфа</x:v>
      </x:c>
      <x:c r="C487" s="1" t="n">
        <x:f>'Лист1'!C487</x:f>
        <x:v>5127</x:v>
      </x:c>
      <x:c r="D487" s="6" t="n">
        <x:f>'Лист1'!D487</x:f>
        <x:v>468835.5</x:v>
      </x:c>
      <x:c r="E487" s="6" t="n">
        <x:f>'Лист1'!E487</x:f>
        <x:v>412625.887</x:v>
      </x:c>
      <x:c r="F487" s="6" t="n">
        <x:f>'Лист1'!F487</x:f>
        <x:v>8642.376923076923</x:v>
      </x:c>
      <x:c r="G487" s="1" t="n">
        <x:f>IF(N487=1,SUMIFS('Лист2'!$C$2:$C$505,'Лист2'!$A$2:$A$505,A487,'Лист2'!$B$2:$B$505,B487),NA())</x:f>
        <x:v>6</x:v>
      </x:c>
      <x:c r="H487" s="1" t="n">
        <x:f>IF(N487=1,SUMIFS('Лист2'!$D$2:$D$505,'Лист2'!$A$2:$A$505,A487,'Лист2'!$B$2:$B$505,B487),NA())</x:f>
        <x:v>261</x:v>
      </x:c>
      <x:c r="I487" s="1" t="n">
        <x:f>IF(N487=1,SUMIFS('Лист2'!$E$2:$E$505,'Лист2'!$A$2:$A$505,A487,'Лист2'!$B$2:$B$505,B487),NA())</x:f>
        <x:v>188</x:v>
      </x:c>
      <x:c r="J487" s="5" t="n">
        <x:f>A487-WEEKDAY(A487,2)+1</x:f>
        <x:v>43976</x:v>
      </x:c>
      <x:c r="K487" s="1" t="n">
        <x:f>YEAR(J487+3)</x:f>
        <x:v>2020</x:v>
      </x:c>
      <x:c r="L487" s="1" t="n">
        <x:f>INT((J487-DATE(K487,1,4)+WEEKDAY(DATE(K487,1,4),2)-1)/7)+1</x:f>
        <x:v>22</x:v>
      </x:c>
      <x:c r="M487" s="1" t="str">
        <x:f>A487&amp;"|"&amp;B487</x:f>
        <x:v>43982|Уфа</x:v>
      </x:c>
      <x:c r="N487" s="1" t="n">
        <x:f>COUNTIFS('Лист2'!$F$2:$F$505,M487)</x:f>
        <x:v>1</x:v>
      </x:c>
      <x:c r="O487" s="1"/>
      <x:c r="P487" s="1"/>
      <x:c r="Q487" s="1"/>
    </x:row>
    <x:row r="488" ht="21" customHeight="1">
      <x:c r="A488" s="5" t="n">
        <x:f>'Лист1'!A488</x:f>
        <x:v>43983</x:v>
      </x:c>
      <x:c r="B488" s="1" t="str">
        <x:f>'Лист1'!B488</x:f>
        <x:v>Волгоград</x:v>
      </x:c>
      <x:c r="C488" s="1" t="n">
        <x:f>'Лист1'!C488</x:f>
        <x:v>64740</x:v>
      </x:c>
      <x:c r="D488" s="6" t="n">
        <x:f>'Лист1'!D488</x:f>
        <x:v>5800290</x:v>
      </x:c>
      <x:c r="E488" s="6" t="n">
        <x:f>'Лист1'!E488</x:f>
        <x:v>4332158.433</x:v>
      </x:c>
      <x:c r="F488" s="6" t="n">
        <x:f>'Лист1'!F488</x:f>
        <x:v>205428.24997692305</x:v>
      </x:c>
      <x:c r="G488" s="1" t="n">
        <x:f>IF(N488=1,SUMIFS('Лист2'!$C$2:$C$505,'Лист2'!$A$2:$A$505,A488,'Лист2'!$B$2:$B$505,B488),NA())</x:f>
        <x:v>37</x:v>
      </x:c>
      <x:c r="H488" s="1" t="n">
        <x:f>IF(N488=1,SUMIFS('Лист2'!$D$2:$D$505,'Лист2'!$A$2:$A$505,A488,'Лист2'!$B$2:$B$505,B488),NA())</x:f>
        <x:v>4722</x:v>
      </x:c>
      <x:c r="I488" s="1" t="n">
        <x:f>IF(N488=1,SUMIFS('Лист2'!$E$2:$E$505,'Лист2'!$A$2:$A$505,A488,'Лист2'!$B$2:$B$505,B488),NA())</x:f>
        <x:v>4352</x:v>
      </x:c>
      <x:c r="J488" s="5" t="n">
        <x:f>A488-WEEKDAY(A488,2)+1</x:f>
        <x:v>43983</x:v>
      </x:c>
      <x:c r="K488" s="1" t="n">
        <x:f>YEAR(J488+3)</x:f>
        <x:v>2020</x:v>
      </x:c>
      <x:c r="L488" s="1" t="n">
        <x:f>INT((J488-DATE(K488,1,4)+WEEKDAY(DATE(K488,1,4),2)-1)/7)+1</x:f>
        <x:v>23</x:v>
      </x:c>
      <x:c r="M488" s="1" t="str">
        <x:f>A488&amp;"|"&amp;B488</x:f>
        <x:v>43983|Волгоград</x:v>
      </x:c>
      <x:c r="N488" s="1" t="n">
        <x:f>COUNTIFS('Лист2'!$F$2:$F$505,M488)</x:f>
        <x:v>1</x:v>
      </x:c>
      <x:c r="O488" s="1"/>
      <x:c r="P488" s="1"/>
      <x:c r="Q488" s="1"/>
    </x:row>
    <x:row r="489" ht="21" customHeight="1">
      <x:c r="A489" s="5" t="n">
        <x:f>'Лист1'!A489</x:f>
        <x:v>43983</x:v>
      </x:c>
      <x:c r="B489" s="1" t="str">
        <x:f>'Лист1'!B489</x:f>
        <x:v>Екатеринбург</x:v>
      </x:c>
      <x:c r="C489" s="1" t="n">
        <x:f>'Лист1'!C489</x:f>
        <x:v>77269.5</x:v>
      </x:c>
      <x:c r="D489" s="6" t="n">
        <x:f>'Лист1'!D489</x:f>
        <x:v>6829921.5</x:v>
      </x:c>
      <x:c r="E489" s="6" t="n">
        <x:f>'Лист1'!E489</x:f>
        <x:v>5152925.182</x:v>
      </x:c>
      <x:c r="F489" s="6" t="n">
        <x:f>'Лист1'!F489</x:f>
        <x:v>219200.11557692307</x:v>
      </x:c>
      <x:c r="G489" s="1" t="n">
        <x:f>IF(N489=1,SUMIFS('Лист2'!$C$2:$C$505,'Лист2'!$A$2:$A$505,A489,'Лист2'!$B$2:$B$505,B489),NA())</x:f>
        <x:v>31</x:v>
      </x:c>
      <x:c r="H489" s="1" t="n">
        <x:f>IF(N489=1,SUMIFS('Лист2'!$D$2:$D$505,'Лист2'!$A$2:$A$505,A489,'Лист2'!$B$2:$B$505,B489),NA())</x:f>
        <x:v>5468</x:v>
      </x:c>
      <x:c r="I489" s="1" t="n">
        <x:f>IF(N489=1,SUMIFS('Лист2'!$E$2:$E$505,'Лист2'!$A$2:$A$505,A489,'Лист2'!$B$2:$B$505,B489),NA())</x:f>
        <x:v>5081</x:v>
      </x:c>
      <x:c r="J489" s="5" t="n">
        <x:f>A489-WEEKDAY(A489,2)+1</x:f>
        <x:v>43983</x:v>
      </x:c>
      <x:c r="K489" s="1" t="n">
        <x:f>YEAR(J489+3)</x:f>
        <x:v>2020</x:v>
      </x:c>
      <x:c r="L489" s="1" t="n">
        <x:f>INT((J489-DATE(K489,1,4)+WEEKDAY(DATE(K489,1,4),2)-1)/7)+1</x:f>
        <x:v>23</x:v>
      </x:c>
      <x:c r="M489" s="1" t="str">
        <x:f>A489&amp;"|"&amp;B489</x:f>
        <x:v>43983|Екатеринбург</x:v>
      </x:c>
      <x:c r="N489" s="1" t="n">
        <x:f>COUNTIFS('Лист2'!$F$2:$F$505,M489)</x:f>
        <x:v>1</x:v>
      </x:c>
      <x:c r="O489" s="1"/>
      <x:c r="P489" s="1"/>
      <x:c r="Q489" s="1"/>
    </x:row>
    <x:row r="490" ht="21" customHeight="1">
      <x:c r="A490" s="5" t="n">
        <x:f>'Лист1'!A490</x:f>
        <x:v>43983</x:v>
      </x:c>
      <x:c r="B490" s="1" t="str">
        <x:f>'Лист1'!B490</x:f>
        <x:v>Казань</x:v>
      </x:c>
      <x:c r="C490" s="1" t="n">
        <x:f>'Лист1'!C490</x:f>
        <x:v>40528.5</x:v>
      </x:c>
      <x:c r="D490" s="6" t="n">
        <x:f>'Лист1'!D490</x:f>
        <x:v>3865251</x:v>
      </x:c>
      <x:c r="E490" s="6" t="n">
        <x:f>'Лист1'!E490</x:f>
        <x:v>2972895.417</x:v>
      </x:c>
      <x:c r="F490" s="6" t="n">
        <x:f>'Лист1'!F490</x:f>
        <x:v>336001.0803923077</x:v>
      </x:c>
      <x:c r="G490" s="1" t="n">
        <x:f>IF(N490=1,SUMIFS('Лист2'!$C$2:$C$505,'Лист2'!$A$2:$A$505,A490,'Лист2'!$B$2:$B$505,B490),NA())</x:f>
        <x:v>23</x:v>
      </x:c>
      <x:c r="H490" s="1" t="n">
        <x:f>IF(N490=1,SUMIFS('Лист2'!$D$2:$D$505,'Лист2'!$A$2:$A$505,A490,'Лист2'!$B$2:$B$505,B490),NA())</x:f>
        <x:v>2531</x:v>
      </x:c>
      <x:c r="I490" s="1" t="n">
        <x:f>IF(N490=1,SUMIFS('Лист2'!$E$2:$E$505,'Лист2'!$A$2:$A$505,A490,'Лист2'!$B$2:$B$505,B490),NA())</x:f>
        <x:v>2296</x:v>
      </x:c>
      <x:c r="J490" s="5" t="n">
        <x:f>A490-WEEKDAY(A490,2)+1</x:f>
        <x:v>43983</x:v>
      </x:c>
      <x:c r="K490" s="1" t="n">
        <x:f>YEAR(J490+3)</x:f>
        <x:v>2020</x:v>
      </x:c>
      <x:c r="L490" s="1" t="n">
        <x:f>INT((J490-DATE(K490,1,4)+WEEKDAY(DATE(K490,1,4),2)-1)/7)+1</x:f>
        <x:v>23</x:v>
      </x:c>
      <x:c r="M490" s="1" t="str">
        <x:f>A490&amp;"|"&amp;B490</x:f>
        <x:v>43983|Казань</x:v>
      </x:c>
      <x:c r="N490" s="1" t="n">
        <x:f>COUNTIFS('Лист2'!$F$2:$F$505,M490)</x:f>
        <x:v>1</x:v>
      </x:c>
      <x:c r="O490" s="1"/>
      <x:c r="P490" s="1"/>
      <x:c r="Q490" s="1"/>
    </x:row>
    <x:row r="491" ht="21" customHeight="1">
      <x:c r="A491" s="5" t="n">
        <x:f>'Лист1'!A491</x:f>
        <x:v>43983</x:v>
      </x:c>
      <x:c r="B491" s="1" t="str">
        <x:f>'Лист1'!B491</x:f>
        <x:v>Кемерово</x:v>
      </x:c>
      <x:c r="C491" s="1" t="n">
        <x:f>'Лист1'!C491</x:f>
        <x:v>31947</x:v>
      </x:c>
      <x:c r="D491" s="6" t="n">
        <x:f>'Лист1'!D491</x:f>
        <x:v>2945035.5</x:v>
      </x:c>
      <x:c r="E491" s="6" t="n">
        <x:f>'Лист1'!E491</x:f>
        <x:v>2320195.4450000003</x:v>
      </x:c>
      <x:c r="F491" s="6" t="n">
        <x:f>'Лист1'!F491</x:f>
        <x:v>383761.6669230769</x:v>
      </x:c>
      <x:c r="G491" s="1" t="n">
        <x:f>IF(N491=1,SUMIFS('Лист2'!$C$2:$C$505,'Лист2'!$A$2:$A$505,A491,'Лист2'!$B$2:$B$505,B491),NA())</x:f>
        <x:v>21</x:v>
      </x:c>
      <x:c r="H491" s="1" t="n">
        <x:f>IF(N491=1,SUMIFS('Лист2'!$D$2:$D$505,'Лист2'!$A$2:$A$505,A491,'Лист2'!$B$2:$B$505,B491),NA())</x:f>
        <x:v>2025</x:v>
      </x:c>
      <x:c r="I491" s="1" t="n">
        <x:f>IF(N491=1,SUMIFS('Лист2'!$E$2:$E$505,'Лист2'!$A$2:$A$505,A491,'Лист2'!$B$2:$B$505,B491),NA())</x:f>
        <x:v>1849</x:v>
      </x:c>
      <x:c r="J491" s="5" t="n">
        <x:f>A491-WEEKDAY(A491,2)+1</x:f>
        <x:v>43983</x:v>
      </x:c>
      <x:c r="K491" s="1" t="n">
        <x:f>YEAR(J491+3)</x:f>
        <x:v>2020</x:v>
      </x:c>
      <x:c r="L491" s="1" t="n">
        <x:f>INT((J491-DATE(K491,1,4)+WEEKDAY(DATE(K491,1,4),2)-1)/7)+1</x:f>
        <x:v>23</x:v>
      </x:c>
      <x:c r="M491" s="1" t="str">
        <x:f>A491&amp;"|"&amp;B491</x:f>
        <x:v>43983|Кемерово</x:v>
      </x:c>
      <x:c r="N491" s="1" t="n">
        <x:f>COUNTIFS('Лист2'!$F$2:$F$505,M491)</x:f>
        <x:v>1</x:v>
      </x:c>
      <x:c r="O491" s="1"/>
      <x:c r="P491" s="1"/>
      <x:c r="Q491" s="1"/>
    </x:row>
    <x:row r="492" ht="21" customHeight="1">
      <x:c r="A492" s="5" t="n">
        <x:f>'Лист1'!A492</x:f>
        <x:v>43983</x:v>
      </x:c>
      <x:c r="B492" s="1" t="str">
        <x:f>'Лист1'!B492</x:f>
        <x:v>Краснодар</x:v>
      </x:c>
      <x:c r="C492" s="1" t="n">
        <x:f>'Лист1'!C492</x:f>
        <x:v>27960</x:v>
      </x:c>
      <x:c r="D492" s="6" t="n">
        <x:f>'Лист1'!D492</x:f>
        <x:v>2538967.5</x:v>
      </x:c>
      <x:c r="E492" s="6" t="n">
        <x:f>'Лист1'!E492</x:f>
        <x:v>1983277.5959999997</x:v>
      </x:c>
      <x:c r="F492" s="6" t="n">
        <x:f>'Лист1'!F492</x:f>
        <x:v>134168.53587692307</x:v>
      </x:c>
      <x:c r="G492" s="1" t="n">
        <x:f>IF(N492=1,SUMIFS('Лист2'!$C$2:$C$505,'Лист2'!$A$2:$A$505,A492,'Лист2'!$B$2:$B$505,B492),NA())</x:f>
        <x:v>21</x:v>
      </x:c>
      <x:c r="H492" s="1" t="n">
        <x:f>IF(N492=1,SUMIFS('Лист2'!$D$2:$D$505,'Лист2'!$A$2:$A$505,A492,'Лист2'!$B$2:$B$505,B492),NA())</x:f>
        <x:v>1879</x:v>
      </x:c>
      <x:c r="I492" s="1" t="n">
        <x:f>IF(N492=1,SUMIFS('Лист2'!$E$2:$E$505,'Лист2'!$A$2:$A$505,A492,'Лист2'!$B$2:$B$505,B492),NA())</x:f>
        <x:v>1720</x:v>
      </x:c>
      <x:c r="J492" s="5" t="n">
        <x:f>A492-WEEKDAY(A492,2)+1</x:f>
        <x:v>43983</x:v>
      </x:c>
      <x:c r="K492" s="1" t="n">
        <x:f>YEAR(J492+3)</x:f>
        <x:v>2020</x:v>
      </x:c>
      <x:c r="L492" s="1" t="n">
        <x:f>INT((J492-DATE(K492,1,4)+WEEKDAY(DATE(K492,1,4),2)-1)/7)+1</x:f>
        <x:v>23</x:v>
      </x:c>
      <x:c r="M492" s="1" t="str">
        <x:f>A492&amp;"|"&amp;B492</x:f>
        <x:v>43983|Краснодар</x:v>
      </x:c>
      <x:c r="N492" s="1" t="n">
        <x:f>COUNTIFS('Лист2'!$F$2:$F$505,M492)</x:f>
        <x:v>1</x:v>
      </x:c>
      <x:c r="O492" s="1"/>
      <x:c r="P492" s="1"/>
      <x:c r="Q492" s="1"/>
    </x:row>
    <x:row r="493" ht="21" customHeight="1">
      <x:c r="A493" s="5" t="n">
        <x:f>'Лист1'!A493</x:f>
        <x:v>43983</x:v>
      </x:c>
      <x:c r="B493" s="1" t="str">
        <x:f>'Лист1'!B493</x:f>
        <x:v>Москва Восток</x:v>
      </x:c>
      <x:c r="C493" s="1" t="n">
        <x:f>'Лист1'!C493</x:f>
        <x:v>183228</x:v>
      </x:c>
      <x:c r="D493" s="6" t="n">
        <x:f>'Лист1'!D493</x:f>
        <x:v>18914194.5</x:v>
      </x:c>
      <x:c r="E493" s="6" t="n">
        <x:f>'Лист1'!E493</x:f>
        <x:v>13959979.012</x:v>
      </x:c>
      <x:c r="F493" s="6" t="n">
        <x:f>'Лист1'!F493</x:f>
        <x:v>464232.5484615384</x:v>
      </x:c>
      <x:c r="G493" s="1" t="n">
        <x:f>IF(N493=1,SUMIFS('Лист2'!$C$2:$C$505,'Лист2'!$A$2:$A$505,A493,'Лист2'!$B$2:$B$505,B493),NA())</x:f>
        <x:v>54</x:v>
      </x:c>
      <x:c r="H493" s="1" t="n">
        <x:f>IF(N493=1,SUMIFS('Лист2'!$D$2:$D$505,'Лист2'!$A$2:$A$505,A493,'Лист2'!$B$2:$B$505,B493),NA())</x:f>
        <x:v>11864</x:v>
      </x:c>
      <x:c r="I493" s="1" t="n">
        <x:f>IF(N493=1,SUMIFS('Лист2'!$E$2:$E$505,'Лист2'!$A$2:$A$505,A493,'Лист2'!$B$2:$B$505,B493),NA())</x:f>
        <x:v>11071</x:v>
      </x:c>
      <x:c r="J493" s="5" t="n">
        <x:f>A493-WEEKDAY(A493,2)+1</x:f>
        <x:v>43983</x:v>
      </x:c>
      <x:c r="K493" s="1" t="n">
        <x:f>YEAR(J493+3)</x:f>
        <x:v>2020</x:v>
      </x:c>
      <x:c r="L493" s="1" t="n">
        <x:f>INT((J493-DATE(K493,1,4)+WEEKDAY(DATE(K493,1,4),2)-1)/7)+1</x:f>
        <x:v>23</x:v>
      </x:c>
      <x:c r="M493" s="1" t="str">
        <x:f>A493&amp;"|"&amp;B493</x:f>
        <x:v>43983|Москва Восток</x:v>
      </x:c>
      <x:c r="N493" s="1" t="n">
        <x:f>COUNTIFS('Лист2'!$F$2:$F$505,M493)</x:f>
        <x:v>1</x:v>
      </x:c>
      <x:c r="O493" s="1"/>
      <x:c r="P493" s="1"/>
      <x:c r="Q493" s="1"/>
    </x:row>
    <x:row r="494" ht="21" customHeight="1">
      <x:c r="A494" s="5" t="n">
        <x:f>'Лист1'!A494</x:f>
        <x:v>43983</x:v>
      </x:c>
      <x:c r="B494" s="1" t="str">
        <x:f>'Лист1'!B494</x:f>
        <x:v>Москва Запад</x:v>
      </x:c>
      <x:c r="C494" s="1" t="n">
        <x:f>'Лист1'!C494</x:f>
        <x:v>188776.5</x:v>
      </x:c>
      <x:c r="D494" s="6" t="n">
        <x:f>'Лист1'!D494</x:f>
        <x:v>19465372.5</x:v>
      </x:c>
      <x:c r="E494" s="6" t="n">
        <x:f>'Лист1'!E494</x:f>
        <x:v>14354207.141999999</x:v>
      </x:c>
      <x:c r="F494" s="6" t="n">
        <x:f>'Лист1'!F494</x:f>
        <x:v>467483.70729230763</x:v>
      </x:c>
      <x:c r="G494" s="1" t="n">
        <x:f>IF(N494=1,SUMIFS('Лист2'!$C$2:$C$505,'Лист2'!$A$2:$A$505,A494,'Лист2'!$B$2:$B$505,B494),NA())</x:f>
        <x:v>59</x:v>
      </x:c>
      <x:c r="H494" s="1" t="n">
        <x:f>IF(N494=1,SUMIFS('Лист2'!$D$2:$D$505,'Лист2'!$A$2:$A$505,A494,'Лист2'!$B$2:$B$505,B494),NA())</x:f>
        <x:v>12299</x:v>
      </x:c>
      <x:c r="I494" s="1" t="n">
        <x:f>IF(N494=1,SUMIFS('Лист2'!$E$2:$E$505,'Лист2'!$A$2:$A$505,A494,'Лист2'!$B$2:$B$505,B494),NA())</x:f>
        <x:v>11448</x:v>
      </x:c>
      <x:c r="J494" s="5" t="n">
        <x:f>A494-WEEKDAY(A494,2)+1</x:f>
        <x:v>43983</x:v>
      </x:c>
      <x:c r="K494" s="1" t="n">
        <x:f>YEAR(J494+3)</x:f>
        <x:v>2020</x:v>
      </x:c>
      <x:c r="L494" s="1" t="n">
        <x:f>INT((J494-DATE(K494,1,4)+WEEKDAY(DATE(K494,1,4),2)-1)/7)+1</x:f>
        <x:v>23</x:v>
      </x:c>
      <x:c r="M494" s="1" t="str">
        <x:f>A494&amp;"|"&amp;B494</x:f>
        <x:v>43983|Москва Запад</x:v>
      </x:c>
      <x:c r="N494" s="1" t="n">
        <x:f>COUNTIFS('Лист2'!$F$2:$F$505,M494)</x:f>
        <x:v>1</x:v>
      </x:c>
      <x:c r="O494" s="1"/>
      <x:c r="P494" s="1"/>
      <x:c r="Q494" s="1"/>
    </x:row>
    <x:row r="495" ht="21" customHeight="1">
      <x:c r="A495" s="5" t="n">
        <x:f>'Лист1'!A495</x:f>
        <x:v>43983</x:v>
      </x:c>
      <x:c r="B495" s="1" t="str">
        <x:f>'Лист1'!B495</x:f>
        <x:v>Нижний Новгород</x:v>
      </x:c>
      <x:c r="C495" s="1" t="n">
        <x:f>'Лист1'!C495</x:f>
        <x:v>32170.5</x:v>
      </x:c>
      <x:c r="D495" s="6" t="n">
        <x:f>'Лист1'!D495</x:f>
        <x:v>3013512</x:v>
      </x:c>
      <x:c r="E495" s="6" t="n">
        <x:f>'Лист1'!E495</x:f>
        <x:v>2355616.679</x:v>
      </x:c>
      <x:c r="F495" s="6" t="n">
        <x:f>'Лист1'!F495</x:f>
        <x:v>219429.2774153846</x:v>
      </x:c>
      <x:c r="G495" s="1" t="n">
        <x:f>IF(N495=1,SUMIFS('Лист2'!$C$2:$C$505,'Лист2'!$A$2:$A$505,A495,'Лист2'!$B$2:$B$505,B495),NA())</x:f>
        <x:v>20</x:v>
      </x:c>
      <x:c r="H495" s="1" t="n">
        <x:f>IF(N495=1,SUMIFS('Лист2'!$D$2:$D$505,'Лист2'!$A$2:$A$505,A495,'Лист2'!$B$2:$B$505,B495),NA())</x:f>
        <x:v>2136</x:v>
      </x:c>
      <x:c r="I495" s="1" t="n">
        <x:f>IF(N495=1,SUMIFS('Лист2'!$E$2:$E$505,'Лист2'!$A$2:$A$505,A495,'Лист2'!$B$2:$B$505,B495),NA())</x:f>
        <x:v>1899</x:v>
      </x:c>
      <x:c r="J495" s="5" t="n">
        <x:f>A495-WEEKDAY(A495,2)+1</x:f>
        <x:v>43983</x:v>
      </x:c>
      <x:c r="K495" s="1" t="n">
        <x:f>YEAR(J495+3)</x:f>
        <x:v>2020</x:v>
      </x:c>
      <x:c r="L495" s="1" t="n">
        <x:f>INT((J495-DATE(K495,1,4)+WEEKDAY(DATE(K495,1,4),2)-1)/7)+1</x:f>
        <x:v>23</x:v>
      </x:c>
      <x:c r="M495" s="1" t="str">
        <x:f>A495&amp;"|"&amp;B495</x:f>
        <x:v>43983|Нижний Новгород</x:v>
      </x:c>
      <x:c r="N495" s="1" t="n">
        <x:f>COUNTIFS('Лист2'!$F$2:$F$505,M495)</x:f>
        <x:v>1</x:v>
      </x:c>
      <x:c r="O495" s="1"/>
      <x:c r="P495" s="1"/>
      <x:c r="Q495" s="1"/>
    </x:row>
    <x:row r="496" ht="21" customHeight="1">
      <x:c r="A496" s="5" t="n">
        <x:f>'Лист1'!A496</x:f>
        <x:v>43983</x:v>
      </x:c>
      <x:c r="B496" s="1" t="str">
        <x:f>'Лист1'!B496</x:f>
        <x:v>Новосибирск</x:v>
      </x:c>
      <x:c r="C496" s="1" t="n">
        <x:f>'Лист1'!C496</x:f>
        <x:v>14238</x:v>
      </x:c>
      <x:c r="D496" s="6" t="n">
        <x:f>'Лист1'!D496</x:f>
        <x:v>1293219</x:v>
      </x:c>
      <x:c r="E496" s="6" t="n">
        <x:f>'Лист1'!E496</x:f>
        <x:v>1006008.1159999999</x:v>
      </x:c>
      <x:c r="F496" s="6" t="n">
        <x:f>'Лист1'!F496</x:f>
        <x:v>129348.2923076923</x:v>
      </x:c>
      <x:c r="G496" s="1" t="n">
        <x:f>IF(N496=1,SUMIFS('Лист2'!$C$2:$C$505,'Лист2'!$A$2:$A$505,A496,'Лист2'!$B$2:$B$505,B496),NA())</x:f>
        <x:v>18</x:v>
      </x:c>
      <x:c r="H496" s="1" t="n">
        <x:f>IF(N496=1,SUMIFS('Лист2'!$D$2:$D$505,'Лист2'!$A$2:$A$505,A496,'Лист2'!$B$2:$B$505,B496),NA())</x:f>
        <x:v>923</x:v>
      </x:c>
      <x:c r="I496" s="1" t="n">
        <x:f>IF(N496=1,SUMIFS('Лист2'!$E$2:$E$505,'Лист2'!$A$2:$A$505,A496,'Лист2'!$B$2:$B$505,B496),NA())</x:f>
        <x:v>824</x:v>
      </x:c>
      <x:c r="J496" s="5" t="n">
        <x:f>A496-WEEKDAY(A496,2)+1</x:f>
        <x:v>43983</x:v>
      </x:c>
      <x:c r="K496" s="1" t="n">
        <x:f>YEAR(J496+3)</x:f>
        <x:v>2020</x:v>
      </x:c>
      <x:c r="L496" s="1" t="n">
        <x:f>INT((J496-DATE(K496,1,4)+WEEKDAY(DATE(K496,1,4),2)-1)/7)+1</x:f>
        <x:v>23</x:v>
      </x:c>
      <x:c r="M496" s="1" t="str">
        <x:f>A496&amp;"|"&amp;B496</x:f>
        <x:v>43983|Новосибирск</x:v>
      </x:c>
      <x:c r="N496" s="1" t="n">
        <x:f>COUNTIFS('Лист2'!$F$2:$F$505,M496)</x:f>
        <x:v>1</x:v>
      </x:c>
      <x:c r="O496" s="1"/>
      <x:c r="P496" s="1"/>
      <x:c r="Q496" s="1"/>
    </x:row>
    <x:row r="497" ht="21" customHeight="1">
      <x:c r="A497" s="5" t="n">
        <x:f>'Лист1'!A497</x:f>
        <x:v>43983</x:v>
      </x:c>
      <x:c r="B497" s="1" t="str">
        <x:f>'Лист1'!B497</x:f>
        <x:v>Пермь</x:v>
      </x:c>
      <x:c r="C497" s="1" t="n">
        <x:f>'Лист1'!C497</x:f>
        <x:v>16687.5</x:v>
      </x:c>
      <x:c r="D497" s="6" t="n">
        <x:f>'Лист1'!D497</x:f>
        <x:v>1526608.5</x:v>
      </x:c>
      <x:c r="E497" s="6" t="n">
        <x:f>'Лист1'!E497</x:f>
        <x:v>1202670.0489999999</x:v>
      </x:c>
      <x:c r="F497" s="6" t="n">
        <x:f>'Лист1'!F497</x:f>
        <x:v>340349.5336923077</x:v>
      </x:c>
      <x:c r="G497" s="1" t="n">
        <x:f>IF(N497=1,SUMIFS('Лист2'!$C$2:$C$505,'Лист2'!$A$2:$A$505,A497,'Лист2'!$B$2:$B$505,B497),NA())</x:f>
        <x:v>17</x:v>
      </x:c>
      <x:c r="H497" s="1" t="n">
        <x:f>IF(N497=1,SUMIFS('Лист2'!$D$2:$D$505,'Лист2'!$A$2:$A$505,A497,'Лист2'!$B$2:$B$505,B497),NA())</x:f>
        <x:v>1185</x:v>
      </x:c>
      <x:c r="I497" s="1" t="n">
        <x:f>IF(N497=1,SUMIFS('Лист2'!$E$2:$E$505,'Лист2'!$A$2:$A$505,A497,'Лист2'!$B$2:$B$505,B497),NA())</x:f>
        <x:v>1042</x:v>
      </x:c>
      <x:c r="J497" s="5" t="n">
        <x:f>A497-WEEKDAY(A497,2)+1</x:f>
        <x:v>43983</x:v>
      </x:c>
      <x:c r="K497" s="1" t="n">
        <x:f>YEAR(J497+3)</x:f>
        <x:v>2020</x:v>
      </x:c>
      <x:c r="L497" s="1" t="n">
        <x:f>INT((J497-DATE(K497,1,4)+WEEKDAY(DATE(K497,1,4),2)-1)/7)+1</x:f>
        <x:v>23</x:v>
      </x:c>
      <x:c r="M497" s="1" t="str">
        <x:f>A497&amp;"|"&amp;B497</x:f>
        <x:v>43983|Пермь</x:v>
      </x:c>
      <x:c r="N497" s="1" t="n">
        <x:f>COUNTIFS('Лист2'!$F$2:$F$505,M497)</x:f>
        <x:v>1</x:v>
      </x:c>
      <x:c r="O497" s="1"/>
      <x:c r="P497" s="1"/>
      <x:c r="Q497" s="1"/>
    </x:row>
    <x:row r="498" ht="21" customHeight="1">
      <x:c r="A498" s="5" t="n">
        <x:f>'Лист1'!A498</x:f>
        <x:v>43983</x:v>
      </x:c>
      <x:c r="B498" s="1" t="str">
        <x:f>'Лист1'!B498</x:f>
        <x:v>Ростов-на-Дону</x:v>
      </x:c>
      <x:c r="C498" s="1" t="n">
        <x:f>'Лист1'!C498</x:f>
        <x:v>16476</x:v>
      </x:c>
      <x:c r="D498" s="6" t="n">
        <x:f>'Лист1'!D498</x:f>
        <x:v>1565632.5</x:v>
      </x:c>
      <x:c r="E498" s="6" t="n">
        <x:f>'Лист1'!E498</x:f>
        <x:v>1234060.991</x:v>
      </x:c>
      <x:c r="F498" s="6" t="n">
        <x:f>'Лист1'!F498</x:f>
        <x:v>194827.87672307692</x:v>
      </x:c>
      <x:c r="G498" s="1" t="n">
        <x:f>IF(N498=1,SUMIFS('Лист2'!$C$2:$C$505,'Лист2'!$A$2:$A$505,A498,'Лист2'!$B$2:$B$505,B498),NA())</x:f>
        <x:v>16</x:v>
      </x:c>
      <x:c r="H498" s="1" t="n">
        <x:f>IF(N498=1,SUMIFS('Лист2'!$D$2:$D$505,'Лист2'!$A$2:$A$505,A498,'Лист2'!$B$2:$B$505,B498),NA())</x:f>
        <x:v>1019</x:v>
      </x:c>
      <x:c r="I498" s="1" t="n">
        <x:f>IF(N498=1,SUMIFS('Лист2'!$E$2:$E$505,'Лист2'!$A$2:$A$505,A498,'Лист2'!$B$2:$B$505,B498),NA())</x:f>
        <x:v>895</x:v>
      </x:c>
      <x:c r="J498" s="5" t="n">
        <x:f>A498-WEEKDAY(A498,2)+1</x:f>
        <x:v>43983</x:v>
      </x:c>
      <x:c r="K498" s="1" t="n">
        <x:f>YEAR(J498+3)</x:f>
        <x:v>2020</x:v>
      </x:c>
      <x:c r="L498" s="1" t="n">
        <x:f>INT((J498-DATE(K498,1,4)+WEEKDAY(DATE(K498,1,4),2)-1)/7)+1</x:f>
        <x:v>23</x:v>
      </x:c>
      <x:c r="M498" s="1" t="str">
        <x:f>A498&amp;"|"&amp;B498</x:f>
        <x:v>43983|Ростов-на-Дону</x:v>
      </x:c>
      <x:c r="N498" s="1" t="n">
        <x:f>COUNTIFS('Лист2'!$F$2:$F$505,M498)</x:f>
        <x:v>1</x:v>
      </x:c>
      <x:c r="O498" s="1"/>
      <x:c r="P498" s="1"/>
      <x:c r="Q498" s="1"/>
    </x:row>
    <x:row r="499" ht="21" customHeight="1">
      <x:c r="A499" s="5" t="n">
        <x:f>'Лист1'!A499</x:f>
        <x:v>43983</x:v>
      </x:c>
      <x:c r="B499" s="1" t="str">
        <x:f>'Лист1'!B499</x:f>
        <x:v>Самара</x:v>
      </x:c>
      <x:c r="C499" s="1" t="n">
        <x:f>'Лист1'!C499</x:f>
        <x:v>7816.5</x:v>
      </x:c>
      <x:c r="D499" s="6" t="n">
        <x:f>'Лист1'!D499</x:f>
        <x:v>636345</x:v>
      </x:c>
      <x:c r="E499" s="6" t="n">
        <x:f>'Лист1'!E499</x:f>
        <x:v>550528.6630000001</x:v>
      </x:c>
      <x:c r="F499" s="6" t="n">
        <x:f>'Лист1'!F499</x:f>
        <x:v>190344.3008</x:v>
      </x:c>
      <x:c r="G499" s="1" t="n">
        <x:f>IF(N499=1,SUMIFS('Лист2'!$C$2:$C$505,'Лист2'!$A$2:$A$505,A499,'Лист2'!$B$2:$B$505,B499),NA())</x:f>
        <x:v>15</x:v>
      </x:c>
      <x:c r="H499" s="1" t="n">
        <x:f>IF(N499=1,SUMIFS('Лист2'!$D$2:$D$505,'Лист2'!$A$2:$A$505,A499,'Лист2'!$B$2:$B$505,B499),NA())</x:f>
        <x:v>453</x:v>
      </x:c>
      <x:c r="I499" s="1" t="n">
        <x:f>IF(N499=1,SUMIFS('Лист2'!$E$2:$E$505,'Лист2'!$A$2:$A$505,A499,'Лист2'!$B$2:$B$505,B499),NA())</x:f>
        <x:v>370</x:v>
      </x:c>
      <x:c r="J499" s="5" t="n">
        <x:f>A499-WEEKDAY(A499,2)+1</x:f>
        <x:v>43983</x:v>
      </x:c>
      <x:c r="K499" s="1" t="n">
        <x:f>YEAR(J499+3)</x:f>
        <x:v>2020</x:v>
      </x:c>
      <x:c r="L499" s="1" t="n">
        <x:f>INT((J499-DATE(K499,1,4)+WEEKDAY(DATE(K499,1,4),2)-1)/7)+1</x:f>
        <x:v>23</x:v>
      </x:c>
      <x:c r="M499" s="1" t="str">
        <x:f>A499&amp;"|"&amp;B499</x:f>
        <x:v>43983|Самара</x:v>
      </x:c>
      <x:c r="N499" s="1" t="n">
        <x:f>COUNTIFS('Лист2'!$F$2:$F$505,M499)</x:f>
        <x:v>1</x:v>
      </x:c>
      <x:c r="O499" s="1"/>
      <x:c r="P499" s="1"/>
      <x:c r="Q499" s="1"/>
    </x:row>
    <x:row r="500" ht="21" customHeight="1">
      <x:c r="A500" s="5" t="n">
        <x:f>'Лист1'!A500</x:f>
        <x:v>43983</x:v>
      </x:c>
      <x:c r="B500" s="1" t="str">
        <x:f>'Лист1'!B500</x:f>
        <x:v>Санкт-Петербург Север</x:v>
      </x:c>
      <x:c r="C500" s="1" t="n">
        <x:f>'Лист1'!C500</x:f>
        <x:v>349699.5</x:v>
      </x:c>
      <x:c r="D500" s="6" t="n">
        <x:f>'Лист1'!D500</x:f>
        <x:v>37257840.18135</x:v>
      </x:c>
      <x:c r="E500" s="6" t="n">
        <x:f>'Лист1'!E500</x:f>
        <x:v>27640203.134</x:v>
      </x:c>
      <x:c r="F500" s="6" t="n">
        <x:f>'Лист1'!F500</x:f>
        <x:v>744856.585476923</x:v>
      </x:c>
      <x:c r="G500" s="1" t="n">
        <x:f>IF(N500=1,SUMIFS('Лист2'!$C$2:$C$505,'Лист2'!$A$2:$A$505,A500,'Лист2'!$B$2:$B$505,B500),NA())</x:f>
        <x:v>123</x:v>
      </x:c>
      <x:c r="H500" s="1" t="n">
        <x:f>IF(N500=1,SUMIFS('Лист2'!$D$2:$D$505,'Лист2'!$A$2:$A$505,A500,'Лист2'!$B$2:$B$505,B500),NA())</x:f>
        <x:v>20325</x:v>
      </x:c>
      <x:c r="I500" s="1" t="n">
        <x:f>IF(N500=1,SUMIFS('Лист2'!$E$2:$E$505,'Лист2'!$A$2:$A$505,A500,'Лист2'!$B$2:$B$505,B500),NA())</x:f>
        <x:v>18935</x:v>
      </x:c>
      <x:c r="J500" s="5" t="n">
        <x:f>A500-WEEKDAY(A500,2)+1</x:f>
        <x:v>43983</x:v>
      </x:c>
      <x:c r="K500" s="1" t="n">
        <x:f>YEAR(J500+3)</x:f>
        <x:v>2020</x:v>
      </x:c>
      <x:c r="L500" s="1" t="n">
        <x:f>INT((J500-DATE(K500,1,4)+WEEKDAY(DATE(K500,1,4),2)-1)/7)+1</x:f>
        <x:v>23</x:v>
      </x:c>
      <x:c r="M500" s="1" t="str">
        <x:f>A500&amp;"|"&amp;B500</x:f>
        <x:v>43983|Санкт-Петербург Север</x:v>
      </x:c>
      <x:c r="N500" s="1" t="n">
        <x:f>COUNTIFS('Лист2'!$F$2:$F$505,M500)</x:f>
        <x:v>1</x:v>
      </x:c>
      <x:c r="O500" s="1"/>
      <x:c r="P500" s="1"/>
      <x:c r="Q500" s="1"/>
    </x:row>
    <x:row r="501" ht="21" customHeight="1">
      <x:c r="A501" s="5" t="n">
        <x:f>'Лист1'!A501</x:f>
        <x:v>43983</x:v>
      </x:c>
      <x:c r="B501" s="1" t="str">
        <x:f>'Лист1'!B501</x:f>
        <x:v>Санкт-Петербург Юг</x:v>
      </x:c>
      <x:c r="C501" s="1" t="n">
        <x:f>'Лист1'!C501</x:f>
        <x:v>272926.5</x:v>
      </x:c>
      <x:c r="D501" s="6" t="n">
        <x:f>'Лист1'!D501</x:f>
        <x:v>27770092.5</x:v>
      </x:c>
      <x:c r="E501" s="6" t="n">
        <x:f>'Лист1'!E501</x:f>
        <x:v>20952913.508</x:v>
      </x:c>
      <x:c r="F501" s="6" t="n">
        <x:f>'Лист1'!F501</x:f>
        <x:v>872904.4042846154</x:v>
      </x:c>
      <x:c r="G501" s="1" t="n">
        <x:f>IF(N501=1,SUMIFS('Лист2'!$C$2:$C$505,'Лист2'!$A$2:$A$505,A501,'Лист2'!$B$2:$B$505,B501),NA())</x:f>
        <x:v>128</x:v>
      </x:c>
      <x:c r="H501" s="1" t="n">
        <x:f>IF(N501=1,SUMIFS('Лист2'!$D$2:$D$505,'Лист2'!$A$2:$A$505,A501,'Лист2'!$B$2:$B$505,B501),NA())</x:f>
        <x:v>16285</x:v>
      </x:c>
      <x:c r="I501" s="1" t="n">
        <x:f>IF(N501=1,SUMIFS('Лист2'!$E$2:$E$505,'Лист2'!$A$2:$A$505,A501,'Лист2'!$B$2:$B$505,B501),NA())</x:f>
        <x:v>15130</x:v>
      </x:c>
      <x:c r="J501" s="5" t="n">
        <x:f>A501-WEEKDAY(A501,2)+1</x:f>
        <x:v>43983</x:v>
      </x:c>
      <x:c r="K501" s="1" t="n">
        <x:f>YEAR(J501+3)</x:f>
        <x:v>2020</x:v>
      </x:c>
      <x:c r="L501" s="1" t="n">
        <x:f>INT((J501-DATE(K501,1,4)+WEEKDAY(DATE(K501,1,4),2)-1)/7)+1</x:f>
        <x:v>23</x:v>
      </x:c>
      <x:c r="M501" s="1" t="str">
        <x:f>A501&amp;"|"&amp;B501</x:f>
        <x:v>43983|Санкт-Петербург Юг</x:v>
      </x:c>
      <x:c r="N501" s="1" t="n">
        <x:f>COUNTIFS('Лист2'!$F$2:$F$505,M501)</x:f>
        <x:v>1</x:v>
      </x:c>
      <x:c r="O501" s="1"/>
      <x:c r="P501" s="1"/>
      <x:c r="Q501" s="1"/>
    </x:row>
    <x:row r="502" ht="21" customHeight="1">
      <x:c r="A502" s="5" t="n">
        <x:f>'Лист1'!A502</x:f>
        <x:v>43983</x:v>
      </x:c>
      <x:c r="B502" s="1" t="str">
        <x:f>'Лист1'!B502</x:f>
        <x:v>Тольятти</x:v>
      </x:c>
      <x:c r="C502" s="1" t="n">
        <x:f>'Лист1'!C502</x:f>
        <x:v>11416.5</x:v>
      </x:c>
      <x:c r="D502" s="6" t="n">
        <x:f>'Лист1'!D502</x:f>
        <x:v>1007742</x:v>
      </x:c>
      <x:c r="E502" s="6" t="n">
        <x:f>'Лист1'!E502</x:f>
        <x:v>815296.88</x:v>
      </x:c>
      <x:c r="F502" s="6" t="n">
        <x:f>'Лист1'!F502</x:f>
        <x:v>145147.84546153847</x:v>
      </x:c>
      <x:c r="G502" s="1" t="n">
        <x:f>IF(N502=1,SUMIFS('Лист2'!$C$2:$C$505,'Лист2'!$A$2:$A$505,A502,'Лист2'!$B$2:$B$505,B502),NA())</x:f>
        <x:v>10</x:v>
      </x:c>
      <x:c r="H502" s="1" t="n">
        <x:f>IF(N502=1,SUMIFS('Лист2'!$D$2:$D$505,'Лист2'!$A$2:$A$505,A502,'Лист2'!$B$2:$B$505,B502),NA())</x:f>
        <x:v>719</x:v>
      </x:c>
      <x:c r="I502" s="1" t="n">
        <x:f>IF(N502=1,SUMIFS('Лист2'!$E$2:$E$505,'Лист2'!$A$2:$A$505,A502,'Лист2'!$B$2:$B$505,B502),NA())</x:f>
        <x:v>627</x:v>
      </x:c>
      <x:c r="J502" s="5" t="n">
        <x:f>A502-WEEKDAY(A502,2)+1</x:f>
        <x:v>43983</x:v>
      </x:c>
      <x:c r="K502" s="1" t="n">
        <x:f>YEAR(J502+3)</x:f>
        <x:v>2020</x:v>
      </x:c>
      <x:c r="L502" s="1" t="n">
        <x:f>INT((J502-DATE(K502,1,4)+WEEKDAY(DATE(K502,1,4),2)-1)/7)+1</x:f>
        <x:v>23</x:v>
      </x:c>
      <x:c r="M502" s="1" t="str">
        <x:f>A502&amp;"|"&amp;B502</x:f>
        <x:v>43983|Тольятти</x:v>
      </x:c>
      <x:c r="N502" s="1" t="n">
        <x:f>COUNTIFS('Лист2'!$F$2:$F$505,M502)</x:f>
        <x:v>1</x:v>
      </x:c>
      <x:c r="O502" s="1"/>
      <x:c r="P502" s="1"/>
      <x:c r="Q502" s="1"/>
    </x:row>
    <x:row r="503" ht="21" customHeight="1">
      <x:c r="A503" s="5" t="n">
        <x:f>'Лист1'!A503</x:f>
        <x:v>43983</x:v>
      </x:c>
      <x:c r="B503" s="1" t="str">
        <x:f>'Лист1'!B503</x:f>
        <x:v>Томск</x:v>
      </x:c>
      <x:c r="C503" s="1" t="n">
        <x:f>'Лист1'!C503</x:f>
        <x:v>5166</x:v>
      </x:c>
      <x:c r="D503" s="6" t="n">
        <x:f>'Лист1'!D503</x:f>
        <x:v>389013</x:v>
      </x:c>
      <x:c r="E503" s="6" t="n">
        <x:f>'Лист1'!E503</x:f>
        <x:v>357353.073</x:v>
      </x:c>
      <x:c r="F503" s="6" t="n">
        <x:f>'Лист1'!F503</x:f>
        <x:v>141592.70844615385</x:v>
      </x:c>
      <x:c r="G503" s="1" t="n">
        <x:f>IF(N503=1,SUMIFS('Лист2'!$C$2:$C$505,'Лист2'!$A$2:$A$505,A503,'Лист2'!$B$2:$B$505,B503),NA())</x:f>
        <x:v>9</x:v>
      </x:c>
      <x:c r="H503" s="1" t="n">
        <x:f>IF(N503=1,SUMIFS('Лист2'!$D$2:$D$505,'Лист2'!$A$2:$A$505,A503,'Лист2'!$B$2:$B$505,B503),NA())</x:f>
        <x:v>294</x:v>
      </x:c>
      <x:c r="I503" s="1" t="n">
        <x:f>IF(N503=1,SUMIFS('Лист2'!$E$2:$E$505,'Лист2'!$A$2:$A$505,A503,'Лист2'!$B$2:$B$505,B503),NA())</x:f>
        <x:v>224</x:v>
      </x:c>
      <x:c r="J503" s="5" t="n">
        <x:f>A503-WEEKDAY(A503,2)+1</x:f>
        <x:v>43983</x:v>
      </x:c>
      <x:c r="K503" s="1" t="n">
        <x:f>YEAR(J503+3)</x:f>
        <x:v>2020</x:v>
      </x:c>
      <x:c r="L503" s="1" t="n">
        <x:f>INT((J503-DATE(K503,1,4)+WEEKDAY(DATE(K503,1,4),2)-1)/7)+1</x:f>
        <x:v>23</x:v>
      </x:c>
      <x:c r="M503" s="1" t="str">
        <x:f>A503&amp;"|"&amp;B503</x:f>
        <x:v>43983|Томск</x:v>
      </x:c>
      <x:c r="N503" s="1" t="n">
        <x:f>COUNTIFS('Лист2'!$F$2:$F$505,M503)</x:f>
        <x:v>1</x:v>
      </x:c>
      <x:c r="O503" s="1"/>
      <x:c r="P503" s="1"/>
      <x:c r="Q503" s="1"/>
    </x:row>
    <x:row r="504" ht="21" customHeight="1">
      <x:c r="A504" s="5" t="n">
        <x:f>'Лист1'!A504</x:f>
        <x:v>43983</x:v>
      </x:c>
      <x:c r="B504" s="1" t="str">
        <x:f>'Лист1'!B504</x:f>
        <x:v>Тюмень</x:v>
      </x:c>
      <x:c r="C504" s="1" t="n">
        <x:f>'Лист1'!C504</x:f>
        <x:v>9474</x:v>
      </x:c>
      <x:c r="D504" s="6" t="n">
        <x:f>'Лист1'!D504</x:f>
        <x:v>802447.5</x:v>
      </x:c>
      <x:c r="E504" s="6" t="n">
        <x:f>'Лист1'!E504</x:f>
        <x:v>682814.146</x:v>
      </x:c>
      <x:c r="F504" s="6" t="n">
        <x:f>'Лист1'!F504</x:f>
        <x:v>81560.98336923077</x:v>
      </x:c>
      <x:c r="G504" s="1" t="n">
        <x:f>IF(N504=1,SUMIFS('Лист2'!$C$2:$C$505,'Лист2'!$A$2:$A$505,A504,'Лист2'!$B$2:$B$505,B504),NA())</x:f>
        <x:v>7</x:v>
      </x:c>
      <x:c r="H504" s="1" t="n">
        <x:f>IF(N504=1,SUMIFS('Лист2'!$D$2:$D$505,'Лист2'!$A$2:$A$505,A504,'Лист2'!$B$2:$B$505,B504),NA())</x:f>
        <x:v>500</x:v>
      </x:c>
      <x:c r="I504" s="1" t="n">
        <x:f>IF(N504=1,SUMIFS('Лист2'!$E$2:$E$505,'Лист2'!$A$2:$A$505,A504,'Лист2'!$B$2:$B$505,B504),NA())</x:f>
        <x:v>418</x:v>
      </x:c>
      <x:c r="J504" s="5" t="n">
        <x:f>A504-WEEKDAY(A504,2)+1</x:f>
        <x:v>43983</x:v>
      </x:c>
      <x:c r="K504" s="1" t="n">
        <x:f>YEAR(J504+3)</x:f>
        <x:v>2020</x:v>
      </x:c>
      <x:c r="L504" s="1" t="n">
        <x:f>INT((J504-DATE(K504,1,4)+WEEKDAY(DATE(K504,1,4),2)-1)/7)+1</x:f>
        <x:v>23</x:v>
      </x:c>
      <x:c r="M504" s="1" t="str">
        <x:f>A504&amp;"|"&amp;B504</x:f>
        <x:v>43983|Тюмень</x:v>
      </x:c>
      <x:c r="N504" s="1" t="n">
        <x:f>COUNTIFS('Лист2'!$F$2:$F$505,M504)</x:f>
        <x:v>1</x:v>
      </x:c>
      <x:c r="O504" s="1"/>
      <x:c r="P504" s="1"/>
      <x:c r="Q504" s="1"/>
    </x:row>
    <x:row r="505" ht="21" customHeight="1">
      <x:c r="A505" s="5" t="n">
        <x:f>'Лист1'!A505</x:f>
        <x:v>43983</x:v>
      </x:c>
      <x:c r="B505" s="1" t="str">
        <x:f>'Лист1'!B505</x:f>
        <x:v>Уфа</x:v>
      </x:c>
      <x:c r="C505" s="1" t="n">
        <x:f>'Лист1'!C505</x:f>
        <x:v>4408.5</x:v>
      </x:c>
      <x:c r="D505" s="6" t="n">
        <x:f>'Лист1'!D505</x:f>
        <x:v>410892</x:v>
      </x:c>
      <x:c r="E505" s="6" t="n">
        <x:f>'Лист1'!E505</x:f>
        <x:v>346029.05</x:v>
      </x:c>
      <x:c r="F505" s="6" t="n">
        <x:f>'Лист1'!F505</x:f>
        <x:v>36168.75384615384</x:v>
      </x:c>
      <x:c r="G505" s="1" t="n">
        <x:f>IF(N505=1,SUMIFS('Лист2'!$C$2:$C$505,'Лист2'!$A$2:$A$505,A505,'Лист2'!$B$2:$B$505,B505),NA())</x:f>
        <x:v>6</x:v>
      </x:c>
      <x:c r="H505" s="1" t="n">
        <x:f>IF(N505=1,SUMIFS('Лист2'!$D$2:$D$505,'Лист2'!$A$2:$A$505,A505,'Лист2'!$B$2:$B$505,B505),NA())</x:f>
        <x:v>237</x:v>
      </x:c>
      <x:c r="I505" s="1" t="n">
        <x:f>IF(N505=1,SUMIFS('Лист2'!$E$2:$E$505,'Лист2'!$A$2:$A$505,A505,'Лист2'!$B$2:$B$505,B505),NA())</x:f>
        <x:v>175</x:v>
      </x:c>
      <x:c r="J505" s="5" t="n">
        <x:f>A505-WEEKDAY(A505,2)+1</x:f>
        <x:v>43983</x:v>
      </x:c>
      <x:c r="K505" s="1" t="n">
        <x:f>YEAR(J505+3)</x:f>
        <x:v>2020</x:v>
      </x:c>
      <x:c r="L505" s="1" t="n">
        <x:f>INT((J505-DATE(K505,1,4)+WEEKDAY(DATE(K505,1,4),2)-1)/7)+1</x:f>
        <x:v>23</x:v>
      </x:c>
      <x:c r="M505" s="1" t="str">
        <x:f>A505&amp;"|"&amp;B505</x:f>
        <x:v>43983|Уфа</x:v>
      </x:c>
      <x:c r="N505" s="1" t="n">
        <x:f>COUNTIFS('Лист2'!$F$2:$F$505,M505)</x:f>
        <x:v>1</x:v>
      </x:c>
      <x:c r="O505" s="1"/>
      <x:c r="P505" s="1"/>
      <x:c r="Q505" s="1"/>
    </x:row>
    <x:row r="506" ht="21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1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1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1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1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1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1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1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1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1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1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1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1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1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1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1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1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1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1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1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1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1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1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1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1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1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1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1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1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1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1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1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1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1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1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1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1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1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1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1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1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1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1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1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1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1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1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1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1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1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1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1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1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1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1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1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1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1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1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1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1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1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1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1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1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1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1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1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1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1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1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1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1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1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1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1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1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1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1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1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1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1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1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1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1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1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1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1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1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1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1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1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1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1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1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pageMargins left="0.7" right="0.7" top="0.75" bottom="0.75" header="0.3" footer="0.3"/>
  <x:tableParts count="1">
    <x:tablePart xmlns:r="http://schemas.openxmlformats.org/officeDocument/2006/relationships" r:id="Rc8ad6e89ea4c4b1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42" customHeight="1">
      <x:c r="A1" s="4" t="str">
        <x:v>Дата</x:v>
      </x:c>
      <x:c r="B1" s="4" t="str">
        <x:v>Территория</x:v>
      </x:c>
      <x:c r="C1" s="4" t="str">
        <x:v>Товарооборот, шт</x:v>
      </x:c>
      <x:c r="D1" s="4" t="str">
        <x:v>Товарооборот, руб</x:v>
      </x:c>
      <x:c r="E1" s="4" t="str">
        <x:v>Товарооборот в себестоимости</x:v>
      </x:c>
      <x:c r="F1" s="4" t="str">
        <x:v>Потери, руб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5" t="n">
        <x:v>43949</x:v>
      </x:c>
      <x:c r="B2" s="1" t="str">
        <x:v>Волгоград</x:v>
      </x:c>
      <x:c r="C2" s="1" t="n">
        <x:v>73147.5</x:v>
      </x:c>
      <x:c r="D2" s="6" t="n">
        <x:v>6288246</x:v>
      </x:c>
      <x:c r="E2" s="6" t="n">
        <x:v>4798265.113</x:v>
      </x:c>
      <x:c r="F2" s="6" t="n">
        <x:v>123081.63515384615</x:v>
      </x:c>
      <x:c r="G2" s="1"/>
      <x:c r="H2" s="1" t="str">
        <x:v>Источник: Тестирование_корпоративная_аналитика.xlsx, Лист1. Порядок отсортирован по дате и территории.</x:v>
      </x:c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5" t="n">
        <x:v>43949</x:v>
      </x:c>
      <x:c r="B3" s="1" t="str">
        <x:v>Екатеринбург</x:v>
      </x:c>
      <x:c r="C3" s="1" t="n">
        <x:v>81826.5</x:v>
      </x:c>
      <x:c r="D3" s="6" t="n">
        <x:v>7163644.5</x:v>
      </x:c>
      <x:c r="E3" s="6" t="n">
        <x:v>5366333.713</x:v>
      </x:c>
      <x:c r="F3" s="6" t="n">
        <x:v>145122.77781538462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5" t="n">
        <x:v>43949</x:v>
      </x:c>
      <x:c r="B4" s="1" t="str">
        <x:v>Казань</x:v>
      </x:c>
      <x:c r="C4" s="1" t="n">
        <x:v>32181</x:v>
      </x:c>
      <x:c r="D4" s="6" t="n">
        <x:v>2863600.5</x:v>
      </x:c>
      <x:c r="E4" s="6" t="n">
        <x:v>2246478.617</x:v>
      </x:c>
      <x:c r="F4" s="6" t="n">
        <x:v>140503.93076923076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5" t="n">
        <x:v>43949</x:v>
      </x:c>
      <x:c r="B5" s="1" t="str">
        <x:v>Кемерово</x:v>
      </x:c>
      <x:c r="C5" s="1" t="n">
        <x:v>26940</x:v>
      </x:c>
      <x:c r="D5" s="6" t="n">
        <x:v>2411587.5</x:v>
      </x:c>
      <x:c r="E5" s="6" t="n">
        <x:v>1931011.4870000002</x:v>
      </x:c>
      <x:c r="F5" s="6" t="n">
        <x:v>149032.79178461537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5" t="n">
        <x:v>43949</x:v>
      </x:c>
      <x:c r="B6" s="1" t="str">
        <x:v>Краснодар</x:v>
      </x:c>
      <x:c r="C6" s="1" t="n">
        <x:v>25149</x:v>
      </x:c>
      <x:c r="D6" s="6" t="n">
        <x:v>2277072</x:v>
      </x:c>
      <x:c r="E6" s="6" t="n">
        <x:v>1804070.1239999998</x:v>
      </x:c>
      <x:c r="F6" s="6" t="n">
        <x:v>125553.02143076922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5" t="n">
        <x:v>43949</x:v>
      </x:c>
      <x:c r="B7" s="1" t="str">
        <x:v>Москва Восток</x:v>
      </x:c>
      <x:c r="C7" s="1" t="n">
        <x:v>195705</x:v>
      </x:c>
      <x:c r="D7" s="6" t="n">
        <x:v>20003263.5</x:v>
      </x:c>
      <x:c r="E7" s="6" t="n">
        <x:v>14633542.982</x:v>
      </x:c>
      <x:c r="F7" s="6" t="n">
        <x:v>268185.43076923076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5" t="n">
        <x:v>43949</x:v>
      </x:c>
      <x:c r="B8" s="1" t="str">
        <x:v>Москва Запад</x:v>
      </x:c>
      <x:c r="C8" s="1" t="n">
        <x:v>204637.5</x:v>
      </x:c>
      <x:c r="D8" s="6" t="n">
        <x:v>21114898.5</x:v>
      </x:c>
      <x:c r="E8" s="6" t="n">
        <x:v>15426373.359</x:v>
      </x:c>
      <x:c r="F8" s="6" t="n">
        <x:v>255889.23846153845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5" t="n">
        <x:v>43949</x:v>
      </x:c>
      <x:c r="B9" s="1" t="str">
        <x:v>Нижний Новгород</x:v>
      </x:c>
      <x:c r="C9" s="1" t="n">
        <x:v>23314.5</x:v>
      </x:c>
      <x:c r="D9" s="6" t="n">
        <x:v>2136817.5</x:v>
      </x:c>
      <x:c r="E9" s="6" t="n">
        <x:v>1701780.478</x:v>
      </x:c>
      <x:c r="F9" s="6" t="n">
        <x:v>141999.40078461537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5" t="n">
        <x:v>43949</x:v>
      </x:c>
      <x:c r="B10" s="1" t="str">
        <x:v>Новосибирск</x:v>
      </x:c>
      <x:c r="C10" s="1" t="n">
        <x:v>12541.5</x:v>
      </x:c>
      <x:c r="D10" s="6" t="n">
        <x:v>992541</x:v>
      </x:c>
      <x:c r="E10" s="6" t="n">
        <x:v>874678.696</x:v>
      </x:c>
      <x:c r="F10" s="6" t="n">
        <x:v>83886.67692307691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5" t="n">
        <x:v>43949</x:v>
      </x:c>
      <x:c r="B11" s="1" t="str">
        <x:v>Пермь</x:v>
      </x:c>
      <x:c r="C11" s="1" t="n">
        <x:v>13303.5</x:v>
      </x:c>
      <x:c r="D11" s="6" t="n">
        <x:v>1102887</x:v>
      </x:c>
      <x:c r="E11" s="6" t="n">
        <x:v>914116.792</x:v>
      </x:c>
      <x:c r="F11" s="6" t="n">
        <x:v>173095.92049999998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5" t="n">
        <x:v>43949</x:v>
      </x:c>
      <x:c r="B12" s="1" t="str">
        <x:v>Санкт-Петербург Север</x:v>
      </x:c>
      <x:c r="C12" s="1" t="n">
        <x:v>376060.5</x:v>
      </x:c>
      <x:c r="D12" s="6" t="n">
        <x:v>39918028.5</x:v>
      </x:c>
      <x:c r="E12" s="6" t="n">
        <x:v>29154014.884</x:v>
      </x:c>
      <x:c r="F12" s="6" t="n">
        <x:v>611904.2335230769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5" t="n">
        <x:v>43949</x:v>
      </x:c>
      <x:c r="B13" s="1" t="str">
        <x:v>Санкт-Петербург Юг</x:v>
      </x:c>
      <x:c r="C13" s="1" t="n">
        <x:v>286002</x:v>
      </x:c>
      <x:c r="D13" s="6" t="n">
        <x:v>29159032.5</x:v>
      </x:c>
      <x:c r="E13" s="6" t="n">
        <x:v>21437602.310000002</x:v>
      </x:c>
      <x:c r="F13" s="6" t="n">
        <x:v>637711.5937230769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5" t="n">
        <x:v>43949</x:v>
      </x:c>
      <x:c r="B14" s="1" t="str">
        <x:v>Тольятти</x:v>
      </x:c>
      <x:c r="C14" s="1" t="n">
        <x:v>12331.5</x:v>
      </x:c>
      <x:c r="D14" s="6" t="n">
        <x:v>869983.5</x:v>
      </x:c>
      <x:c r="E14" s="6" t="n">
        <x:v>896773.3239999999</x:v>
      </x:c>
      <x:c r="F14" s="6" t="n">
        <x:v>51681.03846153846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5" t="n">
        <x:v>43950</x:v>
      </x:c>
      <x:c r="B15" s="1" t="str">
        <x:v>Волгоград</x:v>
      </x:c>
      <x:c r="C15" s="1" t="n">
        <x:v>74707.5</x:v>
      </x:c>
      <x:c r="D15" s="6" t="n">
        <x:v>6454458</x:v>
      </x:c>
      <x:c r="E15" s="6" t="n">
        <x:v>4968152.947</x:v>
      </x:c>
      <x:c r="F15" s="6" t="n">
        <x:v>118941.29398461539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5" t="n">
        <x:v>43950</x:v>
      </x:c>
      <x:c r="B16" s="1" t="str">
        <x:v>Екатеринбург</x:v>
      </x:c>
      <x:c r="C16" s="1" t="n">
        <x:v>79527</x:v>
      </x:c>
      <x:c r="D16" s="6" t="n">
        <x:v>7180498.5</x:v>
      </x:c>
      <x:c r="E16" s="6" t="n">
        <x:v>5432087.979</x:v>
      </x:c>
      <x:c r="F16" s="6" t="n">
        <x:v>172769.1923076923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5" t="n">
        <x:v>43950</x:v>
      </x:c>
      <x:c r="B17" s="1" t="str">
        <x:v>Казань</x:v>
      </x:c>
      <x:c r="C17" s="1" t="n">
        <x:v>29142</x:v>
      </x:c>
      <x:c r="D17" s="6" t="n">
        <x:v>2627595</x:v>
      </x:c>
      <x:c r="E17" s="6" t="n">
        <x:v>2033299.2799999998</x:v>
      </x:c>
      <x:c r="F17" s="6" t="n">
        <x:v>202681.39594615382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5" t="n">
        <x:v>43950</x:v>
      </x:c>
      <x:c r="B18" s="1" t="str">
        <x:v>Кемерово</x:v>
      </x:c>
      <x:c r="C18" s="1" t="n">
        <x:v>29319</x:v>
      </x:c>
      <x:c r="D18" s="6" t="n">
        <x:v>2623480.5</x:v>
      </x:c>
      <x:c r="E18" s="6" t="n">
        <x:v>2115481.9889999996</x:v>
      </x:c>
      <x:c r="F18" s="6" t="n">
        <x:v>139204.6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5" t="n">
        <x:v>43950</x:v>
      </x:c>
      <x:c r="B19" s="1" t="str">
        <x:v>Краснодар</x:v>
      </x:c>
      <x:c r="C19" s="1" t="n">
        <x:v>25816.5</x:v>
      </x:c>
      <x:c r="D19" s="6" t="n">
        <x:v>2360914.5</x:v>
      </x:c>
      <x:c r="E19" s="6" t="n">
        <x:v>1868643.6719999998</x:v>
      </x:c>
      <x:c r="F19" s="6" t="n">
        <x:v>137636.84266153845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5" t="n">
        <x:v>43950</x:v>
      </x:c>
      <x:c r="B20" s="1" t="str">
        <x:v>Москва Восток</x:v>
      </x:c>
      <x:c r="C20" s="1" t="n">
        <x:v>203209.5</x:v>
      </x:c>
      <x:c r="D20" s="6" t="n">
        <x:v>20871391.5</x:v>
      </x:c>
      <x:c r="E20" s="6" t="n">
        <x:v>15206983.089</x:v>
      </x:c>
      <x:c r="F20" s="6" t="n">
        <x:v>284467.6615384616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5" t="n">
        <x:v>43950</x:v>
      </x:c>
      <x:c r="B21" s="1" t="str">
        <x:v>Москва Запад</x:v>
      </x:c>
      <x:c r="C21" s="1" t="n">
        <x:v>208351.5</x:v>
      </x:c>
      <x:c r="D21" s="6" t="n">
        <x:v>21615333</x:v>
      </x:c>
      <x:c r="E21" s="6" t="n">
        <x:v>15729720.814999998</x:v>
      </x:c>
      <x:c r="F21" s="6" t="n">
        <x:v>273156.72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5" t="n">
        <x:v>43950</x:v>
      </x:c>
      <x:c r="B22" s="1" t="str">
        <x:v>Нижний Новгород</x:v>
      </x:c>
      <x:c r="C22" s="1" t="n">
        <x:v>25917</x:v>
      </x:c>
      <x:c r="D22" s="6" t="n">
        <x:v>2397588</x:v>
      </x:c>
      <x:c r="E22" s="6" t="n">
        <x:v>1937222.0459999999</x:v>
      </x:c>
      <x:c r="F22" s="6" t="n">
        <x:v>159472.57584615384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5" t="n">
        <x:v>43950</x:v>
      </x:c>
      <x:c r="B23" s="1" t="str">
        <x:v>Новосибирск</x:v>
      </x:c>
      <x:c r="C23" s="1" t="n">
        <x:v>12250.5</x:v>
      </x:c>
      <x:c r="D23" s="6" t="n">
        <x:v>981519</x:v>
      </x:c>
      <x:c r="E23" s="6" t="n">
        <x:v>867080.682</x:v>
      </x:c>
      <x:c r="F23" s="6" t="n">
        <x:v>102160.21538461538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5" t="n">
        <x:v>43950</x:v>
      </x:c>
      <x:c r="B24" s="1" t="str">
        <x:v>Пермь</x:v>
      </x:c>
      <x:c r="C24" s="1" t="n">
        <x:v>13014</x:v>
      </x:c>
      <x:c r="D24" s="6" t="n">
        <x:v>1115992.5</x:v>
      </x:c>
      <x:c r="E24" s="6" t="n">
        <x:v>928035.2359999999</x:v>
      </x:c>
      <x:c r="F24" s="6" t="n">
        <x:v>185811.06153846154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5" t="n">
        <x:v>43950</x:v>
      </x:c>
      <x:c r="B25" s="1" t="str">
        <x:v>Санкт-Петербург Север</x:v>
      </x:c>
      <x:c r="C25" s="1" t="n">
        <x:v>387220.5</x:v>
      </x:c>
      <x:c r="D25" s="6" t="n">
        <x:v>41559384</x:v>
      </x:c>
      <x:c r="E25" s="6" t="n">
        <x:v>30476170.214999996</x:v>
      </x:c>
      <x:c r="F25" s="6" t="n">
        <x:v>642893.5665692308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5" t="n">
        <x:v>43950</x:v>
      </x:c>
      <x:c r="B26" s="1" t="str">
        <x:v>Санкт-Петербург Юг</x:v>
      </x:c>
      <x:c r="C26" s="1" t="n">
        <x:v>298059</x:v>
      </x:c>
      <x:c r="D26" s="6" t="n">
        <x:v>30869287.5</x:v>
      </x:c>
      <x:c r="E26" s="6" t="n">
        <x:v>22717731.617999997</x:v>
      </x:c>
      <x:c r="F26" s="6" t="n">
        <x:v>661329.1783384614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5" t="n">
        <x:v>43950</x:v>
      </x:c>
      <x:c r="B27" s="1" t="str">
        <x:v>Тольятти</x:v>
      </x:c>
      <x:c r="C27" s="1" t="n">
        <x:v>10840.5</x:v>
      </x:c>
      <x:c r="D27" s="6" t="n">
        <x:v>797919</x:v>
      </x:c>
      <x:c r="E27" s="6" t="n">
        <x:v>783753.2949999999</x:v>
      </x:c>
      <x:c r="F27" s="6" t="n">
        <x:v>58214.93076923077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5" t="n">
        <x:v>43951</x:v>
      </x:c>
      <x:c r="B28" s="1" t="str">
        <x:v>Волгоград</x:v>
      </x:c>
      <x:c r="C28" s="1" t="n">
        <x:v>78235.5</x:v>
      </x:c>
      <x:c r="D28" s="6" t="n">
        <x:v>6819594</x:v>
      </x:c>
      <x:c r="E28" s="6" t="n">
        <x:v>5260171.534999999</x:v>
      </x:c>
      <x:c r="F28" s="6" t="n">
        <x:v>70931.81667692307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5" t="n">
        <x:v>43951</x:v>
      </x:c>
      <x:c r="B29" s="1" t="str">
        <x:v>Екатеринбург</x:v>
      </x:c>
      <x:c r="C29" s="1" t="n">
        <x:v>77565</x:v>
      </x:c>
      <x:c r="D29" s="6" t="n">
        <x:v>7023727.5</x:v>
      </x:c>
      <x:c r="E29" s="6" t="n">
        <x:v>5349682.484999999</x:v>
      </x:c>
      <x:c r="F29" s="6" t="n">
        <x:v>31578.20769230769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5" t="n">
        <x:v>43951</x:v>
      </x:c>
      <x:c r="B30" s="1" t="str">
        <x:v>Казань</x:v>
      </x:c>
      <x:c r="C30" s="1" t="n">
        <x:v>31231.5</x:v>
      </x:c>
      <x:c r="D30" s="6" t="n">
        <x:v>2853310.5</x:v>
      </x:c>
      <x:c r="E30" s="6" t="n">
        <x:v>2211817.6569999997</x:v>
      </x:c>
      <x:c r="F30" s="6" t="n">
        <x:v>63441.68461538461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5" t="n">
        <x:v>43951</x:v>
      </x:c>
      <x:c r="B31" s="1" t="str">
        <x:v>Кемерово</x:v>
      </x:c>
      <x:c r="C31" s="1" t="n">
        <x:v>30445.5</x:v>
      </x:c>
      <x:c r="D31" s="6" t="n">
        <x:v>2817196.5</x:v>
      </x:c>
      <x:c r="E31" s="6" t="n">
        <x:v>2244503.1999999997</x:v>
      </x:c>
      <x:c r="F31" s="6" t="n">
        <x:v>203231.46096923074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5" t="n">
        <x:v>43951</x:v>
      </x:c>
      <x:c r="B32" s="1" t="str">
        <x:v>Краснодар</x:v>
      </x:c>
      <x:c r="C32" s="1" t="n">
        <x:v>27883.5</x:v>
      </x:c>
      <x:c r="D32" s="6" t="n">
        <x:v>2560080</x:v>
      </x:c>
      <x:c r="E32" s="6" t="n">
        <x:v>2016381.645</x:v>
      </x:c>
      <x:c r="F32" s="6" t="n">
        <x:v>41912.70769230769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5" t="n">
        <x:v>43951</x:v>
      </x:c>
      <x:c r="B33" s="1" t="str">
        <x:v>Москва Восток</x:v>
      </x:c>
      <x:c r="C33" s="1" t="n">
        <x:v>206038.5</x:v>
      </x:c>
      <x:c r="D33" s="6" t="n">
        <x:v>21740460</x:v>
      </x:c>
      <x:c r="E33" s="6" t="n">
        <x:v>15789926.042999998</x:v>
      </x:c>
      <x:c r="F33" s="6" t="n">
        <x:v>115102.03846153845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5" t="n">
        <x:v>43951</x:v>
      </x:c>
      <x:c r="B34" s="1" t="str">
        <x:v>Москва Запад</x:v>
      </x:c>
      <x:c r="C34" s="1" t="n">
        <x:v>214386</x:v>
      </x:c>
      <x:c r="D34" s="6" t="n">
        <x:v>22530000</x:v>
      </x:c>
      <x:c r="E34" s="6" t="n">
        <x:v>16370527.077</x:v>
      </x:c>
      <x:c r="F34" s="6" t="n">
        <x:v>115618.05384615384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5" t="n">
        <x:v>43951</x:v>
      </x:c>
      <x:c r="B35" s="1" t="str">
        <x:v>Нижний Новгород</x:v>
      </x:c>
      <x:c r="C35" s="1" t="n">
        <x:v>24211.5</x:v>
      </x:c>
      <x:c r="D35" s="6" t="n">
        <x:v>2267664</x:v>
      </x:c>
      <x:c r="E35" s="6" t="n">
        <x:v>1801564.392</x:v>
      </x:c>
      <x:c r="F35" s="6" t="n">
        <x:v>97090.63692307692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5" t="n">
        <x:v>43951</x:v>
      </x:c>
      <x:c r="B36" s="1" t="str">
        <x:v>Новосибирск</x:v>
      </x:c>
      <x:c r="C36" s="1" t="n">
        <x:v>11976</x:v>
      </x:c>
      <x:c r="D36" s="6" t="n">
        <x:v>1004511</x:v>
      </x:c>
      <x:c r="E36" s="6" t="n">
        <x:v>861334.614</x:v>
      </x:c>
      <x:c r="F36" s="6" t="n">
        <x:v>20847.353846153845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5" t="n">
        <x:v>43951</x:v>
      </x:c>
      <x:c r="B37" s="1" t="str">
        <x:v>Пермь</x:v>
      </x:c>
      <x:c r="C37" s="1" t="n">
        <x:v>12753</x:v>
      </x:c>
      <x:c r="D37" s="6" t="n">
        <x:v>1103068.5</x:v>
      </x:c>
      <x:c r="E37" s="6" t="n">
        <x:v>904501.456</x:v>
      </x:c>
      <x:c r="F37" s="6" t="n">
        <x:v>58978.55866923076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5" t="n">
        <x:v>43951</x:v>
      </x:c>
      <x:c r="B38" s="1" t="str">
        <x:v>Ростов-на-Дону</x:v>
      </x:c>
      <x:c r="C38" s="1" t="n">
        <x:v>4285.5</x:v>
      </x:c>
      <x:c r="D38" s="6" t="n">
        <x:v>404691</x:v>
      </x:c>
      <x:c r="E38" s="6" t="n">
        <x:v>333054.548</x:v>
      </x:c>
      <x:c r="F38" s="6" t="n">
        <x:v>11494.63076923077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5" t="n">
        <x:v>43951</x:v>
      </x:c>
      <x:c r="B39" s="1" t="str">
        <x:v>Санкт-Петербург Север</x:v>
      </x:c>
      <x:c r="C39" s="1" t="n">
        <x:v>401580</x:v>
      </x:c>
      <x:c r="D39" s="6" t="n">
        <x:v>43028734.5</x:v>
      </x:c>
      <x:c r="E39" s="6" t="n">
        <x:v>31156525.939999998</x:v>
      </x:c>
      <x:c r="F39" s="6" t="n">
        <x:v>343786.0846153846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5" t="n">
        <x:v>43951</x:v>
      </x:c>
      <x:c r="B40" s="1" t="str">
        <x:v>Санкт-Петербург Юг</x:v>
      </x:c>
      <x:c r="C40" s="1" t="n">
        <x:v>311131.5</x:v>
      </x:c>
      <x:c r="D40" s="6" t="n">
        <x:v>32418879</x:v>
      </x:c>
      <x:c r="E40" s="6" t="n">
        <x:v>23595019.661</x:v>
      </x:c>
      <x:c r="F40" s="6" t="n">
        <x:v>265444.33165384614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1" customHeight="1">
      <x:c r="A41" s="5" t="n">
        <x:v>43951</x:v>
      </x:c>
      <x:c r="B41" s="1" t="str">
        <x:v>Тольятти</x:v>
      </x:c>
      <x:c r="C41" s="1" t="n">
        <x:v>8934</x:v>
      </x:c>
      <x:c r="D41" s="6" t="n">
        <x:v>716196</x:v>
      </x:c>
      <x:c r="E41" s="6" t="n">
        <x:v>663415.497</x:v>
      </x:c>
      <x:c r="F41" s="6" t="n">
        <x:v>24274.438461538462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1" customHeight="1">
      <x:c r="A42" s="5" t="n">
        <x:v>43952</x:v>
      </x:c>
      <x:c r="B42" s="1" t="str">
        <x:v>Волгоград</x:v>
      </x:c>
      <x:c r="C42" s="1" t="n">
        <x:v>82228.5</x:v>
      </x:c>
      <x:c r="D42" s="6" t="n">
        <x:v>7032225</x:v>
      </x:c>
      <x:c r="E42" s="6" t="n">
        <x:v>5546127.192</x:v>
      </x:c>
      <x:c r="F42" s="6" t="n">
        <x:v>196859.98644615384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5" t="n">
        <x:v>43952</x:v>
      </x:c>
      <x:c r="B43" s="1" t="str">
        <x:v>Екатеринбург</x:v>
      </x:c>
      <x:c r="C43" s="1" t="n">
        <x:v>97534.5</x:v>
      </x:c>
      <x:c r="D43" s="6" t="n">
        <x:v>8893024.5</x:v>
      </x:c>
      <x:c r="E43" s="6" t="n">
        <x:v>6855177.24</x:v>
      </x:c>
      <x:c r="F43" s="6" t="n">
        <x:v>185180.3800769231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5" t="n">
        <x:v>43952</x:v>
      </x:c>
      <x:c r="B44" s="1" t="str">
        <x:v>Казань</x:v>
      </x:c>
      <x:c r="C44" s="1" t="n">
        <x:v>46620</x:v>
      </x:c>
      <x:c r="D44" s="6" t="n">
        <x:v>4293241.5</x:v>
      </x:c>
      <x:c r="E44" s="6" t="n">
        <x:v>3389723.959</x:v>
      </x:c>
      <x:c r="F44" s="6" t="n">
        <x:v>329717.03827692306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5" t="n">
        <x:v>43952</x:v>
      </x:c>
      <x:c r="B45" s="1" t="str">
        <x:v>Кемерово</x:v>
      </x:c>
      <x:c r="C45" s="1" t="n">
        <x:v>32487</x:v>
      </x:c>
      <x:c r="D45" s="6" t="n">
        <x:v>3031254</x:v>
      </x:c>
      <x:c r="E45" s="6" t="n">
        <x:v>2397503.37</x:v>
      </x:c>
      <x:c r="F45" s="6" t="n">
        <x:v>232079.8475076923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5" t="n">
        <x:v>43952</x:v>
      </x:c>
      <x:c r="B46" s="1" t="str">
        <x:v>Краснодар</x:v>
      </x:c>
      <x:c r="C46" s="1" t="n">
        <x:v>35190</x:v>
      </x:c>
      <x:c r="D46" s="6" t="n">
        <x:v>3168510</x:v>
      </x:c>
      <x:c r="E46" s="6" t="n">
        <x:v>2533138.72</x:v>
      </x:c>
      <x:c r="F46" s="6" t="n">
        <x:v>102615.49999999999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5" t="n">
        <x:v>43952</x:v>
      </x:c>
      <x:c r="B47" s="1" t="str">
        <x:v>Москва Восток</x:v>
      </x:c>
      <x:c r="C47" s="1" t="n">
        <x:v>226540.5</x:v>
      </x:c>
      <x:c r="D47" s="6" t="n">
        <x:v>23953536</x:v>
      </x:c>
      <x:c r="E47" s="6" t="n">
        <x:v>17342946.797</x:v>
      </x:c>
      <x:c r="F47" s="6" t="n">
        <x:v>380499.56092307693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5" t="n">
        <x:v>43952</x:v>
      </x:c>
      <x:c r="B48" s="1" t="str">
        <x:v>Москва Запад</x:v>
      </x:c>
      <x:c r="C48" s="1" t="n">
        <x:v>239409</x:v>
      </x:c>
      <x:c r="D48" s="6" t="n">
        <x:v>25413351</x:v>
      </x:c>
      <x:c r="E48" s="6" t="n">
        <x:v>18463277.771</x:v>
      </x:c>
      <x:c r="F48" s="6" t="n">
        <x:v>369443.39999999997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5" t="n">
        <x:v>43952</x:v>
      </x:c>
      <x:c r="B49" s="1" t="str">
        <x:v>Нижний Новгород</x:v>
      </x:c>
      <x:c r="C49" s="1" t="n">
        <x:v>25792.5</x:v>
      </x:c>
      <x:c r="D49" s="6" t="n">
        <x:v>2374356</x:v>
      </x:c>
      <x:c r="E49" s="6" t="n">
        <x:v>1915101.034</x:v>
      </x:c>
      <x:c r="F49" s="6" t="n">
        <x:v>277477.3193230769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5" t="n">
        <x:v>43952</x:v>
      </x:c>
      <x:c r="B50" s="1" t="str">
        <x:v>Новосибирск</x:v>
      </x:c>
      <x:c r="C50" s="1" t="n">
        <x:v>13644</x:v>
      </x:c>
      <x:c r="D50" s="6" t="n">
        <x:v>1134444</x:v>
      </x:c>
      <x:c r="E50" s="6" t="n">
        <x:v>971710.8709999999</x:v>
      </x:c>
      <x:c r="F50" s="6" t="n">
        <x:v>291527.8831384615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5" t="n">
        <x:v>43952</x:v>
      </x:c>
      <x:c r="B51" s="1" t="str">
        <x:v>Пермь</x:v>
      </x:c>
      <x:c r="C51" s="1" t="n">
        <x:v>17113.5</x:v>
      </x:c>
      <x:c r="D51" s="6" t="n">
        <x:v>1465842</x:v>
      </x:c>
      <x:c r="E51" s="6" t="n">
        <x:v>1193019.642</x:v>
      </x:c>
      <x:c r="F51" s="6" t="n">
        <x:v>272484.6307692308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5" t="n">
        <x:v>43952</x:v>
      </x:c>
      <x:c r="B52" s="1" t="str">
        <x:v>Ростов-на-Дону</x:v>
      </x:c>
      <x:c r="C52" s="1" t="n">
        <x:v>5446.5</x:v>
      </x:c>
      <x:c r="D52" s="6" t="n">
        <x:v>505572</x:v>
      </x:c>
      <x:c r="E52" s="6" t="n">
        <x:v>422390.908</x:v>
      </x:c>
      <x:c r="F52" s="6" t="n">
        <x:v>42729.218369230766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5" t="n">
        <x:v>43952</x:v>
      </x:c>
      <x:c r="B53" s="1" t="str">
        <x:v>Санкт-Петербург Север</x:v>
      </x:c>
      <x:c r="C53" s="1" t="n">
        <x:v>372504</x:v>
      </x:c>
      <x:c r="D53" s="6" t="n">
        <x:v>40077193.5</x:v>
      </x:c>
      <x:c r="E53" s="6" t="n">
        <x:v>29141359.438</x:v>
      </x:c>
      <x:c r="F53" s="6" t="n">
        <x:v>848425.4184384615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5" t="n">
        <x:v>43952</x:v>
      </x:c>
      <x:c r="B54" s="1" t="str">
        <x:v>Санкт-Петербург Юг</x:v>
      </x:c>
      <x:c r="C54" s="1" t="n">
        <x:v>296149.5</x:v>
      </x:c>
      <x:c r="D54" s="6" t="n">
        <x:v>31053316.5</x:v>
      </x:c>
      <x:c r="E54" s="6" t="n">
        <x:v>22737807.547</x:v>
      </x:c>
      <x:c r="F54" s="6" t="n">
        <x:v>896375.1692307692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5" t="n">
        <x:v>43952</x:v>
      </x:c>
      <x:c r="B55" s="1" t="str">
        <x:v>Тольятти</x:v>
      </x:c>
      <x:c r="C55" s="1" t="n">
        <x:v>11619</x:v>
      </x:c>
      <x:c r="D55" s="6" t="n">
        <x:v>891139.5</x:v>
      </x:c>
      <x:c r="E55" s="6" t="n">
        <x:v>829782.376</x:v>
      </x:c>
      <x:c r="F55" s="6" t="n">
        <x:v>121759.66210769229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5" t="n">
        <x:v>43953</x:v>
      </x:c>
      <x:c r="B56" s="1" t="str">
        <x:v>Волгоград</x:v>
      </x:c>
      <x:c r="C56" s="1" t="n">
        <x:v>46216.5</x:v>
      </x:c>
      <x:c r="D56" s="6" t="n">
        <x:v>4118251.5</x:v>
      </x:c>
      <x:c r="E56" s="6" t="n">
        <x:v>3133704.928</x:v>
      </x:c>
      <x:c r="F56" s="6" t="n">
        <x:v>179531.89196153847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1" customHeight="1">
      <x:c r="A57" s="5" t="n">
        <x:v>43953</x:v>
      </x:c>
      <x:c r="B57" s="1" t="str">
        <x:v>Екатеринбург</x:v>
      </x:c>
      <x:c r="C57" s="1" t="n">
        <x:v>60463.5</x:v>
      </x:c>
      <x:c r="D57" s="6" t="n">
        <x:v>5554192.5</x:v>
      </x:c>
      <x:c r="E57" s="6" t="n">
        <x:v>4218316.029</x:v>
      </x:c>
      <x:c r="F57" s="6" t="n">
        <x:v>244262.12107692307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1" customHeight="1">
      <x:c r="A58" s="5" t="n">
        <x:v>43953</x:v>
      </x:c>
      <x:c r="B58" s="1" t="str">
        <x:v>Казань</x:v>
      </x:c>
      <x:c r="C58" s="1" t="n">
        <x:v>26428.5</x:v>
      </x:c>
      <x:c r="D58" s="6" t="n">
        <x:v>2470465.5</x:v>
      </x:c>
      <x:c r="E58" s="6" t="n">
        <x:v>1911613.144</x:v>
      </x:c>
      <x:c r="F58" s="6" t="n">
        <x:v>187667.93086153845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1" customHeight="1">
      <x:c r="A59" s="5" t="n">
        <x:v>43953</x:v>
      </x:c>
      <x:c r="B59" s="1" t="str">
        <x:v>Кемерово</x:v>
      </x:c>
      <x:c r="C59" s="1" t="n">
        <x:v>29031</x:v>
      </x:c>
      <x:c r="D59" s="6" t="n">
        <x:v>2711247</x:v>
      </x:c>
      <x:c r="E59" s="6" t="n">
        <x:v>2165434.925</x:v>
      </x:c>
      <x:c r="F59" s="6" t="n">
        <x:v>185484.16923076924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1" customHeight="1">
      <x:c r="A60" s="5" t="n">
        <x:v>43953</x:v>
      </x:c>
      <x:c r="B60" s="1" t="str">
        <x:v>Краснодар</x:v>
      </x:c>
      <x:c r="C60" s="1" t="n">
        <x:v>18427.5</x:v>
      </x:c>
      <x:c r="D60" s="6" t="n">
        <x:v>1682851.5</x:v>
      </x:c>
      <x:c r="E60" s="6" t="n">
        <x:v>1337535.2989999999</x:v>
      </x:c>
      <x:c r="F60" s="6" t="n">
        <x:v>121636.08074615385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1" customHeight="1">
      <x:c r="A61" s="5" t="n">
        <x:v>43953</x:v>
      </x:c>
      <x:c r="B61" s="1" t="str">
        <x:v>Москва Восток</x:v>
      </x:c>
      <x:c r="C61" s="1" t="n">
        <x:v>176397</x:v>
      </x:c>
      <x:c r="D61" s="6" t="n">
        <x:v>18625921.5</x:v>
      </x:c>
      <x:c r="E61" s="6" t="n">
        <x:v>13628439.163999999</x:v>
      </x:c>
      <x:c r="F61" s="6" t="n">
        <x:v>370802.93846153846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1" customHeight="1">
      <x:c r="A62" s="5" t="n">
        <x:v>43953</x:v>
      </x:c>
      <x:c r="B62" s="1" t="str">
        <x:v>Москва Запад</x:v>
      </x:c>
      <x:c r="C62" s="1" t="n">
        <x:v>185979</x:v>
      </x:c>
      <x:c r="D62" s="6" t="n">
        <x:v>19625364</x:v>
      </x:c>
      <x:c r="E62" s="6" t="n">
        <x:v>14386025.838000001</x:v>
      </x:c>
      <x:c r="F62" s="6" t="n">
        <x:v>361439.69230769225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1" customHeight="1">
      <x:c r="A63" s="5" t="n">
        <x:v>43953</x:v>
      </x:c>
      <x:c r="B63" s="1" t="str">
        <x:v>Нижний Новгород</x:v>
      </x:c>
      <x:c r="C63" s="1" t="n">
        <x:v>19461</x:v>
      </x:c>
      <x:c r="D63" s="6" t="n">
        <x:v>1799230.5</x:v>
      </x:c>
      <x:c r="E63" s="6" t="n">
        <x:v>1457108.1479999998</x:v>
      </x:c>
      <x:c r="F63" s="6" t="n">
        <x:v>183829.81409230767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1" customHeight="1">
      <x:c r="A64" s="5" t="n">
        <x:v>43953</x:v>
      </x:c>
      <x:c r="B64" s="1" t="str">
        <x:v>Новосибирск</x:v>
      </x:c>
      <x:c r="C64" s="1" t="n">
        <x:v>10018.5</x:v>
      </x:c>
      <x:c r="D64" s="6" t="n">
        <x:v>816859.5</x:v>
      </x:c>
      <x:c r="E64" s="6" t="n">
        <x:v>697541.2969999999</x:v>
      </x:c>
      <x:c r="F64" s="6" t="n">
        <x:v>106508.82307692307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1" customHeight="1">
      <x:c r="A65" s="5" t="n">
        <x:v>43953</x:v>
      </x:c>
      <x:c r="B65" s="1" t="str">
        <x:v>Пермь</x:v>
      </x:c>
      <x:c r="C65" s="1" t="n">
        <x:v>12313.5</x:v>
      </x:c>
      <x:c r="D65" s="6" t="n">
        <x:v>1053220.5</x:v>
      </x:c>
      <x:c r="E65" s="6" t="n">
        <x:v>843395.109</x:v>
      </x:c>
      <x:c r="F65" s="6" t="n">
        <x:v>137019.6769230769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1" customHeight="1">
      <x:c r="A66" s="5" t="n">
        <x:v>43953</x:v>
      </x:c>
      <x:c r="B66" s="1" t="str">
        <x:v>Ростов-на-Дону</x:v>
      </x:c>
      <x:c r="C66" s="1" t="n">
        <x:v>4624.5</x:v>
      </x:c>
      <x:c r="D66" s="6" t="n">
        <x:v>433243.5</x:v>
      </x:c>
      <x:c r="E66" s="6" t="n">
        <x:v>377401.46199999994</x:v>
      </x:c>
      <x:c r="F66" s="6" t="n">
        <x:v>65936.34336923076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1" customHeight="1">
      <x:c r="A67" s="5" t="n">
        <x:v>43953</x:v>
      </x:c>
      <x:c r="B67" s="1" t="str">
        <x:v>Санкт-Петербург Север</x:v>
      </x:c>
      <x:c r="C67" s="1" t="n">
        <x:v>296580</x:v>
      </x:c>
      <x:c r="D67" s="6" t="n">
        <x:v>31843737</x:v>
      </x:c>
      <x:c r="E67" s="6" t="n">
        <x:v>23119777.98</x:v>
      </x:c>
      <x:c r="F67" s="6" t="n">
        <x:v>657754.3188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1" customHeight="1">
      <x:c r="A68" s="5" t="n">
        <x:v>43953</x:v>
      </x:c>
      <x:c r="B68" s="1" t="str">
        <x:v>Санкт-Петербург Юг</x:v>
      </x:c>
      <x:c r="C68" s="1" t="n">
        <x:v>232903.5</x:v>
      </x:c>
      <x:c r="D68" s="6" t="n">
        <x:v>24342016.5</x:v>
      </x:c>
      <x:c r="E68" s="6" t="n">
        <x:v>17790852.444</x:v>
      </x:c>
      <x:c r="F68" s="6" t="n">
        <x:v>634118.8692307692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1" customHeight="1">
      <x:c r="A69" s="5" t="n">
        <x:v>43953</x:v>
      </x:c>
      <x:c r="B69" s="1" t="str">
        <x:v>Тольятти</x:v>
      </x:c>
      <x:c r="C69" s="1" t="n">
        <x:v>7866</x:v>
      </x:c>
      <x:c r="D69" s="6" t="n">
        <x:v>617881.5</x:v>
      </x:c>
      <x:c r="E69" s="6" t="n">
        <x:v>575518.068</x:v>
      </x:c>
      <x:c r="F69" s="6" t="n">
        <x:v>119723.42363076922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1" customHeight="1">
      <x:c r="A70" s="5" t="n">
        <x:v>43954</x:v>
      </x:c>
      <x:c r="B70" s="1" t="str">
        <x:v>Волгоград</x:v>
      </x:c>
      <x:c r="C70" s="1" t="n">
        <x:v>70581</x:v>
      </x:c>
      <x:c r="D70" s="6" t="n">
        <x:v>6221320.5</x:v>
      </x:c>
      <x:c r="E70" s="6" t="n">
        <x:v>4762185.061</x:v>
      </x:c>
      <x:c r="F70" s="6" t="n">
        <x:v>172821.83076923076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1" customHeight="1">
      <x:c r="A71" s="5" t="n">
        <x:v>43954</x:v>
      </x:c>
      <x:c r="B71" s="1" t="str">
        <x:v>Екатеринбург</x:v>
      </x:c>
      <x:c r="C71" s="1" t="n">
        <x:v>77263.5</x:v>
      </x:c>
      <x:c r="D71" s="6" t="n">
        <x:v>7013670</x:v>
      </x:c>
      <x:c r="E71" s="6" t="n">
        <x:v>5282661.8549999995</x:v>
      </x:c>
      <x:c r="F71" s="6" t="n">
        <x:v>161473.0769230769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1" customHeight="1">
      <x:c r="A72" s="5" t="n">
        <x:v>43954</x:v>
      </x:c>
      <x:c r="B72" s="1" t="str">
        <x:v>Казань</x:v>
      </x:c>
      <x:c r="C72" s="1" t="n">
        <x:v>29935.5</x:v>
      </x:c>
      <x:c r="D72" s="6" t="n">
        <x:v>2720002.5</x:v>
      </x:c>
      <x:c r="E72" s="6" t="n">
        <x:v>2102974.001</x:v>
      </x:c>
      <x:c r="F72" s="6" t="n">
        <x:v>175338.6411076923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1" customHeight="1">
      <x:c r="A73" s="5" t="n">
        <x:v>43954</x:v>
      </x:c>
      <x:c r="B73" s="1" t="str">
        <x:v>Кемерово</x:v>
      </x:c>
      <x:c r="C73" s="1" t="n">
        <x:v>26082</x:v>
      </x:c>
      <x:c r="D73" s="6" t="n">
        <x:v>2434914</x:v>
      </x:c>
      <x:c r="E73" s="6" t="n">
        <x:v>1925475.1139999998</x:v>
      </x:c>
      <x:c r="F73" s="6" t="n">
        <x:v>247646.60936153846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1" customHeight="1">
      <x:c r="A74" s="5" t="n">
        <x:v>43954</x:v>
      </x:c>
      <x:c r="B74" s="1" t="str">
        <x:v>Краснодар</x:v>
      </x:c>
      <x:c r="C74" s="1" t="n">
        <x:v>21343.5</x:v>
      </x:c>
      <x:c r="D74" s="6" t="n">
        <x:v>1906557</x:v>
      </x:c>
      <x:c r="E74" s="6" t="n">
        <x:v>1485927.8739999998</x:v>
      </x:c>
      <x:c r="F74" s="6" t="n">
        <x:v>100092.68052307691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1" customHeight="1">
      <x:c r="A75" s="5" t="n">
        <x:v>43954</x:v>
      </x:c>
      <x:c r="B75" s="1" t="str">
        <x:v>Москва Восток</x:v>
      </x:c>
      <x:c r="C75" s="1" t="n">
        <x:v>248148</x:v>
      </x:c>
      <x:c r="D75" s="6" t="n">
        <x:v>25519072.5</x:v>
      </x:c>
      <x:c r="E75" s="6" t="n">
        <x:v>18491870.615</x:v>
      </x:c>
      <x:c r="F75" s="6" t="n">
        <x:v>270910.05384615384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1" customHeight="1">
      <x:c r="A76" s="5" t="n">
        <x:v>43954</x:v>
      </x:c>
      <x:c r="B76" s="1" t="str">
        <x:v>Москва Запад</x:v>
      </x:c>
      <x:c r="C76" s="1" t="n">
        <x:v>257215.5</x:v>
      </x:c>
      <x:c r="D76" s="6" t="n">
        <x:v>26492278.5</x:v>
      </x:c>
      <x:c r="E76" s="6" t="n">
        <x:v>19179229.932</x:v>
      </x:c>
      <x:c r="F76" s="6" t="n">
        <x:v>254778.07384615383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1" customHeight="1">
      <x:c r="A77" s="5" t="n">
        <x:v>43954</x:v>
      </x:c>
      <x:c r="B77" s="1" t="str">
        <x:v>Нижний Новгород</x:v>
      </x:c>
      <x:c r="C77" s="1" t="n">
        <x:v>23539.5</x:v>
      </x:c>
      <x:c r="D77" s="6" t="n">
        <x:v>2170309.5</x:v>
      </x:c>
      <x:c r="E77" s="6" t="n">
        <x:v>1735984.614</x:v>
      </x:c>
      <x:c r="F77" s="6" t="n">
        <x:v>170377.8575384615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1" customHeight="1">
      <x:c r="A78" s="5" t="n">
        <x:v>43954</x:v>
      </x:c>
      <x:c r="B78" s="1" t="str">
        <x:v>Новосибирск</x:v>
      </x:c>
      <x:c r="C78" s="1" t="n">
        <x:v>10032</x:v>
      </x:c>
      <x:c r="D78" s="6" t="n">
        <x:v>816150</x:v>
      </x:c>
      <x:c r="E78" s="6" t="n">
        <x:v>698626.0329999999</x:v>
      </x:c>
      <x:c r="F78" s="6" t="n">
        <x:v>97812.8923076923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1" customHeight="1">
      <x:c r="A79" s="5" t="n">
        <x:v>43954</x:v>
      </x:c>
      <x:c r="B79" s="1" t="str">
        <x:v>Пермь</x:v>
      </x:c>
      <x:c r="C79" s="1" t="n">
        <x:v>12924</x:v>
      </x:c>
      <x:c r="D79" s="6" t="n">
        <x:v>1120009.5</x:v>
      </x:c>
      <x:c r="E79" s="6" t="n">
        <x:v>902752.717</x:v>
      </x:c>
      <x:c r="F79" s="6" t="n">
        <x:v>193184.6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1" customHeight="1">
      <x:c r="A80" s="5" t="n">
        <x:v>43954</x:v>
      </x:c>
      <x:c r="B80" s="1" t="str">
        <x:v>Ростов-на-Дону</x:v>
      </x:c>
      <x:c r="C80" s="1" t="n">
        <x:v>8127</x:v>
      </x:c>
      <x:c r="D80" s="6" t="n">
        <x:v>665302.5</x:v>
      </x:c>
      <x:c r="E80" s="6" t="n">
        <x:v>644221.494</x:v>
      </x:c>
      <x:c r="F80" s="6" t="n">
        <x:v>95245.72713846153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1" customHeight="1">
      <x:c r="A81" s="5" t="n">
        <x:v>43954</x:v>
      </x:c>
      <x:c r="B81" s="1" t="str">
        <x:v>Санкт-Петербург Север</x:v>
      </x:c>
      <x:c r="C81" s="1" t="n">
        <x:v>342666</x:v>
      </x:c>
      <x:c r="D81" s="6" t="n">
        <x:v>36631999.5</x:v>
      </x:c>
      <x:c r="E81" s="6" t="n">
        <x:v>26408496.047999997</x:v>
      </x:c>
      <x:c r="F81" s="6" t="n">
        <x:v>820373.5681538461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1" customHeight="1">
      <x:c r="A82" s="5" t="n">
        <x:v>43954</x:v>
      </x:c>
      <x:c r="B82" s="1" t="str">
        <x:v>Санкт-Петербург Юг</x:v>
      </x:c>
      <x:c r="C82" s="1" t="n">
        <x:v>274083</x:v>
      </x:c>
      <x:c r="D82" s="6" t="n">
        <x:v>28427001</x:v>
      </x:c>
      <x:c r="E82" s="6" t="n">
        <x:v>20563887.599</x:v>
      </x:c>
      <x:c r="F82" s="6" t="n">
        <x:v>779849.3653846154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1" customHeight="1">
      <x:c r="A83" s="5" t="n">
        <x:v>43954</x:v>
      </x:c>
      <x:c r="B83" s="1" t="str">
        <x:v>Тольятти</x:v>
      </x:c>
      <x:c r="C83" s="1" t="n">
        <x:v>8185.5</x:v>
      </x:c>
      <x:c r="D83" s="6" t="n">
        <x:v>637881</x:v>
      </x:c>
      <x:c r="E83" s="6" t="n">
        <x:v>575840.677</x:v>
      </x:c>
      <x:c r="F83" s="6" t="n">
        <x:v>73920.5846153846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1" customHeight="1">
      <x:c r="A84" s="5" t="n">
        <x:v>43955</x:v>
      </x:c>
      <x:c r="B84" s="1" t="str">
        <x:v>Волгоград</x:v>
      </x:c>
      <x:c r="C84" s="1" t="n">
        <x:v>64108.5</x:v>
      </x:c>
      <x:c r="D84" s="6" t="n">
        <x:v>5561452.5</x:v>
      </x:c>
      <x:c r="E84" s="6" t="n">
        <x:v>4257859.372</x:v>
      </x:c>
      <x:c r="F84" s="6" t="n">
        <x:v>337872.83273076924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1" customHeight="1">
      <x:c r="A85" s="5" t="n">
        <x:v>43955</x:v>
      </x:c>
      <x:c r="B85" s="1" t="str">
        <x:v>Екатеринбург</x:v>
      </x:c>
      <x:c r="C85" s="1" t="n">
        <x:v>72928.5</x:v>
      </x:c>
      <x:c r="D85" s="6" t="n">
        <x:v>6642249</x:v>
      </x:c>
      <x:c r="E85" s="6" t="n">
        <x:v>4993791.956</x:v>
      </x:c>
      <x:c r="F85" s="6" t="n">
        <x:v>215294.37692307692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1" customHeight="1">
      <x:c r="A86" s="5" t="n">
        <x:v>43955</x:v>
      </x:c>
      <x:c r="B86" s="1" t="str">
        <x:v>Казань</x:v>
      </x:c>
      <x:c r="C86" s="1" t="n">
        <x:v>30780</x:v>
      </x:c>
      <x:c r="D86" s="6" t="n">
        <x:v>2817853.5</x:v>
      </x:c>
      <x:c r="E86" s="6" t="n">
        <x:v>2169377.225</x:v>
      </x:c>
      <x:c r="F86" s="6" t="n">
        <x:v>215836.18461538458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1" customHeight="1">
      <x:c r="A87" s="5" t="n">
        <x:v>43955</x:v>
      </x:c>
      <x:c r="B87" s="1" t="str">
        <x:v>Кемерово</x:v>
      </x:c>
      <x:c r="C87" s="1" t="n">
        <x:v>25566</x:v>
      </x:c>
      <x:c r="D87" s="6" t="n">
        <x:v>2372310</x:v>
      </x:c>
      <x:c r="E87" s="6" t="n">
        <x:v>1875929.923</x:v>
      </x:c>
      <x:c r="F87" s="6" t="n">
        <x:v>280340.1657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1" customHeight="1">
      <x:c r="A88" s="5" t="n">
        <x:v>43955</x:v>
      </x:c>
      <x:c r="B88" s="1" t="str">
        <x:v>Краснодар</x:v>
      </x:c>
      <x:c r="C88" s="1" t="n">
        <x:v>23587.5</x:v>
      </x:c>
      <x:c r="D88" s="6" t="n">
        <x:v>2155668</x:v>
      </x:c>
      <x:c r="E88" s="6" t="n">
        <x:v>1685753.184</x:v>
      </x:c>
      <x:c r="F88" s="6" t="n">
        <x:v>135489.1581153846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1" customHeight="1">
      <x:c r="A89" s="5" t="n">
        <x:v>43955</x:v>
      </x:c>
      <x:c r="B89" s="1" t="str">
        <x:v>Москва Восток</x:v>
      </x:c>
      <x:c r="C89" s="1" t="n">
        <x:v>223617</x:v>
      </x:c>
      <x:c r="D89" s="6" t="n">
        <x:v>22796827.5</x:v>
      </x:c>
      <x:c r="E89" s="6" t="n">
        <x:v>16597666.014999999</x:v>
      </x:c>
      <x:c r="F89" s="6" t="n">
        <x:v>404297.7461538461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1" customHeight="1">
      <x:c r="A90" s="5" t="n">
        <x:v>43955</x:v>
      </x:c>
      <x:c r="B90" s="1" t="str">
        <x:v>Москва Запад</x:v>
      </x:c>
      <x:c r="C90" s="1" t="n">
        <x:v>237544.5</x:v>
      </x:c>
      <x:c r="D90" s="6" t="n">
        <x:v>24292218</x:v>
      </x:c>
      <x:c r="E90" s="6" t="n">
        <x:v>17650186.029</x:v>
      </x:c>
      <x:c r="F90" s="6" t="n">
        <x:v>347608.6384615384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1" customHeight="1">
      <x:c r="A91" s="5" t="n">
        <x:v>43955</x:v>
      </x:c>
      <x:c r="B91" s="1" t="str">
        <x:v>Нижний Новгород</x:v>
      </x:c>
      <x:c r="C91" s="1" t="n">
        <x:v>27072</x:v>
      </x:c>
      <x:c r="D91" s="6" t="n">
        <x:v>2450968.5</x:v>
      </x:c>
      <x:c r="E91" s="6" t="n">
        <x:v>1980824.9889999998</x:v>
      </x:c>
      <x:c r="F91" s="6" t="n">
        <x:v>188174.3243923077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1" customHeight="1">
      <x:c r="A92" s="5" t="n">
        <x:v>43955</x:v>
      </x:c>
      <x:c r="B92" s="1" t="str">
        <x:v>Новосибирск</x:v>
      </x:c>
      <x:c r="C92" s="1" t="n">
        <x:v>11062.5</x:v>
      </x:c>
      <x:c r="D92" s="6" t="n">
        <x:v>906343.5</x:v>
      </x:c>
      <x:c r="E92" s="6" t="n">
        <x:v>762082.749</x:v>
      </x:c>
      <x:c r="F92" s="6" t="n">
        <x:v>125305.56399230768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1" customHeight="1">
      <x:c r="A93" s="5" t="n">
        <x:v>43955</x:v>
      </x:c>
      <x:c r="B93" s="1" t="str">
        <x:v>Пермь</x:v>
      </x:c>
      <x:c r="C93" s="1" t="n">
        <x:v>12301.5</x:v>
      </x:c>
      <x:c r="D93" s="6" t="n">
        <x:v>1085211</x:v>
      </x:c>
      <x:c r="E93" s="6" t="n">
        <x:v>874153.345</x:v>
      </x:c>
      <x:c r="F93" s="6" t="n">
        <x:v>243709.4826923077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1" customHeight="1">
      <x:c r="A94" s="5" t="n">
        <x:v>43955</x:v>
      </x:c>
      <x:c r="B94" s="1" t="str">
        <x:v>Ростов-на-Дону</x:v>
      </x:c>
      <x:c r="C94" s="1" t="n">
        <x:v>7087.5</x:v>
      </x:c>
      <x:c r="D94" s="6" t="n">
        <x:v>610855.5</x:v>
      </x:c>
      <x:c r="E94" s="6" t="n">
        <x:v>541946.128</x:v>
      </x:c>
      <x:c r="F94" s="6" t="n">
        <x:v>150795.5846153846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1" customHeight="1">
      <x:c r="A95" s="5" t="n">
        <x:v>43955</x:v>
      </x:c>
      <x:c r="B95" s="1" t="str">
        <x:v>Санкт-Петербург Север</x:v>
      </x:c>
      <x:c r="C95" s="1" t="n">
        <x:v>360255</x:v>
      </x:c>
      <x:c r="D95" s="6" t="n">
        <x:v>38406954</x:v>
      </x:c>
      <x:c r="E95" s="6" t="n">
        <x:v>27588003.988</x:v>
      </x:c>
      <x:c r="F95" s="6" t="n">
        <x:v>1078421.345076923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1" customHeight="1">
      <x:c r="A96" s="5" t="n">
        <x:v>43955</x:v>
      </x:c>
      <x:c r="B96" s="1" t="str">
        <x:v>Санкт-Петербург Юг</x:v>
      </x:c>
      <x:c r="C96" s="1" t="n">
        <x:v>283942.5</x:v>
      </x:c>
      <x:c r="D96" s="6" t="n">
        <x:v>29357940</x:v>
      </x:c>
      <x:c r="E96" s="6" t="n">
        <x:v>21174604.830000002</x:v>
      </x:c>
      <x:c r="F96" s="6" t="n">
        <x:v>988153.4080307692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1" customHeight="1">
      <x:c r="A97" s="5" t="n">
        <x:v>43955</x:v>
      </x:c>
      <x:c r="B97" s="1" t="str">
        <x:v>Тольятти</x:v>
      </x:c>
      <x:c r="C97" s="1" t="n">
        <x:v>9130.5</x:v>
      </x:c>
      <x:c r="D97" s="6" t="n">
        <x:v>728890.5</x:v>
      </x:c>
      <x:c r="E97" s="6" t="n">
        <x:v>644150.519</x:v>
      </x:c>
      <x:c r="F97" s="6" t="n">
        <x:v>98026.49036923076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1" customHeight="1">
      <x:c r="A98" s="5" t="n">
        <x:v>43956</x:v>
      </x:c>
      <x:c r="B98" s="1" t="str">
        <x:v>Волгоград</x:v>
      </x:c>
      <x:c r="C98" s="1" t="n">
        <x:v>66396</x:v>
      </x:c>
      <x:c r="D98" s="6" t="n">
        <x:v>5770539</x:v>
      </x:c>
      <x:c r="E98" s="6" t="n">
        <x:v>4433831.250999999</x:v>
      </x:c>
      <x:c r="F98" s="6" t="n">
        <x:v>232587.42287692308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1" customHeight="1">
      <x:c r="A99" s="5" t="n">
        <x:v>43956</x:v>
      </x:c>
      <x:c r="B99" s="1" t="str">
        <x:v>Екатеринбург</x:v>
      </x:c>
      <x:c r="C99" s="1" t="n">
        <x:v>76585.5</x:v>
      </x:c>
      <x:c r="D99" s="6" t="n">
        <x:v>6921316.5</x:v>
      </x:c>
      <x:c r="E99" s="6" t="n">
        <x:v>5290094.272</x:v>
      </x:c>
      <x:c r="F99" s="6" t="n">
        <x:v>386033.17544615385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1" customHeight="1">
      <x:c r="A100" s="5" t="n">
        <x:v>43956</x:v>
      </x:c>
      <x:c r="B100" s="1" t="str">
        <x:v>Казань</x:v>
      </x:c>
      <x:c r="C100" s="1" t="n">
        <x:v>29482.5</x:v>
      </x:c>
      <x:c r="D100" s="6" t="n">
        <x:v>2648688</x:v>
      </x:c>
      <x:c r="E100" s="6" t="n">
        <x:v>2021918.12</x:v>
      </x:c>
      <x:c r="F100" s="6" t="n">
        <x:v>219587.1531846154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1" customHeight="1">
      <x:c r="A101" s="5" t="n">
        <x:v>43956</x:v>
      </x:c>
      <x:c r="B101" s="1" t="str">
        <x:v>Кемерово</x:v>
      </x:c>
      <x:c r="C101" s="1" t="n">
        <x:v>31566</x:v>
      </x:c>
      <x:c r="D101" s="6" t="n">
        <x:v>2906763</x:v>
      </x:c>
      <x:c r="E101" s="6" t="n">
        <x:v>2323003.267</x:v>
      </x:c>
      <x:c r="F101" s="6" t="n">
        <x:v>287619.52953846153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1" customHeight="1">
      <x:c r="A102" s="5" t="n">
        <x:v>43956</x:v>
      </x:c>
      <x:c r="B102" s="1" t="str">
        <x:v>Краснодар</x:v>
      </x:c>
      <x:c r="C102" s="1" t="n">
        <x:v>26367</x:v>
      </x:c>
      <x:c r="D102" s="6" t="n">
        <x:v>2380333.5</x:v>
      </x:c>
      <x:c r="E102" s="6" t="n">
        <x:v>1873451.2719999999</x:v>
      </x:c>
      <x:c r="F102" s="6" t="n">
        <x:v>149632.4937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1" customHeight="1">
      <x:c r="A103" s="5" t="n">
        <x:v>43956</x:v>
      </x:c>
      <x:c r="B103" s="1" t="str">
        <x:v>Москва Восток</x:v>
      </x:c>
      <x:c r="C103" s="1" t="n">
        <x:v>203832</x:v>
      </x:c>
      <x:c r="D103" s="6" t="n">
        <x:v>20880142.5</x:v>
      </x:c>
      <x:c r="E103" s="6" t="n">
        <x:v>15015521.489999998</x:v>
      </x:c>
      <x:c r="F103" s="6" t="n">
        <x:v>398269.43076923076</x:v>
      </x:c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1" customHeight="1">
      <x:c r="A104" s="5" t="n">
        <x:v>43956</x:v>
      </x:c>
      <x:c r="B104" s="1" t="str">
        <x:v>Москва Запад</x:v>
      </x:c>
      <x:c r="C104" s="1" t="n">
        <x:v>213582</x:v>
      </x:c>
      <x:c r="D104" s="6" t="n">
        <x:v>21919435.5</x:v>
      </x:c>
      <x:c r="E104" s="6" t="n">
        <x:v>15790923.194999998</x:v>
      </x:c>
      <x:c r="F104" s="6" t="n">
        <x:v>365011.0806153846</x:v>
      </x:c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1" customHeight="1">
      <x:c r="A105" s="5" t="n">
        <x:v>43956</x:v>
      </x:c>
      <x:c r="B105" s="1" t="str">
        <x:v>Нижний Новгород</x:v>
      </x:c>
      <x:c r="C105" s="1" t="n">
        <x:v>22848</x:v>
      </x:c>
      <x:c r="D105" s="6" t="n">
        <x:v>2079900</x:v>
      </x:c>
      <x:c r="E105" s="6" t="n">
        <x:v>1657688.853</x:v>
      </x:c>
      <x:c r="F105" s="6" t="n">
        <x:v>178454.88537692308</x:v>
      </x:c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1" customHeight="1">
      <x:c r="A106" s="5" t="n">
        <x:v>43956</x:v>
      </x:c>
      <x:c r="B106" s="1" t="str">
        <x:v>Новосибирск</x:v>
      </x:c>
      <x:c r="C106" s="1" t="n">
        <x:v>13941</x:v>
      </x:c>
      <x:c r="D106" s="6" t="n">
        <x:v>1145575.5</x:v>
      </x:c>
      <x:c r="E106" s="6" t="n">
        <x:v>974448.126</x:v>
      </x:c>
      <x:c r="F106" s="6" t="n">
        <x:v>152152.96544615386</x:v>
      </x:c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1" customHeight="1">
      <x:c r="A107" s="5" t="n">
        <x:v>43956</x:v>
      </x:c>
      <x:c r="B107" s="1" t="str">
        <x:v>Пермь</x:v>
      </x:c>
      <x:c r="C107" s="1" t="n">
        <x:v>15987</x:v>
      </x:c>
      <x:c r="D107" s="6" t="n">
        <x:v>1384179</x:v>
      </x:c>
      <x:c r="E107" s="6" t="n">
        <x:v>1116620.792</x:v>
      </x:c>
      <x:c r="F107" s="6" t="n">
        <x:v>220298.15353846154</x:v>
      </x:c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1" customHeight="1">
      <x:c r="A108" s="5" t="n">
        <x:v>43956</x:v>
      </x:c>
      <x:c r="B108" s="1" t="str">
        <x:v>Ростов-на-Дону</x:v>
      </x:c>
      <x:c r="C108" s="1" t="n">
        <x:v>8223</x:v>
      </x:c>
      <x:c r="D108" s="6" t="n">
        <x:v>694593</x:v>
      </x:c>
      <x:c r="E108" s="6" t="n">
        <x:v>622755.0499999999</x:v>
      </x:c>
      <x:c r="F108" s="6" t="n">
        <x:v>172368.62218461538</x:v>
      </x:c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1" customHeight="1">
      <x:c r="A109" s="5" t="n">
        <x:v>43956</x:v>
      </x:c>
      <x:c r="B109" s="1" t="str">
        <x:v>Санкт-Петербург Север</x:v>
      </x:c>
      <x:c r="C109" s="1" t="n">
        <x:v>333792</x:v>
      </x:c>
      <x:c r="D109" s="6" t="n">
        <x:v>35671734</x:v>
      </x:c>
      <x:c r="E109" s="6" t="n">
        <x:v>25644478.342</x:v>
      </x:c>
      <x:c r="F109" s="6" t="n">
        <x:v>919576.9605538462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1" customHeight="1">
      <x:c r="A110" s="5" t="n">
        <x:v>43956</x:v>
      </x:c>
      <x:c r="B110" s="1" t="str">
        <x:v>Санкт-Петербург Юг</x:v>
      </x:c>
      <x:c r="C110" s="1" t="n">
        <x:v>262734</x:v>
      </x:c>
      <x:c r="D110" s="6" t="n">
        <x:v>27278441.145</x:v>
      </x:c>
      <x:c r="E110" s="6" t="n">
        <x:v>19610637.316999998</x:v>
      </x:c>
      <x:c r="F110" s="6" t="n">
        <x:v>919330.0461538462</x:v>
      </x:c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1" customHeight="1">
      <x:c r="A111" s="5" t="n">
        <x:v>43956</x:v>
      </x:c>
      <x:c r="B111" s="1" t="str">
        <x:v>Тольятти</x:v>
      </x:c>
      <x:c r="C111" s="1" t="n">
        <x:v>10147.5</x:v>
      </x:c>
      <x:c r="D111" s="6" t="n">
        <x:v>793320</x:v>
      </x:c>
      <x:c r="E111" s="6" t="n">
        <x:v>718019.2760000001</x:v>
      </x:c>
      <x:c r="F111" s="6" t="n">
        <x:v>92027.36809230769</x:v>
      </x:c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1" customHeight="1">
      <x:c r="A112" s="5" t="n">
        <x:v>43957</x:v>
      </x:c>
      <x:c r="B112" s="1" t="str">
        <x:v>Волгоград</x:v>
      </x:c>
      <x:c r="C112" s="1" t="n">
        <x:v>63012</x:v>
      </x:c>
      <x:c r="D112" s="6" t="n">
        <x:v>5454121.5</x:v>
      </x:c>
      <x:c r="E112" s="6" t="n">
        <x:v>4155234.554</x:v>
      </x:c>
      <x:c r="F112" s="6" t="n">
        <x:v>234787.5564923077</x:v>
      </x:c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1" customHeight="1">
      <x:c r="A113" s="5" t="n">
        <x:v>43957</x:v>
      </x:c>
      <x:c r="B113" s="1" t="str">
        <x:v>Екатеринбург</x:v>
      </x:c>
      <x:c r="C113" s="1" t="n">
        <x:v>68994</x:v>
      </x:c>
      <x:c r="D113" s="6" t="n">
        <x:v>6168657</x:v>
      </x:c>
      <x:c r="E113" s="6" t="n">
        <x:v>4695811.349</x:v>
      </x:c>
      <x:c r="F113" s="6" t="n">
        <x:v>157384.1788307692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1" customHeight="1">
      <x:c r="A114" s="5" t="n">
        <x:v>43957</x:v>
      </x:c>
      <x:c r="B114" s="1" t="str">
        <x:v>Казань</x:v>
      </x:c>
      <x:c r="C114" s="1" t="n">
        <x:v>30342</x:v>
      </x:c>
      <x:c r="D114" s="6" t="n">
        <x:v>2738127</x:v>
      </x:c>
      <x:c r="E114" s="6" t="n">
        <x:v>2094375.01</x:v>
      </x:c>
      <x:c r="F114" s="6" t="n">
        <x:v>174068.47879999998</x:v>
      </x:c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1" customHeight="1">
      <x:c r="A115" s="5" t="n">
        <x:v>43957</x:v>
      </x:c>
      <x:c r="B115" s="1" t="str">
        <x:v>Кемерово</x:v>
      </x:c>
      <x:c r="C115" s="1" t="n">
        <x:v>32511</x:v>
      </x:c>
      <x:c r="D115" s="6" t="n">
        <x:v>2938623</x:v>
      </x:c>
      <x:c r="E115" s="6" t="n">
        <x:v>2406562.0579999997</x:v>
      </x:c>
      <x:c r="F115" s="6" t="n">
        <x:v>306098.4769230769</x:v>
      </x:c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1" customHeight="1">
      <x:c r="A116" s="5" t="n">
        <x:v>43957</x:v>
      </x:c>
      <x:c r="B116" s="1" t="str">
        <x:v>Краснодар</x:v>
      </x:c>
      <x:c r="C116" s="1" t="n">
        <x:v>24337.5</x:v>
      </x:c>
      <x:c r="D116" s="6" t="n">
        <x:v>2159350.5</x:v>
      </x:c>
      <x:c r="E116" s="6" t="n">
        <x:v>1715939.5399999998</x:v>
      </x:c>
      <x:c r="F116" s="6" t="n">
        <x:v>115138.50836153845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1" customHeight="1">
      <x:c r="A117" s="5" t="n">
        <x:v>43957</x:v>
      </x:c>
      <x:c r="B117" s="1" t="str">
        <x:v>Москва Восток</x:v>
      </x:c>
      <x:c r="C117" s="1" t="n">
        <x:v>216498</x:v>
      </x:c>
      <x:c r="D117" s="6" t="n">
        <x:v>22126444.5</x:v>
      </x:c>
      <x:c r="E117" s="6" t="n">
        <x:v>16128268.832</x:v>
      </x:c>
      <x:c r="F117" s="6" t="n">
        <x:v>389877.53846153844</x:v>
      </x:c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1" customHeight="1">
      <x:c r="A118" s="5" t="n">
        <x:v>43957</x:v>
      </x:c>
      <x:c r="B118" s="1" t="str">
        <x:v>Москва Запад</x:v>
      </x:c>
      <x:c r="C118" s="1" t="n">
        <x:v>224779.5</x:v>
      </x:c>
      <x:c r="D118" s="6" t="n">
        <x:v>23032992</x:v>
      </x:c>
      <x:c r="E118" s="6" t="n">
        <x:v>16792969.817999996</x:v>
      </x:c>
      <x:c r="F118" s="6" t="n">
        <x:v>443086.2530307692</x:v>
      </x:c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1" customHeight="1">
      <x:c r="A119" s="5" t="n">
        <x:v>43957</x:v>
      </x:c>
      <x:c r="B119" s="1" t="str">
        <x:v>Нижний Новгород</x:v>
      </x:c>
      <x:c r="C119" s="1" t="n">
        <x:v>24678</x:v>
      </x:c>
      <x:c r="D119" s="6" t="n">
        <x:v>2232519</x:v>
      </x:c>
      <x:c r="E119" s="6" t="n">
        <x:v>1781999.058</x:v>
      </x:c>
      <x:c r="F119" s="6" t="n">
        <x:v>359577.9060076923</x:v>
      </x:c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1" customHeight="1">
      <x:c r="A120" s="5" t="n">
        <x:v>43957</x:v>
      </x:c>
      <x:c r="B120" s="1" t="str">
        <x:v>Новосибирск</x:v>
      </x:c>
      <x:c r="C120" s="1" t="n">
        <x:v>12468</x:v>
      </x:c>
      <x:c r="D120" s="6" t="n">
        <x:v>1016566.5</x:v>
      </x:c>
      <x:c r="E120" s="6" t="n">
        <x:v>858367.6039999999</x:v>
      </x:c>
      <x:c r="F120" s="6" t="n">
        <x:v>88833.63816923076</x:v>
      </x:c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1" customHeight="1">
      <x:c r="A121" s="5" t="n">
        <x:v>43957</x:v>
      </x:c>
      <x:c r="B121" s="1" t="str">
        <x:v>Пермь</x:v>
      </x:c>
      <x:c r="C121" s="1" t="n">
        <x:v>14061</x:v>
      </x:c>
      <x:c r="D121" s="6" t="n">
        <x:v>1221057</x:v>
      </x:c>
      <x:c r="E121" s="6" t="n">
        <x:v>983096.417</x:v>
      </x:c>
      <x:c r="F121" s="6" t="n">
        <x:v>373408.8334307692</x:v>
      </x:c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1" customHeight="1">
      <x:c r="A122" s="5" t="n">
        <x:v>43957</x:v>
      </x:c>
      <x:c r="B122" s="1" t="str">
        <x:v>Ростов-на-Дону</x:v>
      </x:c>
      <x:c r="C122" s="1" t="n">
        <x:v>8464.5</x:v>
      </x:c>
      <x:c r="D122" s="6" t="n">
        <x:v>739291.5</x:v>
      </x:c>
      <x:c r="E122" s="6" t="n">
        <x:v>651727.3679999999</x:v>
      </x:c>
      <x:c r="F122" s="6" t="n">
        <x:v>154318.62433846152</x:v>
      </x:c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1" customHeight="1">
      <x:c r="A123" s="5" t="n">
        <x:v>43957</x:v>
      </x:c>
      <x:c r="B123" s="1" t="str">
        <x:v>Санкт-Петербург Север</x:v>
      </x:c>
      <x:c r="C123" s="1" t="n">
        <x:v>355278</x:v>
      </x:c>
      <x:c r="D123" s="6" t="n">
        <x:v>38092344</x:v>
      </x:c>
      <x:c r="E123" s="6" t="n">
        <x:v>27467616.702999998</x:v>
      </x:c>
      <x:c r="F123" s="6" t="n">
        <x:v>942702.9</x:v>
      </x:c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1" customHeight="1">
      <x:c r="A124" s="5" t="n">
        <x:v>43957</x:v>
      </x:c>
      <x:c r="B124" s="1" t="str">
        <x:v>Санкт-Петербург Юг</x:v>
      </x:c>
      <x:c r="C124" s="1" t="n">
        <x:v>277512</x:v>
      </x:c>
      <x:c r="D124" s="6" t="n">
        <x:v>28770810.1056</x:v>
      </x:c>
      <x:c r="E124" s="6" t="n">
        <x:v>20810852.736</x:v>
      </x:c>
      <x:c r="F124" s="6" t="n">
        <x:v>790162.5769230769</x:v>
      </x:c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1" customHeight="1">
      <x:c r="A125" s="5" t="n">
        <x:v>43957</x:v>
      </x:c>
      <x:c r="B125" s="1" t="str">
        <x:v>Тольятти</x:v>
      </x:c>
      <x:c r="C125" s="1" t="n">
        <x:v>9210</x:v>
      </x:c>
      <x:c r="D125" s="6" t="n">
        <x:v>696832.5</x:v>
      </x:c>
      <x:c r="E125" s="6" t="n">
        <x:v>616683.3809999999</x:v>
      </x:c>
      <x:c r="F125" s="6" t="n">
        <x:v>99623.13076923077</x:v>
      </x:c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1" customHeight="1">
      <x:c r="A126" s="5" t="n">
        <x:v>43958</x:v>
      </x:c>
      <x:c r="B126" s="1" t="str">
        <x:v>Волгоград</x:v>
      </x:c>
      <x:c r="C126" s="1" t="n">
        <x:v>71067</x:v>
      </x:c>
      <x:c r="D126" s="6" t="n">
        <x:v>6175837.5</x:v>
      </x:c>
      <x:c r="E126" s="6" t="n">
        <x:v>4747959.614</x:v>
      </x:c>
      <x:c r="F126" s="6" t="n">
        <x:v>157793.27424615383</x:v>
      </x:c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1" customHeight="1">
      <x:c r="A127" s="5" t="n">
        <x:v>43958</x:v>
      </x:c>
      <x:c r="B127" s="1" t="str">
        <x:v>Екатеринбург</x:v>
      </x:c>
      <x:c r="C127" s="1" t="n">
        <x:v>73204.5</x:v>
      </x:c>
      <x:c r="D127" s="6" t="n">
        <x:v>6591883.5</x:v>
      </x:c>
      <x:c r="E127" s="6" t="n">
        <x:v>5001227.671</x:v>
      </x:c>
      <x:c r="F127" s="6" t="n">
        <x:v>184167.76355384616</x:v>
      </x:c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1" customHeight="1">
      <x:c r="A128" s="5" t="n">
        <x:v>43958</x:v>
      </x:c>
      <x:c r="B128" s="1" t="str">
        <x:v>Казань</x:v>
      </x:c>
      <x:c r="C128" s="1" t="n">
        <x:v>32851.5</x:v>
      </x:c>
      <x:c r="D128" s="6" t="n">
        <x:v>2934504</x:v>
      </x:c>
      <x:c r="E128" s="6" t="n">
        <x:v>2253872.138</x:v>
      </x:c>
      <x:c r="F128" s="6" t="n">
        <x:v>160756.50769230767</x:v>
      </x:c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1" customHeight="1">
      <x:c r="A129" s="5" t="n">
        <x:v>43958</x:v>
      </x:c>
      <x:c r="B129" s="1" t="str">
        <x:v>Кемерово</x:v>
      </x:c>
      <x:c r="C129" s="1" t="n">
        <x:v>27018</x:v>
      </x:c>
      <x:c r="D129" s="6" t="n">
        <x:v>2472213</x:v>
      </x:c>
      <x:c r="E129" s="6" t="n">
        <x:v>2000889.9870000002</x:v>
      </x:c>
      <x:c r="F129" s="6" t="n">
        <x:v>283287.8692307692</x:v>
      </x:c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1" customHeight="1">
      <x:c r="A130" s="5" t="n">
        <x:v>43958</x:v>
      </x:c>
      <x:c r="B130" s="1" t="str">
        <x:v>Краснодар</x:v>
      </x:c>
      <x:c r="C130" s="1" t="n">
        <x:v>26184</x:v>
      </x:c>
      <x:c r="D130" s="6" t="n">
        <x:v>2308336.5</x:v>
      </x:c>
      <x:c r="E130" s="6" t="n">
        <x:v>1837113.1940000001</x:v>
      </x:c>
      <x:c r="F130" s="6" t="n">
        <x:v>115064.43612307693</x:v>
      </x:c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1" customHeight="1">
      <x:c r="A131" s="5" t="n">
        <x:v>43958</x:v>
      </x:c>
      <x:c r="B131" s="1" t="str">
        <x:v>Москва Восток</x:v>
      </x:c>
      <x:c r="C131" s="1" t="n">
        <x:v>209415</x:v>
      </x:c>
      <x:c r="D131" s="6" t="n">
        <x:v>21463023</x:v>
      </x:c>
      <x:c r="E131" s="6" t="n">
        <x:v>15847839.739</x:v>
      </x:c>
      <x:c r="F131" s="6" t="n">
        <x:v>521163.8769230769</x:v>
      </x:c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1" customHeight="1">
      <x:c r="A132" s="5" t="n">
        <x:v>43958</x:v>
      </x:c>
      <x:c r="B132" s="1" t="str">
        <x:v>Москва Запад</x:v>
      </x:c>
      <x:c r="C132" s="1" t="n">
        <x:v>219411</x:v>
      </x:c>
      <x:c r="D132" s="6" t="n">
        <x:v>22460130</x:v>
      </x:c>
      <x:c r="E132" s="6" t="n">
        <x:v>16627687.641</x:v>
      </x:c>
      <x:c r="F132" s="6" t="n">
        <x:v>518998.75384615385</x:v>
      </x:c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1" customHeight="1">
      <x:c r="A133" s="5" t="n">
        <x:v>43958</x:v>
      </x:c>
      <x:c r="B133" s="1" t="str">
        <x:v>Нижний Новгород</x:v>
      </x:c>
      <x:c r="C133" s="1" t="n">
        <x:v>25468.5</x:v>
      </x:c>
      <x:c r="D133" s="6" t="n">
        <x:v>2350672.5</x:v>
      </x:c>
      <x:c r="E133" s="6" t="n">
        <x:v>1875294.65</x:v>
      </x:c>
      <x:c r="F133" s="6" t="n">
        <x:v>221739.45623076922</x:v>
      </x:c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1" customHeight="1">
      <x:c r="A134" s="5" t="n">
        <x:v>43958</x:v>
      </x:c>
      <x:c r="B134" s="1" t="str">
        <x:v>Новосибирск</x:v>
      </x:c>
      <x:c r="C134" s="1" t="n">
        <x:v>11719.5</x:v>
      </x:c>
      <x:c r="D134" s="6" t="n">
        <x:v>965880</x:v>
      </x:c>
      <x:c r="E134" s="6" t="n">
        <x:v>809986.386</x:v>
      </x:c>
      <x:c r="F134" s="6" t="n">
        <x:v>106745.03623846154</x:v>
      </x:c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1" customHeight="1">
      <x:c r="A135" s="5" t="n">
        <x:v>43958</x:v>
      </x:c>
      <x:c r="B135" s="1" t="str">
        <x:v>Пермь</x:v>
      </x:c>
      <x:c r="C135" s="1" t="n">
        <x:v>12705</x:v>
      </x:c>
      <x:c r="D135" s="6" t="n">
        <x:v>1123894.5</x:v>
      </x:c>
      <x:c r="E135" s="6" t="n">
        <x:v>898508.497</x:v>
      </x:c>
      <x:c r="F135" s="6" t="n">
        <x:v>273904.8153076923</x:v>
      </x:c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1" customHeight="1">
      <x:c r="A136" s="5" t="n">
        <x:v>43958</x:v>
      </x:c>
      <x:c r="B136" s="1" t="str">
        <x:v>Ростов-на-Дону</x:v>
      </x:c>
      <x:c r="C136" s="1" t="n">
        <x:v>8719.5</x:v>
      </x:c>
      <x:c r="D136" s="6" t="n">
        <x:v>769276.5</x:v>
      </x:c>
      <x:c r="E136" s="6" t="n">
        <x:v>654599.977</x:v>
      </x:c>
      <x:c r="F136" s="6" t="n">
        <x:v>184385.1884923077</x:v>
      </x:c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1" customHeight="1">
      <x:c r="A137" s="5" t="n">
        <x:v>43958</x:v>
      </x:c>
      <x:c r="B137" s="1" t="str">
        <x:v>Санкт-Петербург Север</x:v>
      </x:c>
      <x:c r="C137" s="1" t="n">
        <x:v>319110</x:v>
      </x:c>
      <x:c r="D137" s="6" t="n">
        <x:v>33763989</x:v>
      </x:c>
      <x:c r="E137" s="6" t="n">
        <x:v>24610757.489</x:v>
      </x:c>
      <x:c r="F137" s="6" t="n">
        <x:v>1101833.447230769</x:v>
      </x:c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1" customHeight="1">
      <x:c r="A138" s="5" t="n">
        <x:v>43958</x:v>
      </x:c>
      <x:c r="B138" s="1" t="str">
        <x:v>Санкт-Петербург Юг</x:v>
      </x:c>
      <x:c r="C138" s="1" t="n">
        <x:v>247813.5</x:v>
      </x:c>
      <x:c r="D138" s="6" t="n">
        <x:v>25325271</x:v>
      </x:c>
      <x:c r="E138" s="6" t="n">
        <x:v>18582990.428</x:v>
      </x:c>
      <x:c r="F138" s="6" t="n">
        <x:v>865201.878576923</x:v>
      </x:c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1" customHeight="1">
      <x:c r="A139" s="5" t="n">
        <x:v>43958</x:v>
      </x:c>
      <x:c r="B139" s="1" t="str">
        <x:v>Тольятти</x:v>
      </x:c>
      <x:c r="C139" s="1" t="n">
        <x:v>11029.5</x:v>
      </x:c>
      <x:c r="D139" s="6" t="n">
        <x:v>863754</x:v>
      </x:c>
      <x:c r="E139" s="6" t="n">
        <x:v>758428.735</x:v>
      </x:c>
      <x:c r="F139" s="6" t="n">
        <x:v>86710.8045076923</x:v>
      </x:c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1" customHeight="1">
      <x:c r="A140" s="5" t="n">
        <x:v>43959</x:v>
      </x:c>
      <x:c r="B140" s="1" t="str">
        <x:v>Волгоград</x:v>
      </x:c>
      <x:c r="C140" s="1" t="n">
        <x:v>61804.5</x:v>
      </x:c>
      <x:c r="D140" s="6" t="n">
        <x:v>5365708.5</x:v>
      </x:c>
      <x:c r="E140" s="6" t="n">
        <x:v>4091691.3249999997</x:v>
      </x:c>
      <x:c r="F140" s="6" t="n">
        <x:v>232169.67161538458</x:v>
      </x:c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1" customHeight="1">
      <x:c r="A141" s="5" t="n">
        <x:v>43959</x:v>
      </x:c>
      <x:c r="B141" s="1" t="str">
        <x:v>Екатеринбург</x:v>
      </x:c>
      <x:c r="C141" s="1" t="n">
        <x:v>69544.5</x:v>
      </x:c>
      <x:c r="D141" s="6" t="n">
        <x:v>6293776.5</x:v>
      </x:c>
      <x:c r="E141" s="6" t="n">
        <x:v>4773839.938</x:v>
      </x:c>
      <x:c r="F141" s="6" t="n">
        <x:v>201777.4038153846</x:v>
      </x:c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1" customHeight="1">
      <x:c r="A142" s="5" t="n">
        <x:v>43959</x:v>
      </x:c>
      <x:c r="B142" s="1" t="str">
        <x:v>Казань</x:v>
      </x:c>
      <x:c r="C142" s="1" t="n">
        <x:v>34399.5</x:v>
      </x:c>
      <x:c r="D142" s="6" t="n">
        <x:v>3201358.5</x:v>
      </x:c>
      <x:c r="E142" s="6" t="n">
        <x:v>2481896.334</x:v>
      </x:c>
      <x:c r="F142" s="6" t="n">
        <x:v>156377.12456923077</x:v>
      </x:c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1" customHeight="1">
      <x:c r="A143" s="5" t="n">
        <x:v>43959</x:v>
      </x:c>
      <x:c r="B143" s="1" t="str">
        <x:v>Кемерово</x:v>
      </x:c>
      <x:c r="C143" s="1" t="n">
        <x:v>29409</x:v>
      </x:c>
      <x:c r="D143" s="6" t="n">
        <x:v>2645160</x:v>
      </x:c>
      <x:c r="E143" s="6" t="n">
        <x:v>2133443.3049999997</x:v>
      </x:c>
      <x:c r="F143" s="6" t="n">
        <x:v>355537.44449230767</x:v>
      </x:c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1" customHeight="1">
      <x:c r="A144" s="5" t="n">
        <x:v>43959</x:v>
      </x:c>
      <x:c r="B144" s="1" t="str">
        <x:v>Краснодар</x:v>
      </x:c>
      <x:c r="C144" s="1" t="n">
        <x:v>25020</x:v>
      </x:c>
      <x:c r="D144" s="6" t="n">
        <x:v>2235960</x:v>
      </x:c>
      <x:c r="E144" s="6" t="n">
        <x:v>1780335.608</x:v>
      </x:c>
      <x:c r="F144" s="6" t="n">
        <x:v>140320.89928461539</x:v>
      </x:c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1" customHeight="1">
      <x:c r="A145" s="5" t="n">
        <x:v>43959</x:v>
      </x:c>
      <x:c r="B145" s="1" t="str">
        <x:v>Москва Восток</x:v>
      </x:c>
      <x:c r="C145" s="1" t="n">
        <x:v>225076.5</x:v>
      </x:c>
      <x:c r="D145" s="6" t="n">
        <x:v>22846078.5</x:v>
      </x:c>
      <x:c r="E145" s="6" t="n">
        <x:v>16722171.227</x:v>
      </x:c>
      <x:c r="F145" s="6" t="n">
        <x:v>479024.68461538455</x:v>
      </x:c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1" customHeight="1">
      <x:c r="A146" s="5" t="n">
        <x:v>43959</x:v>
      </x:c>
      <x:c r="B146" s="1" t="str">
        <x:v>Москва Запад</x:v>
      </x:c>
      <x:c r="C146" s="1" t="n">
        <x:v>232701</x:v>
      </x:c>
      <x:c r="D146" s="6" t="n">
        <x:v>23881948.5</x:v>
      </x:c>
      <x:c r="E146" s="6" t="n">
        <x:v>17462223.404</x:v>
      </x:c>
      <x:c r="F146" s="6" t="n">
        <x:v>512464.9846153846</x:v>
      </x:c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1" customHeight="1">
      <x:c r="A147" s="5" t="n">
        <x:v>43959</x:v>
      </x:c>
      <x:c r="B147" s="1" t="str">
        <x:v>Нижний Новгород</x:v>
      </x:c>
      <x:c r="C147" s="1" t="n">
        <x:v>25294.5</x:v>
      </x:c>
      <x:c r="D147" s="6" t="n">
        <x:v>2271454.5</x:v>
      </x:c>
      <x:c r="E147" s="6" t="n">
        <x:v>1811009.8979999998</x:v>
      </x:c>
      <x:c r="F147" s="6" t="n">
        <x:v>151659.17713846153</x:v>
      </x:c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1" customHeight="1">
      <x:c r="A148" s="5" t="n">
        <x:v>43959</x:v>
      </x:c>
      <x:c r="B148" s="1" t="str">
        <x:v>Новосибирск</x:v>
      </x:c>
      <x:c r="C148" s="1" t="n">
        <x:v>12976.5</x:v>
      </x:c>
      <x:c r="D148" s="6" t="n">
        <x:v>1046848.5</x:v>
      </x:c>
      <x:c r="E148" s="6" t="n">
        <x:v>892743.7459999999</x:v>
      </x:c>
      <x:c r="F148" s="6" t="n">
        <x:v>396844.24095384614</x:v>
      </x:c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1" customHeight="1">
      <x:c r="A149" s="5" t="n">
        <x:v>43959</x:v>
      </x:c>
      <x:c r="B149" s="1" t="str">
        <x:v>Пермь</x:v>
      </x:c>
      <x:c r="C149" s="1" t="n">
        <x:v>14494.5</x:v>
      </x:c>
      <x:c r="D149" s="6" t="n">
        <x:v>1269786</x:v>
      </x:c>
      <x:c r="E149" s="6" t="n">
        <x:v>1018857.6680000001</x:v>
      </x:c>
      <x:c r="F149" s="6" t="n">
        <x:v>197493.53076923077</x:v>
      </x:c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1" customHeight="1">
      <x:c r="A150" s="5" t="n">
        <x:v>43959</x:v>
      </x:c>
      <x:c r="B150" s="1" t="str">
        <x:v>Ростов-на-Дону</x:v>
      </x:c>
      <x:c r="C150" s="1" t="n">
        <x:v>9058.5</x:v>
      </x:c>
      <x:c r="D150" s="6" t="n">
        <x:v>798759</x:v>
      </x:c>
      <x:c r="E150" s="6" t="n">
        <x:v>669115.9369999999</x:v>
      </x:c>
      <x:c r="F150" s="6" t="n">
        <x:v>171987.47030000002</x:v>
      </x:c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1" customHeight="1">
      <x:c r="A151" s="5" t="n">
        <x:v>43959</x:v>
      </x:c>
      <x:c r="B151" s="1" t="str">
        <x:v>Санкт-Петербург Север</x:v>
      </x:c>
      <x:c r="C151" s="1" t="n">
        <x:v>463530</x:v>
      </x:c>
      <x:c r="D151" s="6" t="n">
        <x:v>49123180.5</x:v>
      </x:c>
      <x:c r="E151" s="6" t="n">
        <x:v>36012087.989</x:v>
      </x:c>
      <x:c r="F151" s="6" t="n">
        <x:v>700442.1153769231</x:v>
      </x:c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1" customHeight="1">
      <x:c r="A152" s="5" t="n">
        <x:v>43959</x:v>
      </x:c>
      <x:c r="B152" s="1" t="str">
        <x:v>Санкт-Петербург Юг</x:v>
      </x:c>
      <x:c r="C152" s="1" t="n">
        <x:v>370092</x:v>
      </x:c>
      <x:c r="D152" s="6" t="n">
        <x:v>38091556.5</x:v>
      </x:c>
      <x:c r="E152" s="6" t="n">
        <x:v>28012065.349999998</x:v>
      </x:c>
      <x:c r="F152" s="6" t="n">
        <x:v>725212.9959230769</x:v>
      </x:c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1" customHeight="1">
      <x:c r="A153" s="5" t="n">
        <x:v>43959</x:v>
      </x:c>
      <x:c r="B153" s="1" t="str">
        <x:v>Тольятти</x:v>
      </x:c>
      <x:c r="C153" s="1" t="n">
        <x:v>12528</x:v>
      </x:c>
      <x:c r="D153" s="6" t="n">
        <x:v>959703</x:v>
      </x:c>
      <x:c r="E153" s="6" t="n">
        <x:v>861486.475</x:v>
      </x:c>
      <x:c r="F153" s="6" t="n">
        <x:v>87212.13076923077</x:v>
      </x:c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1" customHeight="1">
      <x:c r="A154" s="5" t="n">
        <x:v>43960</x:v>
      </x:c>
      <x:c r="B154" s="1" t="str">
        <x:v>Волгоград</x:v>
      </x:c>
      <x:c r="C154" s="1" t="n">
        <x:v>83373</x:v>
      </x:c>
      <x:c r="D154" s="6" t="n">
        <x:v>7253427</x:v>
      </x:c>
      <x:c r="E154" s="6" t="n">
        <x:v>5531366.381</x:v>
      </x:c>
      <x:c r="F154" s="6" t="n">
        <x:v>221053.87967692307</x:v>
      </x:c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1" customHeight="1">
      <x:c r="A155" s="5" t="n">
        <x:v>43960</x:v>
      </x:c>
      <x:c r="B155" s="1" t="str">
        <x:v>Екатеринбург</x:v>
      </x:c>
      <x:c r="C155" s="1" t="n">
        <x:v>69720</x:v>
      </x:c>
      <x:c r="D155" s="6" t="n">
        <x:v>6264933</x:v>
      </x:c>
      <x:c r="E155" s="6" t="n">
        <x:v>4726931.9569999995</x:v>
      </x:c>
      <x:c r="F155" s="6" t="n">
        <x:v>294634.3553076923</x:v>
      </x:c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1" customHeight="1">
      <x:c r="A156" s="5" t="n">
        <x:v>43960</x:v>
      </x:c>
      <x:c r="B156" s="1" t="str">
        <x:v>Казань</x:v>
      </x:c>
      <x:c r="C156" s="1" t="n">
        <x:v>32239.5</x:v>
      </x:c>
      <x:c r="D156" s="6" t="n">
        <x:v>3084892.5</x:v>
      </x:c>
      <x:c r="E156" s="6" t="n">
        <x:v>2384575.363</x:v>
      </x:c>
      <x:c r="F156" s="6" t="n">
        <x:v>184346.05176923078</x:v>
      </x:c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1" customHeight="1">
      <x:c r="A157" s="5" t="n">
        <x:v>43960</x:v>
      </x:c>
      <x:c r="B157" s="1" t="str">
        <x:v>Кемерово</x:v>
      </x:c>
      <x:c r="C157" s="1" t="n">
        <x:v>31147.5</x:v>
      </x:c>
      <x:c r="D157" s="6" t="n">
        <x:v>2831019</x:v>
      </x:c>
      <x:c r="E157" s="6" t="n">
        <x:v>2261296.276</x:v>
      </x:c>
      <x:c r="F157" s="6" t="n">
        <x:v>225845</x:v>
      </x:c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1" customHeight="1">
      <x:c r="A158" s="5" t="n">
        <x:v>43960</x:v>
      </x:c>
      <x:c r="B158" s="1" t="str">
        <x:v>Краснодар</x:v>
      </x:c>
      <x:c r="C158" s="1" t="n">
        <x:v>26271</x:v>
      </x:c>
      <x:c r="D158" s="6" t="n">
        <x:v>2384937</x:v>
      </x:c>
      <x:c r="E158" s="6" t="n">
        <x:v>1880070.5110000002</x:v>
      </x:c>
      <x:c r="F158" s="6" t="n">
        <x:v>141472.14615384614</x:v>
      </x:c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1" customHeight="1">
      <x:c r="A159" s="5" t="n">
        <x:v>43960</x:v>
      </x:c>
      <x:c r="B159" s="1" t="str">
        <x:v>Москва Восток</x:v>
      </x:c>
      <x:c r="C159" s="1" t="n">
        <x:v>177976.5</x:v>
      </x:c>
      <x:c r="D159" s="6" t="n">
        <x:v>18085798.5</x:v>
      </x:c>
      <x:c r="E159" s="6" t="n">
        <x:v>13150397.668</x:v>
      </x:c>
      <x:c r="F159" s="6" t="n">
        <x:v>444057.733476923</x:v>
      </x:c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1" customHeight="1">
      <x:c r="A160" s="5" t="n">
        <x:v>43960</x:v>
      </x:c>
      <x:c r="B160" s="1" t="str">
        <x:v>Москва Запад</x:v>
      </x:c>
      <x:c r="C160" s="1" t="n">
        <x:v>188319</x:v>
      </x:c>
      <x:c r="D160" s="6" t="n">
        <x:v>19218631.5</x:v>
      </x:c>
      <x:c r="E160" s="6" t="n">
        <x:v>13973128.512</x:v>
      </x:c>
      <x:c r="F160" s="6" t="n">
        <x:v>403874.8839461538</x:v>
      </x:c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1" customHeight="1">
      <x:c r="A161" s="5" t="n">
        <x:v>43960</x:v>
      </x:c>
      <x:c r="B161" s="1" t="str">
        <x:v>Нижний Новгород</x:v>
      </x:c>
      <x:c r="C161" s="1" t="n">
        <x:v>32079</x:v>
      </x:c>
      <x:c r="D161" s="6" t="n">
        <x:v>2902167</x:v>
      </x:c>
      <x:c r="E161" s="6" t="n">
        <x:v>2319890.346</x:v>
      </x:c>
      <x:c r="F161" s="6" t="n">
        <x:v>194963.39216923076</x:v>
      </x:c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1" customHeight="1">
      <x:c r="A162" s="5" t="n">
        <x:v>43960</x:v>
      </x:c>
      <x:c r="B162" s="1" t="str">
        <x:v>Новосибирск</x:v>
      </x:c>
      <x:c r="C162" s="1" t="n">
        <x:v>11745</x:v>
      </x:c>
      <x:c r="D162" s="6" t="n">
        <x:v>955801.5</x:v>
      </x:c>
      <x:c r="E162" s="6" t="n">
        <x:v>795942.652</x:v>
      </x:c>
      <x:c r="F162" s="6" t="n">
        <x:v>165952.05877692305</x:v>
      </x:c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1" customHeight="1">
      <x:c r="A163" s="5" t="n">
        <x:v>43960</x:v>
      </x:c>
      <x:c r="B163" s="1" t="str">
        <x:v>Пермь</x:v>
      </x:c>
      <x:c r="C163" s="1" t="n">
        <x:v>13948.5</x:v>
      </x:c>
      <x:c r="D163" s="6" t="n">
        <x:v>1222932</x:v>
      </x:c>
      <x:c r="E163" s="6" t="n">
        <x:v>974409.1449999999</x:v>
      </x:c>
      <x:c r="F163" s="6" t="n">
        <x:v>299208.26923076925</x:v>
      </x:c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1" customHeight="1">
      <x:c r="A164" s="5" t="n">
        <x:v>43960</x:v>
      </x:c>
      <x:c r="B164" s="1" t="str">
        <x:v>Ростов-на-Дону</x:v>
      </x:c>
      <x:c r="C164" s="1" t="n">
        <x:v>12037.5</x:v>
      </x:c>
      <x:c r="D164" s="6" t="n">
        <x:v>1081216.5</x:v>
      </x:c>
      <x:c r="E164" s="6" t="n">
        <x:v>910141.155</x:v>
      </x:c>
      <x:c r="F164" s="6" t="n">
        <x:v>143296.04318461538</x:v>
      </x:c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1" customHeight="1">
      <x:c r="A165" s="5" t="n">
        <x:v>43960</x:v>
      </x:c>
      <x:c r="B165" s="1" t="str">
        <x:v>Санкт-Петербург Север</x:v>
      </x:c>
      <x:c r="C165" s="1" t="n">
        <x:v>359214</x:v>
      </x:c>
      <x:c r="D165" s="6" t="n">
        <x:v>38693427</x:v>
      </x:c>
      <x:c r="E165" s="6" t="n">
        <x:v>27863789.055</x:v>
      </x:c>
      <x:c r="F165" s="6" t="n">
        <x:v>582268.7261538461</x:v>
      </x:c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1" customHeight="1">
      <x:c r="A166" s="5" t="n">
        <x:v>43960</x:v>
      </x:c>
      <x:c r="B166" s="1" t="str">
        <x:v>Санкт-Петербург Юг</x:v>
      </x:c>
      <x:c r="C166" s="1" t="n">
        <x:v>285972</x:v>
      </x:c>
      <x:c r="D166" s="6" t="n">
        <x:v>29768199</x:v>
      </x:c>
      <x:c r="E166" s="6" t="n">
        <x:v>21483666.921</x:v>
      </x:c>
      <x:c r="F166" s="6" t="n">
        <x:v>549316.9501538462</x:v>
      </x:c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1" customHeight="1">
      <x:c r="A167" s="5" t="n">
        <x:v>43960</x:v>
      </x:c>
      <x:c r="B167" s="1" t="str">
        <x:v>Тольятти</x:v>
      </x:c>
      <x:c r="C167" s="1" t="n">
        <x:v>13216.5</x:v>
      </x:c>
      <x:c r="D167" s="6" t="n">
        <x:v>1046400</x:v>
      </x:c>
      <x:c r="E167" s="6" t="n">
        <x:v>937716.1579999999</x:v>
      </x:c>
      <x:c r="F167" s="6" t="n">
        <x:v>61387.77692307692</x:v>
      </x:c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1" customHeight="1">
      <x:c r="A168" s="5" t="n">
        <x:v>43961</x:v>
      </x:c>
      <x:c r="B168" s="1" t="str">
        <x:v>Волгоград</x:v>
      </x:c>
      <x:c r="C168" s="1" t="n">
        <x:v>88311</x:v>
      </x:c>
      <x:c r="D168" s="6" t="n">
        <x:v>7726069.5</x:v>
      </x:c>
      <x:c r="E168" s="6" t="n">
        <x:v>5922893.721</x:v>
      </x:c>
      <x:c r="F168" s="6" t="n">
        <x:v>161614.12454615385</x:v>
      </x:c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1" customHeight="1">
      <x:c r="A169" s="5" t="n">
        <x:v>43961</x:v>
      </x:c>
      <x:c r="B169" s="1" t="str">
        <x:v>Екатеринбург</x:v>
      </x:c>
      <x:c r="C169" s="1" t="n">
        <x:v>84132</x:v>
      </x:c>
      <x:c r="D169" s="6" t="n">
        <x:v>7483194</x:v>
      </x:c>
      <x:c r="E169" s="6" t="n">
        <x:v>5637882.125</x:v>
      </x:c>
      <x:c r="F169" s="6" t="n">
        <x:v>126673.26923076922</x:v>
      </x:c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1" customHeight="1">
      <x:c r="A170" s="5" t="n">
        <x:v>43961</x:v>
      </x:c>
      <x:c r="B170" s="1" t="str">
        <x:v>Казань</x:v>
      </x:c>
      <x:c r="C170" s="1" t="n">
        <x:v>37489.5</x:v>
      </x:c>
      <x:c r="D170" s="6" t="n">
        <x:v>3549097.5</x:v>
      </x:c>
      <x:c r="E170" s="6" t="n">
        <x:v>2745646.948</x:v>
      </x:c>
      <x:c r="F170" s="6" t="n">
        <x:v>258287.05384615384</x:v>
      </x:c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1" customHeight="1">
      <x:c r="A171" s="5" t="n">
        <x:v>43961</x:v>
      </x:c>
      <x:c r="B171" s="1" t="str">
        <x:v>Кемерово</x:v>
      </x:c>
      <x:c r="C171" s="1" t="n">
        <x:v>36619.5</x:v>
      </x:c>
      <x:c r="D171" s="6" t="n">
        <x:v>3312967.5</x:v>
      </x:c>
      <x:c r="E171" s="6" t="n">
        <x:v>2647972.343</x:v>
      </x:c>
      <x:c r="F171" s="6" t="n">
        <x:v>371661.6538461539</x:v>
      </x:c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1" customHeight="1">
      <x:c r="A172" s="5" t="n">
        <x:v>43961</x:v>
      </x:c>
      <x:c r="B172" s="1" t="str">
        <x:v>Краснодар</x:v>
      </x:c>
      <x:c r="C172" s="1" t="n">
        <x:v>31224</x:v>
      </x:c>
      <x:c r="D172" s="6" t="n">
        <x:v>2767270.5</x:v>
      </x:c>
      <x:c r="E172" s="6" t="n">
        <x:v>2174380.5969999996</x:v>
      </x:c>
      <x:c r="F172" s="6" t="n">
        <x:v>80170.9809076923</x:v>
      </x:c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1" customHeight="1">
      <x:c r="A173" s="5" t="n">
        <x:v>43961</x:v>
      </x:c>
      <x:c r="B173" s="1" t="str">
        <x:v>Москва Восток</x:v>
      </x:c>
      <x:c r="C173" s="1" t="n">
        <x:v>231559.5</x:v>
      </x:c>
      <x:c r="D173" s="6" t="n">
        <x:v>23443725</x:v>
      </x:c>
      <x:c r="E173" s="6" t="n">
        <x:v>17121204.866</x:v>
      </x:c>
      <x:c r="F173" s="6" t="n">
        <x:v>269535.7253846154</x:v>
      </x:c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1" customHeight="1">
      <x:c r="A174" s="5" t="n">
        <x:v>43961</x:v>
      </x:c>
      <x:c r="B174" s="1" t="str">
        <x:v>Москва Запад</x:v>
      </x:c>
      <x:c r="C174" s="1" t="n">
        <x:v>243825</x:v>
      </x:c>
      <x:c r="D174" s="6" t="n">
        <x:v>24890404.5</x:v>
      </x:c>
      <x:c r="E174" s="6" t="n">
        <x:v>18159589.108</x:v>
      </x:c>
      <x:c r="F174" s="6" t="n">
        <x:v>258558.49999999997</x:v>
      </x:c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1" customHeight="1">
      <x:c r="A175" s="5" t="n">
        <x:v>43961</x:v>
      </x:c>
      <x:c r="B175" s="1" t="str">
        <x:v>Нижний Новгород</x:v>
      </x:c>
      <x:c r="C175" s="1" t="n">
        <x:v>31399.5</x:v>
      </x:c>
      <x:c r="D175" s="6" t="n">
        <x:v>2862298.5</x:v>
      </x:c>
      <x:c r="E175" s="6" t="n">
        <x:v>2267667.519</x:v>
      </x:c>
      <x:c r="F175" s="6" t="n">
        <x:v>169650.86923076923</x:v>
      </x:c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1" customHeight="1">
      <x:c r="A176" s="5" t="n">
        <x:v>43961</x:v>
      </x:c>
      <x:c r="B176" s="1" t="str">
        <x:v>Новосибирск</x:v>
      </x:c>
      <x:c r="C176" s="1" t="n">
        <x:v>14566.5</x:v>
      </x:c>
      <x:c r="D176" s="6" t="n">
        <x:v>1216557</x:v>
      </x:c>
      <x:c r="E176" s="6" t="n">
        <x:v>1013050.3829999999</x:v>
      </x:c>
      <x:c r="F176" s="6" t="n">
        <x:v>102510.4018923077</x:v>
      </x:c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1" customHeight="1">
      <x:c r="A177" s="5" t="n">
        <x:v>43961</x:v>
      </x:c>
      <x:c r="B177" s="1" t="str">
        <x:v>Пермь</x:v>
      </x:c>
      <x:c r="C177" s="1" t="n">
        <x:v>16435.5</x:v>
      </x:c>
      <x:c r="D177" s="6" t="n">
        <x:v>1471537.5</x:v>
      </x:c>
      <x:c r="E177" s="6" t="n">
        <x:v>1176721.164</x:v>
      </x:c>
      <x:c r="F177" s="6" t="n">
        <x:v>252262.82307692306</x:v>
      </x:c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1" customHeight="1">
      <x:c r="A178" s="5" t="n">
        <x:v>43961</x:v>
      </x:c>
      <x:c r="B178" s="1" t="str">
        <x:v>Ростов-на-Дону</x:v>
      </x:c>
      <x:c r="C178" s="1" t="n">
        <x:v>13440</x:v>
      </x:c>
      <x:c r="D178" s="6" t="n">
        <x:v>1198285.5</x:v>
      </x:c>
      <x:c r="E178" s="6" t="n">
        <x:v>1018063.802</x:v>
      </x:c>
      <x:c r="F178" s="6" t="n">
        <x:v>178012.59307692308</x:v>
      </x:c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1" customHeight="1">
      <x:c r="A179" s="5" t="n">
        <x:v>43961</x:v>
      </x:c>
      <x:c r="B179" s="1" t="str">
        <x:v>Санкт-Петербург Север</x:v>
      </x:c>
      <x:c r="C179" s="1" t="n">
        <x:v>368649</x:v>
      </x:c>
      <x:c r="D179" s="6" t="n">
        <x:v>39010875</x:v>
      </x:c>
      <x:c r="E179" s="6" t="n">
        <x:v>28090230.959</x:v>
      </x:c>
      <x:c r="F179" s="6" t="n">
        <x:v>532663.1615384615</x:v>
      </x:c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1" customHeight="1">
      <x:c r="A180" s="5" t="n">
        <x:v>43961</x:v>
      </x:c>
      <x:c r="B180" s="1" t="str">
        <x:v>Санкт-Петербург Юг</x:v>
      </x:c>
      <x:c r="C180" s="1" t="n">
        <x:v>287206.5</x:v>
      </x:c>
      <x:c r="D180" s="6" t="n">
        <x:v>29536176.10605</x:v>
      </x:c>
      <x:c r="E180" s="6" t="n">
        <x:v>21276357.106</x:v>
      </x:c>
      <x:c r="F180" s="6" t="n">
        <x:v>541588.8935615384</x:v>
      </x:c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1" customHeight="1">
      <x:c r="A181" s="5" t="n">
        <x:v>43961</x:v>
      </x:c>
      <x:c r="B181" s="1" t="str">
        <x:v>Тольятти</x:v>
      </x:c>
      <x:c r="C181" s="1" t="n">
        <x:v>12918</x:v>
      </x:c>
      <x:c r="D181" s="6" t="n">
        <x:v>1004788.5</x:v>
      </x:c>
      <x:c r="E181" s="6" t="n">
        <x:v>896111.803</x:v>
      </x:c>
      <x:c r="F181" s="6" t="n">
        <x:v>99729.92307692306</x:v>
      </x:c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1" customHeight="1">
      <x:c r="A182" s="5" t="n">
        <x:v>43962</x:v>
      </x:c>
      <x:c r="B182" s="1" t="str">
        <x:v>Волгоград</x:v>
      </x:c>
      <x:c r="C182" s="1" t="n">
        <x:v>59574</x:v>
      </x:c>
      <x:c r="D182" s="6" t="n">
        <x:v>5178169.5</x:v>
      </x:c>
      <x:c r="E182" s="6" t="n">
        <x:v>3929032.265</x:v>
      </x:c>
      <x:c r="F182" s="6" t="n">
        <x:v>208822.3307692308</x:v>
      </x:c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1" customHeight="1">
      <x:c r="A183" s="5" t="n">
        <x:v>43962</x:v>
      </x:c>
      <x:c r="B183" s="1" t="str">
        <x:v>Екатеринбург</x:v>
      </x:c>
      <x:c r="C183" s="1" t="n">
        <x:v>72220.5</x:v>
      </x:c>
      <x:c r="D183" s="6" t="n">
        <x:v>6398719.5</x:v>
      </x:c>
      <x:c r="E183" s="6" t="n">
        <x:v>4782829.606000001</x:v>
      </x:c>
      <x:c r="F183" s="6" t="n">
        <x:v>186502.14615384614</x:v>
      </x:c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1" customHeight="1">
      <x:c r="A184" s="5" t="n">
        <x:v>43962</x:v>
      </x:c>
      <x:c r="B184" s="1" t="str">
        <x:v>Казань</x:v>
      </x:c>
      <x:c r="C184" s="1" t="n">
        <x:v>32733</x:v>
      </x:c>
      <x:c r="D184" s="6" t="n">
        <x:v>3079630.5</x:v>
      </x:c>
      <x:c r="E184" s="6" t="n">
        <x:v>2364369.401</x:v>
      </x:c>
      <x:c r="F184" s="6" t="n">
        <x:v>281373.5702153846</x:v>
      </x:c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1" customHeight="1">
      <x:c r="A185" s="5" t="n">
        <x:v>43962</x:v>
      </x:c>
      <x:c r="B185" s="1" t="str">
        <x:v>Кемерово</x:v>
      </x:c>
      <x:c r="C185" s="1" t="n">
        <x:v>27187.5</x:v>
      </x:c>
      <x:c r="D185" s="6" t="n">
        <x:v>2479396.5</x:v>
      </x:c>
      <x:c r="E185" s="6" t="n">
        <x:v>1950422.9030000002</x:v>
      </x:c>
      <x:c r="F185" s="6" t="n">
        <x:v>381635.95355384616</x:v>
      </x:c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1" customHeight="1">
      <x:c r="A186" s="5" t="n">
        <x:v>43962</x:v>
      </x:c>
      <x:c r="B186" s="1" t="str">
        <x:v>Краснодар</x:v>
      </x:c>
      <x:c r="C186" s="1" t="n">
        <x:v>23629.5</x:v>
      </x:c>
      <x:c r="D186" s="6" t="n">
        <x:v>2164365</x:v>
      </x:c>
      <x:c r="E186" s="6" t="n">
        <x:v>1678039.859</x:v>
      </x:c>
      <x:c r="F186" s="6" t="n">
        <x:v>151098.71538461538</x:v>
      </x:c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1" customHeight="1">
      <x:c r="A187" s="5" t="n">
        <x:v>43962</x:v>
      </x:c>
      <x:c r="B187" s="1" t="str">
        <x:v>Москва Восток</x:v>
      </x:c>
      <x:c r="C187" s="1" t="n">
        <x:v>166948.5</x:v>
      </x:c>
      <x:c r="D187" s="6" t="n">
        <x:v>16971231</x:v>
      </x:c>
      <x:c r="E187" s="6" t="n">
        <x:v>12200989.641</x:v>
      </x:c>
      <x:c r="F187" s="6" t="n">
        <x:v>416475.0769230769</x:v>
      </x:c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1" customHeight="1">
      <x:c r="A188" s="5" t="n">
        <x:v>43962</x:v>
      </x:c>
      <x:c r="B188" s="1" t="str">
        <x:v>Москва Запад</x:v>
      </x:c>
      <x:c r="C188" s="1" t="n">
        <x:v>175293</x:v>
      </x:c>
      <x:c r="D188" s="6" t="n">
        <x:v>17919144</x:v>
      </x:c>
      <x:c r="E188" s="6" t="n">
        <x:v>12903628.609</x:v>
      </x:c>
      <x:c r="F188" s="6" t="n">
        <x:v>355401.6076923077</x:v>
      </x:c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1" customHeight="1">
      <x:c r="A189" s="5" t="n">
        <x:v>43962</x:v>
      </x:c>
      <x:c r="B189" s="1" t="str">
        <x:v>Нижний Новгород</x:v>
      </x:c>
      <x:c r="C189" s="1" t="n">
        <x:v>42397.5</x:v>
      </x:c>
      <x:c r="D189" s="6" t="n">
        <x:v>3911979</x:v>
      </x:c>
      <x:c r="E189" s="6" t="n">
        <x:v>3086459.8370000003</x:v>
      </x:c>
      <x:c r="F189" s="6" t="n">
        <x:v>164514.63076923075</x:v>
      </x:c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1" customHeight="1">
      <x:c r="A190" s="5" t="n">
        <x:v>43962</x:v>
      </x:c>
      <x:c r="B190" s="1" t="str">
        <x:v>Новосибирск</x:v>
      </x:c>
      <x:c r="C190" s="1" t="n">
        <x:v>10941</x:v>
      </x:c>
      <x:c r="D190" s="6" t="n">
        <x:v>880356</x:v>
      </x:c>
      <x:c r="E190" s="6" t="n">
        <x:v>723289.055</x:v>
      </x:c>
      <x:c r="F190" s="6" t="n">
        <x:v>166333.5736307692</x:v>
      </x:c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1" customHeight="1">
      <x:c r="A191" s="5" t="n">
        <x:v>43962</x:v>
      </x:c>
      <x:c r="B191" s="1" t="str">
        <x:v>Пермь</x:v>
      </x:c>
      <x:c r="C191" s="1" t="n">
        <x:v>12238.5</x:v>
      </x:c>
      <x:c r="D191" s="6" t="n">
        <x:v>1096002</x:v>
      </x:c>
      <x:c r="E191" s="6" t="n">
        <x:v>872395.086</x:v>
      </x:c>
      <x:c r="F191" s="6" t="n">
        <x:v>218895.4076923077</x:v>
      </x:c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1" customHeight="1">
      <x:c r="A192" s="5" t="n">
        <x:v>43962</x:v>
      </x:c>
      <x:c r="B192" s="1" t="str">
        <x:v>Ростов-на-Дону</x:v>
      </x:c>
      <x:c r="C192" s="1" t="n">
        <x:v>12654</x:v>
      </x:c>
      <x:c r="D192" s="6" t="n">
        <x:v>1081158</x:v>
      </x:c>
      <x:c r="E192" s="6" t="n">
        <x:v>927698.8229999999</x:v>
      </x:c>
      <x:c r="F192" s="6" t="n">
        <x:v>197299.08136923076</x:v>
      </x:c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1" customHeight="1">
      <x:c r="A193" s="5" t="n">
        <x:v>43962</x:v>
      </x:c>
      <x:c r="B193" s="1" t="str">
        <x:v>Санкт-Петербург Север</x:v>
      </x:c>
      <x:c r="C193" s="1" t="n">
        <x:v>318565.5</x:v>
      </x:c>
      <x:c r="D193" s="6" t="n">
        <x:v>33781581</x:v>
      </x:c>
      <x:c r="E193" s="6" t="n">
        <x:v>24232690.171</x:v>
      </x:c>
      <x:c r="F193" s="6" t="n">
        <x:v>605833.7657076922</x:v>
      </x:c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1" customHeight="1">
      <x:c r="A194" s="5" t="n">
        <x:v>43962</x:v>
      </x:c>
      <x:c r="B194" s="1" t="str">
        <x:v>Санкт-Петербург Юг</x:v>
      </x:c>
      <x:c r="C194" s="1" t="n">
        <x:v>237099</x:v>
      </x:c>
      <x:c r="D194" s="6" t="n">
        <x:v>24628233.22395</x:v>
      </x:c>
      <x:c r="E194" s="6" t="n">
        <x:v>17679930.47</x:v>
      </x:c>
      <x:c r="F194" s="6" t="n">
        <x:v>622499.3303153847</x:v>
      </x:c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1" customHeight="1">
      <x:c r="A195" s="5" t="n">
        <x:v>43962</x:v>
      </x:c>
      <x:c r="B195" s="1" t="str">
        <x:v>Тольятти</x:v>
      </x:c>
      <x:c r="C195" s="1" t="n">
        <x:v>9007.5</x:v>
      </x:c>
      <x:c r="D195" s="6" t="n">
        <x:v>734335.5</x:v>
      </x:c>
      <x:c r="E195" s="6" t="n">
        <x:v>622482.404</x:v>
      </x:c>
      <x:c r="F195" s="6" t="n">
        <x:v>113093.66153846154</x:v>
      </x:c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1" customHeight="1">
      <x:c r="A196" s="5" t="n">
        <x:v>43963</x:v>
      </x:c>
      <x:c r="B196" s="1" t="str">
        <x:v>Волгоград</x:v>
      </x:c>
      <x:c r="C196" s="1" t="n">
        <x:v>64390.5</x:v>
      </x:c>
      <x:c r="D196" s="6" t="n">
        <x:v>5523145.5</x:v>
      </x:c>
      <x:c r="E196" s="6" t="n">
        <x:v>4230689.2069999995</x:v>
      </x:c>
      <x:c r="F196" s="6" t="n">
        <x:v>183154.05167692306</x:v>
      </x:c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1" customHeight="1">
      <x:c r="A197" s="5" t="n">
        <x:v>43963</x:v>
      </x:c>
      <x:c r="B197" s="1" t="str">
        <x:v>Екатеринбург</x:v>
      </x:c>
      <x:c r="C197" s="1" t="n">
        <x:v>71520</x:v>
      </x:c>
      <x:c r="D197" s="6" t="n">
        <x:v>6398361</x:v>
      </x:c>
      <x:c r="E197" s="6" t="n">
        <x:v>4793096.143999999</x:v>
      </x:c>
      <x:c r="F197" s="6" t="n">
        <x:v>181432.06769230767</x:v>
      </x:c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1" customHeight="1">
      <x:c r="A198" s="5" t="n">
        <x:v>43963</x:v>
      </x:c>
      <x:c r="B198" s="1" t="str">
        <x:v>Казань</x:v>
      </x:c>
      <x:c r="C198" s="1" t="n">
        <x:v>32419.5</x:v>
      </x:c>
      <x:c r="D198" s="6" t="n">
        <x:v>3080614.5</x:v>
      </x:c>
      <x:c r="E198" s="6" t="n">
        <x:v>2363955.7909999997</x:v>
      </x:c>
      <x:c r="F198" s="6" t="n">
        <x:v>200042.36143846155</x:v>
      </x:c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1" customHeight="1">
      <x:c r="A199" s="5" t="n">
        <x:v>43963</x:v>
      </x:c>
      <x:c r="B199" s="1" t="str">
        <x:v>Кемерово</x:v>
      </x:c>
      <x:c r="C199" s="1" t="n">
        <x:v>28219.5</x:v>
      </x:c>
      <x:c r="D199" s="6" t="n">
        <x:v>2595778.5</x:v>
      </x:c>
      <x:c r="E199" s="6" t="n">
        <x:v>2050101.9780000001</x:v>
      </x:c>
      <x:c r="F199" s="6" t="n">
        <x:v>309760.3357307692</x:v>
      </x:c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1" customHeight="1">
      <x:c r="A200" s="5" t="n">
        <x:v>43963</x:v>
      </x:c>
      <x:c r="B200" s="1" t="str">
        <x:v>Краснодар</x:v>
      </x:c>
      <x:c r="C200" s="1" t="n">
        <x:v>25483.5</x:v>
      </x:c>
      <x:c r="D200" s="6" t="n">
        <x:v>2243160</x:v>
      </x:c>
      <x:c r="E200" s="6" t="n">
        <x:v>1757185.7729999998</x:v>
      </x:c>
      <x:c r="F200" s="6" t="n">
        <x:v>114933.5923076923</x:v>
      </x:c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1" customHeight="1">
      <x:c r="A201" s="5" t="n">
        <x:v>43963</x:v>
      </x:c>
      <x:c r="B201" s="1" t="str">
        <x:v>Москва Восток</x:v>
      </x:c>
      <x:c r="C201" s="1" t="n">
        <x:v>189679.5</x:v>
      </x:c>
      <x:c r="D201" s="6" t="n">
        <x:v>18718036.5</x:v>
      </x:c>
      <x:c r="E201" s="6" t="n">
        <x:v>13500671.991999999</x:v>
      </x:c>
      <x:c r="F201" s="6" t="n">
        <x:v>344959.87384615385</x:v>
      </x:c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1" customHeight="1">
      <x:c r="A202" s="5" t="n">
        <x:v>43963</x:v>
      </x:c>
      <x:c r="B202" s="1" t="str">
        <x:v>Москва Запад</x:v>
      </x:c>
      <x:c r="C202" s="1" t="n">
        <x:v>192886.5</x:v>
      </x:c>
      <x:c r="D202" s="6" t="n">
        <x:v>19205179.5</x:v>
      </x:c>
      <x:c r="E202" s="6" t="n">
        <x:v>13834210.462</x:v>
      </x:c>
      <x:c r="F202" s="6" t="n">
        <x:v>383344.65076923074</x:v>
      </x:c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1" customHeight="1">
      <x:c r="A203" s="5" t="n">
        <x:v>43963</x:v>
      </x:c>
      <x:c r="B203" s="1" t="str">
        <x:v>Нижний Новгород</x:v>
      </x:c>
      <x:c r="C203" s="1" t="n">
        <x:v>26032.5</x:v>
      </x:c>
      <x:c r="D203" s="6" t="n">
        <x:v>2370432</x:v>
      </x:c>
      <x:c r="E203" s="6" t="n">
        <x:v>1847737.837</x:v>
      </x:c>
      <x:c r="F203" s="6" t="n">
        <x:v>141864.00329999998</x:v>
      </x:c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1" customHeight="1">
      <x:c r="A204" s="5" t="n">
        <x:v>43963</x:v>
      </x:c>
      <x:c r="B204" s="1" t="str">
        <x:v>Новосибирск</x:v>
      </x:c>
      <x:c r="C204" s="1" t="n">
        <x:v>13443</x:v>
      </x:c>
      <x:c r="D204" s="6" t="n">
        <x:v>1092277.5</x:v>
      </x:c>
      <x:c r="E204" s="6" t="n">
        <x:v>921493.483</x:v>
      </x:c>
      <x:c r="F204" s="6" t="n">
        <x:v>218151.6</x:v>
      </x:c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1" customHeight="1">
      <x:c r="A205" s="5" t="n">
        <x:v>43963</x:v>
      </x:c>
      <x:c r="B205" s="1" t="str">
        <x:v>Пермь</x:v>
      </x:c>
      <x:c r="C205" s="1" t="n">
        <x:v>12802.5</x:v>
      </x:c>
      <x:c r="D205" s="6" t="n">
        <x:v>1123830</x:v>
      </x:c>
      <x:c r="E205" s="6" t="n">
        <x:v>914932.571</x:v>
      </x:c>
      <x:c r="F205" s="6" t="n">
        <x:v>284287.79007692303</x:v>
      </x:c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1" customHeight="1">
      <x:c r="A206" s="5" t="n">
        <x:v>43963</x:v>
      </x:c>
      <x:c r="B206" s="1" t="str">
        <x:v>Ростов-на-Дону</x:v>
      </x:c>
      <x:c r="C206" s="1" t="n">
        <x:v>11296.5</x:v>
      </x:c>
      <x:c r="D206" s="6" t="n">
        <x:v>989632.5</x:v>
      </x:c>
      <x:c r="E206" s="6" t="n">
        <x:v>829947.412</x:v>
      </x:c>
      <x:c r="F206" s="6" t="n">
        <x:v>196319.5046923077</x:v>
      </x:c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1" customHeight="1">
      <x:c r="A207" s="5" t="n">
        <x:v>43963</x:v>
      </x:c>
      <x:c r="B207" s="1" t="str">
        <x:v>Санкт-Петербург Север</x:v>
      </x:c>
      <x:c r="C207" s="1" t="n">
        <x:v>373392</x:v>
      </x:c>
      <x:c r="D207" s="6" t="n">
        <x:v>39578577</x:v>
      </x:c>
      <x:c r="E207" s="6" t="n">
        <x:v>28453665.595</x:v>
      </x:c>
      <x:c r="F207" s="6" t="n">
        <x:v>535419.8979692308</x:v>
      </x:c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1" customHeight="1">
      <x:c r="A208" s="5" t="n">
        <x:v>43963</x:v>
      </x:c>
      <x:c r="B208" s="1" t="str">
        <x:v>Санкт-Петербург Юг</x:v>
      </x:c>
      <x:c r="C208" s="1" t="n">
        <x:v>281796</x:v>
      </x:c>
      <x:c r="D208" s="6" t="n">
        <x:v>29042520</x:v>
      </x:c>
      <x:c r="E208" s="6" t="n">
        <x:v>20980503.505</x:v>
      </x:c>
      <x:c r="F208" s="6" t="n">
        <x:v>776209.0316999999</x:v>
      </x:c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1" customHeight="1">
      <x:c r="A209" s="5" t="n">
        <x:v>43963</x:v>
      </x:c>
      <x:c r="B209" s="1" t="str">
        <x:v>Тольятти</x:v>
      </x:c>
      <x:c r="C209" s="1" t="n">
        <x:v>9328.5</x:v>
      </x:c>
      <x:c r="D209" s="6" t="n">
        <x:v>732964.5</x:v>
      </x:c>
      <x:c r="E209" s="6" t="n">
        <x:v>634517.673</x:v>
      </x:c>
      <x:c r="F209" s="6" t="n">
        <x:v>136157.9836153846</x:v>
      </x:c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1" customHeight="1">
      <x:c r="A210" s="5" t="n">
        <x:v>43964</x:v>
      </x:c>
      <x:c r="B210" s="1" t="str">
        <x:v>Волгоград</x:v>
      </x:c>
      <x:c r="C210" s="1" t="n">
        <x:v>73062</x:v>
      </x:c>
      <x:c r="D210" s="6" t="n">
        <x:v>6333828</x:v>
      </x:c>
      <x:c r="E210" s="6" t="n">
        <x:v>4890619.262</x:v>
      </x:c>
      <x:c r="F210" s="6" t="n">
        <x:v>181964.6876923077</x:v>
      </x:c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1" customHeight="1">
      <x:c r="A211" s="5" t="n">
        <x:v>43964</x:v>
      </x:c>
      <x:c r="B211" s="1" t="str">
        <x:v>Екатеринбург</x:v>
      </x:c>
      <x:c r="C211" s="1" t="n">
        <x:v>78846</x:v>
      </x:c>
      <x:c r="D211" s="6" t="n">
        <x:v>6993952.5</x:v>
      </x:c>
      <x:c r="E211" s="6" t="n">
        <x:v>5288518.779999999</x:v>
      </x:c>
      <x:c r="F211" s="6" t="n">
        <x:v>227969.01538461537</x:v>
      </x:c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1" customHeight="1">
      <x:c r="A212" s="5" t="n">
        <x:v>43964</x:v>
      </x:c>
      <x:c r="B212" s="1" t="str">
        <x:v>Казань</x:v>
      </x:c>
      <x:c r="C212" s="1" t="n">
        <x:v>35535</x:v>
      </x:c>
      <x:c r="D212" s="6" t="n">
        <x:v>3288069</x:v>
      </x:c>
      <x:c r="E212" s="6" t="n">
        <x:v>2580984.03</x:v>
      </x:c>
      <x:c r="F212" s="6" t="n">
        <x:v>208081.82515384615</x:v>
      </x:c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1" customHeight="1">
      <x:c r="A213" s="5" t="n">
        <x:v>43964</x:v>
      </x:c>
      <x:c r="B213" s="1" t="str">
        <x:v>Кемерово</x:v>
      </x:c>
      <x:c r="C213" s="1" t="n">
        <x:v>29241</x:v>
      </x:c>
      <x:c r="D213" s="6" t="n">
        <x:v>2629782</x:v>
      </x:c>
      <x:c r="E213" s="6" t="n">
        <x:v>2071714.724</x:v>
      </x:c>
      <x:c r="F213" s="6" t="n">
        <x:v>361201.8010384615</x:v>
      </x:c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1" customHeight="1">
      <x:c r="A214" s="5" t="n">
        <x:v>43964</x:v>
      </x:c>
      <x:c r="B214" s="1" t="str">
        <x:v>Краснодар</x:v>
      </x:c>
      <x:c r="C214" s="1" t="n">
        <x:v>25539</x:v>
      </x:c>
      <x:c r="D214" s="6" t="n">
        <x:v>2263651.5</x:v>
      </x:c>
      <x:c r="E214" s="6" t="n">
        <x:v>1783039.3049999997</x:v>
      </x:c>
      <x:c r="F214" s="6" t="n">
        <x:v>139331.3192923077</x:v>
      </x:c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1" customHeight="1">
      <x:c r="A215" s="5" t="n">
        <x:v>43964</x:v>
      </x:c>
      <x:c r="B215" s="1" t="str">
        <x:v>Москва Восток</x:v>
      </x:c>
      <x:c r="C215" s="1" t="n">
        <x:v>188662.5</x:v>
      </x:c>
      <x:c r="D215" s="6" t="n">
        <x:v>18784000.5</x:v>
      </x:c>
      <x:c r="E215" s="6" t="n">
        <x:v>13568684.673999999</x:v>
      </x:c>
      <x:c r="F215" s="6" t="n">
        <x:v>349844.3615384615</x:v>
      </x:c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1" customHeight="1">
      <x:c r="A216" s="5" t="n">
        <x:v>43964</x:v>
      </x:c>
      <x:c r="B216" s="1" t="str">
        <x:v>Москва Запад</x:v>
      </x:c>
      <x:c r="C216" s="1" t="n">
        <x:v>193722</x:v>
      </x:c>
      <x:c r="D216" s="6" t="n">
        <x:v>19437273</x:v>
      </x:c>
      <x:c r="E216" s="6" t="n">
        <x:v>13979092.230999999</x:v>
      </x:c>
      <x:c r="F216" s="6" t="n">
        <x:v>418713.96153846156</x:v>
      </x:c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1" customHeight="1">
      <x:c r="A217" s="5" t="n">
        <x:v>43964</x:v>
      </x:c>
      <x:c r="B217" s="1" t="str">
        <x:v>Нижний Новгород</x:v>
      </x:c>
      <x:c r="C217" s="1" t="n">
        <x:v>26464.5</x:v>
      </x:c>
      <x:c r="D217" s="6" t="n">
        <x:v>2373337.5</x:v>
      </x:c>
      <x:c r="E217" s="6" t="n">
        <x:v>1886244.741</x:v>
      </x:c>
      <x:c r="F217" s="6" t="n">
        <x:v>207105.15935384613</x:v>
      </x:c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1" customHeight="1">
      <x:c r="A218" s="5" t="n">
        <x:v>43964</x:v>
      </x:c>
      <x:c r="B218" s="1" t="str">
        <x:v>Новосибирск</x:v>
      </x:c>
      <x:c r="C218" s="1" t="n">
        <x:v>14643</x:v>
      </x:c>
      <x:c r="D218" s="6" t="n">
        <x:v>1172691</x:v>
      </x:c>
      <x:c r="E218" s="6" t="n">
        <x:v>971555.083</x:v>
      </x:c>
      <x:c r="F218" s="6" t="n">
        <x:v>124018.33614615384</x:v>
      </x:c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1" customHeight="1">
      <x:c r="A219" s="5" t="n">
        <x:v>43964</x:v>
      </x:c>
      <x:c r="B219" s="1" t="str">
        <x:v>Пермь</x:v>
      </x:c>
      <x:c r="C219" s="1" t="n">
        <x:v>14305.5</x:v>
      </x:c>
      <x:c r="D219" s="6" t="n">
        <x:v>1243507.5</x:v>
      </x:c>
      <x:c r="E219" s="6" t="n">
        <x:v>987216.7409999999</x:v>
      </x:c>
      <x:c r="F219" s="6" t="n">
        <x:v>233030.6</x:v>
      </x:c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1" customHeight="1">
      <x:c r="A220" s="5" t="n">
        <x:v>43964</x:v>
      </x:c>
      <x:c r="B220" s="1" t="str">
        <x:v>Ростов-на-Дону</x:v>
      </x:c>
      <x:c r="C220" s="1" t="n">
        <x:v>10401</x:v>
      </x:c>
      <x:c r="D220" s="6" t="n">
        <x:v>949912.5</x:v>
      </x:c>
      <x:c r="E220" s="6" t="n">
        <x:v>785961.289</x:v>
      </x:c>
      <x:c r="F220" s="6" t="n">
        <x:v>253438.94004615385</x:v>
      </x:c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1" customHeight="1">
      <x:c r="A221" s="5" t="n">
        <x:v>43964</x:v>
      </x:c>
      <x:c r="B221" s="1" t="str">
        <x:v>Санкт-Петербург Север</x:v>
      </x:c>
      <x:c r="C221" s="1" t="n">
        <x:v>350068.5</x:v>
      </x:c>
      <x:c r="D221" s="6" t="n">
        <x:v>37197115.5</x:v>
      </x:c>
      <x:c r="E221" s="6" t="n">
        <x:v>26793668.158999998</x:v>
      </x:c>
      <x:c r="F221" s="6" t="n">
        <x:v>582815.3615384615</x:v>
      </x:c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1" customHeight="1">
      <x:c r="A222" s="5" t="n">
        <x:v>43964</x:v>
      </x:c>
      <x:c r="B222" s="1" t="str">
        <x:v>Санкт-Петербург Юг</x:v>
      </x:c>
      <x:c r="C222" s="1" t="n">
        <x:v>258459</x:v>
      </x:c>
      <x:c r="D222" s="6" t="n">
        <x:v>26467453.5</x:v>
      </x:c>
      <x:c r="E222" s="6" t="n">
        <x:v>19153152.527</x:v>
      </x:c>
      <x:c r="F222" s="6" t="n">
        <x:v>636197.2334076923</x:v>
      </x:c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1" customHeight="1">
      <x:c r="A223" s="5" t="n">
        <x:v>43964</x:v>
      </x:c>
      <x:c r="B223" s="1" t="str">
        <x:v>Тольятти</x:v>
      </x:c>
      <x:c r="C223" s="1" t="n">
        <x:v>11202</x:v>
      </x:c>
      <x:c r="D223" s="6" t="n">
        <x:v>865714.5</x:v>
      </x:c>
      <x:c r="E223" s="6" t="n">
        <x:v>799644.759</x:v>
      </x:c>
      <x:c r="F223" s="6" t="n">
        <x:v>111860.49372307691</x:v>
      </x:c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1" customHeight="1">
      <x:c r="A224" s="5" t="n">
        <x:v>43965</x:v>
      </x:c>
      <x:c r="B224" s="1" t="str">
        <x:v>Волгоград</x:v>
      </x:c>
      <x:c r="C224" s="1" t="n">
        <x:v>63645</x:v>
      </x:c>
      <x:c r="D224" s="6" t="n">
        <x:v>5366602.5</x:v>
      </x:c>
      <x:c r="E224" s="6" t="n">
        <x:v>4245727.339</x:v>
      </x:c>
      <x:c r="F224" s="6" t="n">
        <x:v>137701.4149</x:v>
      </x:c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1" customHeight="1">
      <x:c r="A225" s="5" t="n">
        <x:v>43965</x:v>
      </x:c>
      <x:c r="B225" s="1" t="str">
        <x:v>Екатеринбург</x:v>
      </x:c>
      <x:c r="C225" s="1" t="n">
        <x:v>70498.5</x:v>
      </x:c>
      <x:c r="D225" s="6" t="n">
        <x:v>6053649</x:v>
      </x:c>
      <x:c r="E225" s="6" t="n">
        <x:v>4580254.154999999</x:v>
      </x:c>
      <x:c r="F225" s="6" t="n">
        <x:v>131801.93944615382</x:v>
      </x:c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1" customHeight="1">
      <x:c r="A226" s="5" t="n">
        <x:v>43965</x:v>
      </x:c>
      <x:c r="B226" s="1" t="str">
        <x:v>Казань</x:v>
      </x:c>
      <x:c r="C226" s="1" t="n">
        <x:v>33886.5</x:v>
      </x:c>
      <x:c r="D226" s="6" t="n">
        <x:v>3166479</x:v>
      </x:c>
      <x:c r="E226" s="6" t="n">
        <x:v>2522496.074</x:v>
      </x:c>
      <x:c r="F226" s="6" t="n">
        <x:v>156584.5876923077</x:v>
      </x:c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1" customHeight="1">
      <x:c r="A227" s="5" t="n">
        <x:v>43965</x:v>
      </x:c>
      <x:c r="B227" s="1" t="str">
        <x:v>Кемерово</x:v>
      </x:c>
      <x:c r="C227" s="1" t="n">
        <x:v>29658</x:v>
      </x:c>
      <x:c r="D227" s="6" t="n">
        <x:v>2703132</x:v>
      </x:c>
      <x:c r="E227" s="6" t="n">
        <x:v>2160539.996</x:v>
      </x:c>
      <x:c r="F227" s="6" t="n">
        <x:v>312856.1615384615</x:v>
      </x:c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1" customHeight="1">
      <x:c r="A228" s="5" t="n">
        <x:v>43965</x:v>
      </x:c>
      <x:c r="B228" s="1" t="str">
        <x:v>Краснодар</x:v>
      </x:c>
      <x:c r="C228" s="1" t="n">
        <x:v>25656</x:v>
      </x:c>
      <x:c r="D228" s="6" t="n">
        <x:v>2225341.5</x:v>
      </x:c>
      <x:c r="E228" s="6" t="n">
        <x:v>1766450.28</x:v>
      </x:c>
      <x:c r="F228" s="6" t="n">
        <x:v>91828.48910769231</x:v>
      </x:c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1" customHeight="1">
      <x:c r="A229" s="5" t="n">
        <x:v>43965</x:v>
      </x:c>
      <x:c r="B229" s="1" t="str">
        <x:v>Москва Восток</x:v>
      </x:c>
      <x:c r="C229" s="1" t="n">
        <x:v>186496.5</x:v>
      </x:c>
      <x:c r="D229" s="6" t="n">
        <x:v>18640998</x:v>
      </x:c>
      <x:c r="E229" s="6" t="n">
        <x:v>13641908.621</x:v>
      </x:c>
      <x:c r="F229" s="6" t="n">
        <x:v>364896.93846153846</x:v>
      </x:c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1" customHeight="1">
      <x:c r="A230" s="5" t="n">
        <x:v>43965</x:v>
      </x:c>
      <x:c r="B230" s="1" t="str">
        <x:v>Москва Запад</x:v>
      </x:c>
      <x:c r="C230" s="1" t="n">
        <x:v>197946</x:v>
      </x:c>
      <x:c r="D230" s="6" t="n">
        <x:v>19942435.5</x:v>
      </x:c>
      <x:c r="E230" s="6" t="n">
        <x:v>14561721.772999998</x:v>
      </x:c>
      <x:c r="F230" s="6" t="n">
        <x:v>363750.5569230769</x:v>
      </x:c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1" customHeight="1">
      <x:c r="A231" s="5" t="n">
        <x:v>43965</x:v>
      </x:c>
      <x:c r="B231" s="1" t="str">
        <x:v>Нижний Новгород</x:v>
      </x:c>
      <x:c r="C231" s="1" t="n">
        <x:v>27411</x:v>
      </x:c>
      <x:c r="D231" s="6" t="n">
        <x:v>2441520</x:v>
      </x:c>
      <x:c r="E231" s="6" t="n">
        <x:v>1933378.3459999997</x:v>
      </x:c>
      <x:c r="F231" s="6" t="n">
        <x:v>141658.27661538462</x:v>
      </x:c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1" customHeight="1">
      <x:c r="A232" s="5" t="n">
        <x:v>43965</x:v>
      </x:c>
      <x:c r="B232" s="1" t="str">
        <x:v>Новосибирск</x:v>
      </x:c>
      <x:c r="C232" s="1" t="n">
        <x:v>13810.5</x:v>
      </x:c>
      <x:c r="D232" s="6" t="n">
        <x:v>1131676.5</x:v>
      </x:c>
      <x:c r="E232" s="6" t="n">
        <x:v>966968.6359999999</x:v>
      </x:c>
      <x:c r="F232" s="6" t="n">
        <x:v>195740.02307692307</x:v>
      </x:c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1" customHeight="1">
      <x:c r="A233" s="5" t="n">
        <x:v>43965</x:v>
      </x:c>
      <x:c r="B233" s="1" t="str">
        <x:v>Пермь</x:v>
      </x:c>
      <x:c r="C233" s="1" t="n">
        <x:v>14385</x:v>
      </x:c>
      <x:c r="D233" s="6" t="n">
        <x:v>1223491.5</x:v>
      </x:c>
      <x:c r="E233" s="6" t="n">
        <x:v>977925.731</x:v>
      </x:c>
      <x:c r="F233" s="6" t="n">
        <x:v>285708.40769230766</x:v>
      </x:c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1" customHeight="1">
      <x:c r="A234" s="5" t="n">
        <x:v>43965</x:v>
      </x:c>
      <x:c r="B234" s="1" t="str">
        <x:v>Ростов-на-Дону</x:v>
      </x:c>
      <x:c r="C234" s="1" t="n">
        <x:v>11161.5</x:v>
      </x:c>
      <x:c r="D234" s="6" t="n">
        <x:v>963502.5</x:v>
      </x:c>
      <x:c r="E234" s="6" t="n">
        <x:v>812962.6780000001</x:v>
      </x:c>
      <x:c r="F234" s="6" t="n">
        <x:v>193118.3230769231</x:v>
      </x:c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1" customHeight="1">
      <x:c r="A235" s="5" t="n">
        <x:v>43965</x:v>
      </x:c>
      <x:c r="B235" s="1" t="str">
        <x:v>Санкт-Петербург Север</x:v>
      </x:c>
      <x:c r="C235" s="1" t="n">
        <x:v>358387.5</x:v>
      </x:c>
      <x:c r="D235" s="6" t="n">
        <x:v>37963150.5</x:v>
      </x:c>
      <x:c r="E235" s="6" t="n">
        <x:v>27483828.209</x:v>
      </x:c>
      <x:c r="F235" s="6" t="n">
        <x:v>506964.83088461537</x:v>
      </x:c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1" customHeight="1">
      <x:c r="A236" s="5" t="n">
        <x:v>43965</x:v>
      </x:c>
      <x:c r="B236" s="1" t="str">
        <x:v>Санкт-Петербург Юг</x:v>
      </x:c>
      <x:c r="C236" s="1" t="n">
        <x:v>274059</x:v>
      </x:c>
      <x:c r="D236" s="6" t="n">
        <x:v>28181292</x:v>
      </x:c>
      <x:c r="E236" s="6" t="n">
        <x:v>20493717.226</x:v>
      </x:c>
      <x:c r="F236" s="6" t="n">
        <x:v>806120.1933307692</x:v>
      </x:c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1" customHeight="1">
      <x:c r="A237" s="5" t="n">
        <x:v>43965</x:v>
      </x:c>
      <x:c r="B237" s="1" t="str">
        <x:v>Тольятти</x:v>
      </x:c>
      <x:c r="C237" s="1" t="n">
        <x:v>12037.5</x:v>
      </x:c>
      <x:c r="D237" s="6" t="n">
        <x:v>981564</x:v>
      </x:c>
      <x:c r="E237" s="6" t="n">
        <x:v>877726.201</x:v>
      </x:c>
      <x:c r="F237" s="6" t="n">
        <x:v>69249.01181538461</x:v>
      </x:c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1" customHeight="1">
      <x:c r="A238" s="5" t="n">
        <x:v>43966</x:v>
      </x:c>
      <x:c r="B238" s="1" t="str">
        <x:v>Волгоград</x:v>
      </x:c>
      <x:c r="C238" s="1" t="n">
        <x:v>75642</x:v>
      </x:c>
      <x:c r="D238" s="6" t="n">
        <x:v>6293952</x:v>
      </x:c>
      <x:c r="E238" s="6" t="n">
        <x:v>5100877.931</x:v>
      </x:c>
      <x:c r="F238" s="6" t="n">
        <x:v>159537.61835384613</x:v>
      </x:c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1" customHeight="1">
      <x:c r="A239" s="5" t="n">
        <x:v>43966</x:v>
      </x:c>
      <x:c r="B239" s="1" t="str">
        <x:v>Екатеринбург</x:v>
      </x:c>
      <x:c r="C239" s="1" t="n">
        <x:v>78961.5</x:v>
      </x:c>
      <x:c r="D239" s="6" t="n">
        <x:v>6876454.5</x:v>
      </x:c>
      <x:c r="E239" s="6" t="n">
        <x:v>5258162.288</x:v>
      </x:c>
      <x:c r="F239" s="6" t="n">
        <x:v>162133.1846153846</x:v>
      </x:c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1" customHeight="1">
      <x:c r="A240" s="5" t="n">
        <x:v>43966</x:v>
      </x:c>
      <x:c r="B240" s="1" t="str">
        <x:v>Казань</x:v>
      </x:c>
      <x:c r="C240" s="1" t="n">
        <x:v>41697</x:v>
      </x:c>
      <x:c r="D240" s="6" t="n">
        <x:v>3772258.5</x:v>
      </x:c>
      <x:c r="E240" s="6" t="n">
        <x:v>3092823.668</x:v>
      </x:c>
      <x:c r="F240" s="6" t="n">
        <x:v>167669.98904615385</x:v>
      </x:c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1" customHeight="1">
      <x:c r="A241" s="5" t="n">
        <x:v>43966</x:v>
      </x:c>
      <x:c r="B241" s="1" t="str">
        <x:v>Кемерово</x:v>
      </x:c>
      <x:c r="C241" s="1" t="n">
        <x:v>34150.5</x:v>
      </x:c>
      <x:c r="D241" s="6" t="n">
        <x:v>3038293.5</x:v>
      </x:c>
      <x:c r="E241" s="6" t="n">
        <x:v>2442084.561</x:v>
      </x:c>
      <x:c r="F241" s="6" t="n">
        <x:v>277257.14947692305</x:v>
      </x:c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1" customHeight="1">
      <x:c r="A242" s="5" t="n">
        <x:v>43966</x:v>
      </x:c>
      <x:c r="B242" s="1" t="str">
        <x:v>Краснодар</x:v>
      </x:c>
      <x:c r="C242" s="1" t="n">
        <x:v>29283</x:v>
      </x:c>
      <x:c r="D242" s="6" t="n">
        <x:v>2477487</x:v>
      </x:c>
      <x:c r="E242" s="6" t="n">
        <x:v>2005719.3469999998</x:v>
      </x:c>
      <x:c r="F242" s="6" t="n">
        <x:v>77264.32873846154</x:v>
      </x:c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1" customHeight="1">
      <x:c r="A243" s="5" t="n">
        <x:v>43966</x:v>
      </x:c>
      <x:c r="B243" s="1" t="str">
        <x:v>Москва Восток</x:v>
      </x:c>
      <x:c r="C243" s="1" t="n">
        <x:v>219772.5</x:v>
      </x:c>
      <x:c r="D243" s="6" t="n">
        <x:v>21895294.5</x:v>
      </x:c>
      <x:c r="E243" s="6" t="n">
        <x:v>16241999.308</x:v>
      </x:c>
      <x:c r="F243" s="6" t="n">
        <x:v>317179.04615384614</x:v>
      </x:c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1" customHeight="1">
      <x:c r="A244" s="5" t="n">
        <x:v>43966</x:v>
      </x:c>
      <x:c r="B244" s="1" t="str">
        <x:v>Москва Запад</x:v>
      </x:c>
      <x:c r="C244" s="1" t="n">
        <x:v>230896.5</x:v>
      </x:c>
      <x:c r="D244" s="6" t="n">
        <x:v>23085222</x:v>
      </x:c>
      <x:c r="E244" s="6" t="n">
        <x:v>17099721.813</x:v>
      </x:c>
      <x:c r="F244" s="6" t="n">
        <x:v>329754.6307692308</x:v>
      </x:c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1" customHeight="1">
      <x:c r="A245" s="5" t="n">
        <x:v>43966</x:v>
      </x:c>
      <x:c r="B245" s="1" t="str">
        <x:v>Нижний Новгород</x:v>
      </x:c>
      <x:c r="C245" s="1" t="n">
        <x:v>32854.5</x:v>
      </x:c>
      <x:c r="D245" s="6" t="n">
        <x:v>2949078</x:v>
      </x:c>
      <x:c r="E245" s="6" t="n">
        <x:v>2391958.463</x:v>
      </x:c>
      <x:c r="F245" s="6" t="n">
        <x:v>129383.86666153846</x:v>
      </x:c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1" customHeight="1">
      <x:c r="A246" s="5" t="n">
        <x:v>43966</x:v>
      </x:c>
      <x:c r="B246" s="1" t="str">
        <x:v>Новосибирск</x:v>
      </x:c>
      <x:c r="C246" s="1" t="n">
        <x:v>13752</x:v>
      </x:c>
      <x:c r="D246" s="6" t="n">
        <x:v>1091040</x:v>
      </x:c>
      <x:c r="E246" s="6" t="n">
        <x:v>898790.646</x:v>
      </x:c>
      <x:c r="F246" s="6" t="n">
        <x:v>149313.46028461537</x:v>
      </x:c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1" customHeight="1">
      <x:c r="A247" s="5" t="n">
        <x:v>43966</x:v>
      </x:c>
      <x:c r="B247" s="1" t="str">
        <x:v>Пермь</x:v>
      </x:c>
      <x:c r="C247" s="1" t="n">
        <x:v>16498.5</x:v>
      </x:c>
      <x:c r="D247" s="6" t="n">
        <x:v>1370482.5</x:v>
      </x:c>
      <x:c r="E247" s="6" t="n">
        <x:v>1095453.123</x:v>
      </x:c>
      <x:c r="F247" s="6" t="n">
        <x:v>250663.8153846154</x:v>
      </x:c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1" customHeight="1">
      <x:c r="A248" s="5" t="n">
        <x:v>43966</x:v>
      </x:c>
      <x:c r="B248" s="1" t="str">
        <x:v>Ростов-на-Дону</x:v>
      </x:c>
      <x:c r="C248" s="1" t="n">
        <x:v>12229.5</x:v>
      </x:c>
      <x:c r="D248" s="6" t="n">
        <x:v>1122730.5</x:v>
      </x:c>
      <x:c r="E248" s="6" t="n">
        <x:v>921566.447</x:v>
      </x:c>
      <x:c r="F248" s="6" t="n">
        <x:v>147588</x:v>
      </x:c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1" customHeight="1">
      <x:c r="A249" s="5" t="n">
        <x:v>43966</x:v>
      </x:c>
      <x:c r="B249" s="1" t="str">
        <x:v>Санкт-Петербург Север</x:v>
      </x:c>
      <x:c r="C249" s="1" t="n">
        <x:v>403261.5</x:v>
      </x:c>
      <x:c r="D249" s="6" t="n">
        <x:v>42271377</x:v>
      </x:c>
      <x:c r="E249" s="6" t="n">
        <x:v>31105053.391</x:v>
      </x:c>
      <x:c r="F249" s="6" t="n">
        <x:v>571050.764276923</x:v>
      </x:c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1" customHeight="1">
      <x:c r="A250" s="5" t="n">
        <x:v>43966</x:v>
      </x:c>
      <x:c r="B250" s="1" t="str">
        <x:v>Санкт-Петербург Юг</x:v>
      </x:c>
      <x:c r="C250" s="1" t="n">
        <x:v>318816</x:v>
      </x:c>
      <x:c r="D250" s="6" t="n">
        <x:v>32354331</x:v>
      </x:c>
      <x:c r="E250" s="6" t="n">
        <x:v>23895072.432</x:v>
      </x:c>
      <x:c r="F250" s="6" t="n">
        <x:v>616932.9235384614</x:v>
      </x:c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1" customHeight="1">
      <x:c r="A251" s="5" t="n">
        <x:v>43966</x:v>
      </x:c>
      <x:c r="B251" s="1" t="str">
        <x:v>Тольятти</x:v>
      </x:c>
      <x:c r="C251" s="1" t="n">
        <x:v>14421</x:v>
      </x:c>
      <x:c r="D251" s="6" t="n">
        <x:v>1150579.5</x:v>
      </x:c>
      <x:c r="E251" s="6" t="n">
        <x:v>1038033.7869999999</x:v>
      </x:c>
      <x:c r="F251" s="6" t="n">
        <x:v>68487.35856923077</x:v>
      </x:c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1" customHeight="1">
      <x:c r="A252" s="5" t="n">
        <x:v>43967</x:v>
      </x:c>
      <x:c r="B252" s="1" t="str">
        <x:v>Волгоград</x:v>
      </x:c>
      <x:c r="C252" s="1" t="n">
        <x:v>81331.5</x:v>
      </x:c>
      <x:c r="D252" s="6" t="n">
        <x:v>6652179</x:v>
      </x:c>
      <x:c r="E252" s="6" t="n">
        <x:v>5305378.904</x:v>
      </x:c>
      <x:c r="F252" s="6" t="n">
        <x:v>156413.8362153846</x:v>
      </x:c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1" customHeight="1">
      <x:c r="A253" s="5" t="n">
        <x:v>43967</x:v>
      </x:c>
      <x:c r="B253" s="1" t="str">
        <x:v>Екатеринбург</x:v>
      </x:c>
      <x:c r="C253" s="1" t="n">
        <x:v>88063.5</x:v>
      </x:c>
      <x:c r="D253" s="6" t="n">
        <x:v>7583758.5</x:v>
      </x:c>
      <x:c r="E253" s="6" t="n">
        <x:v>5779076.7979999995</x:v>
      </x:c>
      <x:c r="F253" s="6" t="n">
        <x:v>152384.93586153846</x:v>
      </x:c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1" customHeight="1">
      <x:c r="A254" s="5" t="n">
        <x:v>43967</x:v>
      </x:c>
      <x:c r="B254" s="1" t="str">
        <x:v>Казань</x:v>
      </x:c>
      <x:c r="C254" s="1" t="n">
        <x:v>44560.5</x:v>
      </x:c>
      <x:c r="D254" s="6" t="n">
        <x:v>4025148</x:v>
      </x:c>
      <x:c r="E254" s="6" t="n">
        <x:v>3259483.304</x:v>
      </x:c>
      <x:c r="F254" s="6" t="n">
        <x:v>145385.33866923075</x:v>
      </x:c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1" customHeight="1">
      <x:c r="A255" s="5" t="n">
        <x:v>43967</x:v>
      </x:c>
      <x:c r="B255" s="1" t="str">
        <x:v>Кемерово</x:v>
      </x:c>
      <x:c r="C255" s="1" t="n">
        <x:v>38947.5</x:v>
      </x:c>
      <x:c r="D255" s="6" t="n">
        <x:v>3395892</x:v>
      </x:c>
      <x:c r="E255" s="6" t="n">
        <x:v>2740255.211</x:v>
      </x:c>
      <x:c r="F255" s="6" t="n">
        <x:v>294361.0811230769</x:v>
      </x:c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1" customHeight="1">
      <x:c r="A256" s="5" t="n">
        <x:v>43967</x:v>
      </x:c>
      <x:c r="B256" s="1" t="str">
        <x:v>Краснодар</x:v>
      </x:c>
      <x:c r="C256" s="1" t="n">
        <x:v>34563</x:v>
      </x:c>
      <x:c r="D256" s="6" t="n">
        <x:v>2922883.5</x:v>
      </x:c>
      <x:c r="E256" s="6" t="n">
        <x:v>2340316.3049999997</x:v>
      </x:c>
      <x:c r="F256" s="6" t="n">
        <x:v>109812.45384615385</x:v>
      </x:c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1" customHeight="1">
      <x:c r="A257" s="5" t="n">
        <x:v>43967</x:v>
      </x:c>
      <x:c r="B257" s="1" t="str">
        <x:v>Москва Восток</x:v>
      </x:c>
      <x:c r="C257" s="1" t="n">
        <x:v>225480</x:v>
      </x:c>
      <x:c r="D257" s="6" t="n">
        <x:v>22355338.5</x:v>
      </x:c>
      <x:c r="E257" s="6" t="n">
        <x:v>16443448.491999999</x:v>
      </x:c>
      <x:c r="F257" s="6" t="n">
        <x:v>291468.6</x:v>
      </x:c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1" customHeight="1">
      <x:c r="A258" s="5" t="n">
        <x:v>43967</x:v>
      </x:c>
      <x:c r="B258" s="1" t="str">
        <x:v>Москва Запад</x:v>
      </x:c>
      <x:c r="C258" s="1" t="n">
        <x:v>236551.5</x:v>
      </x:c>
      <x:c r="D258" s="6" t="n">
        <x:v>23689383</x:v>
      </x:c>
      <x:c r="E258" s="6" t="n">
        <x:v>17329462.176</x:v>
      </x:c>
      <x:c r="F258" s="6" t="n">
        <x:v>258177.63846153844</x:v>
      </x:c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1" customHeight="1">
      <x:c r="A259" s="5" t="n">
        <x:v>43967</x:v>
      </x:c>
      <x:c r="B259" s="1" t="str">
        <x:v>Нижний Новгород</x:v>
      </x:c>
      <x:c r="C259" s="1" t="n">
        <x:v>35482.5</x:v>
      </x:c>
      <x:c r="D259" s="6" t="n">
        <x:v>3222517.5</x:v>
      </x:c>
      <x:c r="E259" s="6" t="n">
        <x:v>2633868.174</x:v>
      </x:c>
      <x:c r="F259" s="6" t="n">
        <x:v>150484.18215384614</x:v>
      </x:c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1" customHeight="1">
      <x:c r="A260" s="5" t="n">
        <x:v>43967</x:v>
      </x:c>
      <x:c r="B260" s="1" t="str">
        <x:v>Новосибирск</x:v>
      </x:c>
      <x:c r="C260" s="1" t="n">
        <x:v>16368</x:v>
      </x:c>
      <x:c r="D260" s="6" t="n">
        <x:v>1316350.5</x:v>
      </x:c>
      <x:c r="E260" s="6" t="n">
        <x:v>1092945.283</x:v>
      </x:c>
      <x:c r="F260" s="6" t="n">
        <x:v>175846.6446153846</x:v>
      </x:c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1" customHeight="1">
      <x:c r="A261" s="5" t="n">
        <x:v>43967</x:v>
      </x:c>
      <x:c r="B261" s="1" t="str">
        <x:v>Пермь</x:v>
      </x:c>
      <x:c r="C261" s="1" t="n">
        <x:v>18600</x:v>
      </x:c>
      <x:c r="D261" s="6" t="n">
        <x:v>1601425.5</x:v>
      </x:c>
      <x:c r="E261" s="6" t="n">
        <x:v>1268422.666</x:v>
      </x:c>
      <x:c r="F261" s="6" t="n">
        <x:v>189642.93076923076</x:v>
      </x:c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1" customHeight="1">
      <x:c r="A262" s="5" t="n">
        <x:v>43967</x:v>
      </x:c>
      <x:c r="B262" s="1" t="str">
        <x:v>Ростов-на-Дону</x:v>
      </x:c>
      <x:c r="C262" s="1" t="n">
        <x:v>13120.5</x:v>
      </x:c>
      <x:c r="D262" s="6" t="n">
        <x:v>1215033</x:v>
      </x:c>
      <x:c r="E262" s="6" t="n">
        <x:v>985281.0359999998</x:v>
      </x:c>
      <x:c r="F262" s="6" t="n">
        <x:v>143418.86295384614</x:v>
      </x:c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1" customHeight="1">
      <x:c r="A263" s="5" t="n">
        <x:v>43967</x:v>
      </x:c>
      <x:c r="B263" s="1" t="str">
        <x:v>Санкт-Петербург Север</x:v>
      </x:c>
      <x:c r="C263" s="1" t="n">
        <x:v>408810</x:v>
      </x:c>
      <x:c r="D263" s="6" t="n">
        <x:v>42323631</x:v>
      </x:c>
      <x:c r="E263" s="6" t="n">
        <x:v>31033323.692999996</x:v>
      </x:c>
      <x:c r="F263" s="6" t="n">
        <x:v>571764.0907692307</x:v>
      </x:c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1" customHeight="1">
      <x:c r="A264" s="5" t="n">
        <x:v>43967</x:v>
      </x:c>
      <x:c r="B264" s="1" t="str">
        <x:v>Санкт-Петербург Юг</x:v>
      </x:c>
      <x:c r="C264" s="1" t="n">
        <x:v>321412.5</x:v>
      </x:c>
      <x:c r="D264" s="6" t="n">
        <x:v>32235864</x:v>
      </x:c>
      <x:c r="E264" s="6" t="n">
        <x:v>23691368.555</x:v>
      </x:c>
      <x:c r="F264" s="6" t="n">
        <x:v>595097.1592923077</x:v>
      </x:c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1" customHeight="1">
      <x:c r="A265" s="5" t="n">
        <x:v>43967</x:v>
      </x:c>
      <x:c r="B265" s="1" t="str">
        <x:v>Тольятти</x:v>
      </x:c>
      <x:c r="C265" s="1" t="n">
        <x:v>14265</x:v>
      </x:c>
      <x:c r="D265" s="6" t="n">
        <x:v>1130506.5</x:v>
      </x:c>
      <x:c r="E265" s="6" t="n">
        <x:v>1024403.9859999999</x:v>
      </x:c>
      <x:c r="F265" s="6" t="n">
        <x:v>72626.81390769231</x:v>
      </x:c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1" customHeight="1">
      <x:c r="A266" s="5" t="n">
        <x:v>43968</x:v>
      </x:c>
      <x:c r="B266" s="1" t="str">
        <x:v>Волгоград</x:v>
      </x:c>
      <x:c r="C266" s="1" t="n">
        <x:v>72861</x:v>
      </x:c>
      <x:c r="D266" s="6" t="n">
        <x:v>5952802.5</x:v>
      </x:c>
      <x:c r="E266" s="6" t="n">
        <x:v>4711294.200999999</x:v>
      </x:c>
      <x:c r="F266" s="6" t="n">
        <x:v>125880.90000000001</x:v>
      </x:c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1" customHeight="1">
      <x:c r="A267" s="5" t="n">
        <x:v>43968</x:v>
      </x:c>
      <x:c r="B267" s="1" t="str">
        <x:v>Екатеринбург</x:v>
      </x:c>
      <x:c r="C267" s="1" t="n">
        <x:v>78057</x:v>
      </x:c>
      <x:c r="D267" s="6" t="n">
        <x:v>6774946.5</x:v>
      </x:c>
      <x:c r="E267" s="6" t="n">
        <x:v>5115462.401</x:v>
      </x:c>
      <x:c r="F267" s="6" t="n">
        <x:v>61149.51538461538</x:v>
      </x:c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1" customHeight="1">
      <x:c r="A268" s="5" t="n">
        <x:v>43968</x:v>
      </x:c>
      <x:c r="B268" s="1" t="str">
        <x:v>Казань</x:v>
      </x:c>
      <x:c r="C268" s="1" t="n">
        <x:v>34830</x:v>
      </x:c>
      <x:c r="D268" s="6" t="n">
        <x:v>3191155.5</x:v>
      </x:c>
      <x:c r="E268" s="6" t="n">
        <x:v>2528990.584</x:v>
      </x:c>
      <x:c r="F268" s="6" t="n">
        <x:v>292821.2230769231</x:v>
      </x:c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1" customHeight="1">
      <x:c r="A269" s="5" t="n">
        <x:v>43968</x:v>
      </x:c>
      <x:c r="B269" s="1" t="str">
        <x:v>Кемерово</x:v>
      </x:c>
      <x:c r="C269" s="1" t="n">
        <x:v>32023.5</x:v>
      </x:c>
      <x:c r="D269" s="6" t="n">
        <x:v>2882458.5</x:v>
      </x:c>
      <x:c r="E269" s="6" t="n">
        <x:v>2290967.039</x:v>
      </x:c>
      <x:c r="F269" s="6" t="n">
        <x:v>246817.75113846152</x:v>
      </x:c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1" customHeight="1">
      <x:c r="A270" s="5" t="n">
        <x:v>43968</x:v>
      </x:c>
      <x:c r="B270" s="1" t="str">
        <x:v>Краснодар</x:v>
      </x:c>
      <x:c r="C270" s="1" t="n">
        <x:v>28275</x:v>
      </x:c>
      <x:c r="D270" s="6" t="n">
        <x:v>2435632.5</x:v>
      </x:c>
      <x:c r="E270" s="6" t="n">
        <x:v>1954139.7149999999</x:v>
      </x:c>
      <x:c r="F270" s="6" t="n">
        <x:v>79541.98461538462</x:v>
      </x:c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1" customHeight="1">
      <x:c r="A271" s="5" t="n">
        <x:v>43968</x:v>
      </x:c>
      <x:c r="B271" s="1" t="str">
        <x:v>Москва Восток</x:v>
      </x:c>
      <x:c r="C271" s="1" t="n">
        <x:v>184801.5</x:v>
      </x:c>
      <x:c r="D271" s="6" t="n">
        <x:v>18449091</x:v>
      </x:c>
      <x:c r="E271" s="6" t="n">
        <x:v>13533023.127999999</x:v>
      </x:c>
      <x:c r="F271" s="6" t="n">
        <x:v>246229.69714615386</x:v>
      </x:c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1" customHeight="1">
      <x:c r="A272" s="5" t="n">
        <x:v>43968</x:v>
      </x:c>
      <x:c r="B272" s="1" t="str">
        <x:v>Москва Запад</x:v>
      </x:c>
      <x:c r="C272" s="1" t="n">
        <x:v>193363.5</x:v>
      </x:c>
      <x:c r="D272" s="6" t="n">
        <x:v>19546386</x:v>
      </x:c>
      <x:c r="E272" s="6" t="n">
        <x:v>14278298.844</x:v>
      </x:c>
      <x:c r="F272" s="6" t="n">
        <x:v>264289.06153846154</x:v>
      </x:c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1" customHeight="1">
      <x:c r="A273" s="5" t="n">
        <x:v>43968</x:v>
      </x:c>
      <x:c r="B273" s="1" t="str">
        <x:v>Нижний Новгород</x:v>
      </x:c>
      <x:c r="C273" s="1" t="n">
        <x:v>30486</x:v>
      </x:c>
      <x:c r="D273" s="6" t="n">
        <x:v>2694289.5</x:v>
      </x:c>
      <x:c r="E273" s="6" t="n">
        <x:v>2183502.7290000003</x:v>
      </x:c>
      <x:c r="F273" s="6" t="n">
        <x:v>153558.02257692307</x:v>
      </x:c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1" customHeight="1">
      <x:c r="A274" s="5" t="n">
        <x:v>43968</x:v>
      </x:c>
      <x:c r="B274" s="1" t="str">
        <x:v>Новосибирск</x:v>
      </x:c>
      <x:c r="C274" s="1" t="n">
        <x:v>13440</x:v>
      </x:c>
      <x:c r="D274" s="6" t="n">
        <x:v>1157529</x:v>
      </x:c>
      <x:c r="E274" s="6" t="n">
        <x:v>935379.4229999998</x:v>
      </x:c>
      <x:c r="F274" s="6" t="n">
        <x:v>111375.6648</x:v>
      </x:c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1" customHeight="1">
      <x:c r="A275" s="5" t="n">
        <x:v>43968</x:v>
      </x:c>
      <x:c r="B275" s="1" t="str">
        <x:v>Пермь</x:v>
      </x:c>
      <x:c r="C275" s="1" t="n">
        <x:v>15609</x:v>
      </x:c>
      <x:c r="D275" s="6" t="n">
        <x:v>1377577.5</x:v>
      </x:c>
      <x:c r="E275" s="6" t="n">
        <x:v>1086345.0159999998</x:v>
      </x:c>
      <x:c r="F275" s="6" t="n">
        <x:v>224718.4076923077</x:v>
      </x:c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1" customHeight="1">
      <x:c r="A276" s="5" t="n">
        <x:v>43968</x:v>
      </x:c>
      <x:c r="B276" s="1" t="str">
        <x:v>Ростов-на-Дону</x:v>
      </x:c>
      <x:c r="C276" s="1" t="n">
        <x:v>11967</x:v>
      </x:c>
      <x:c r="D276" s="6" t="n">
        <x:v>1060489.5</x:v>
      </x:c>
      <x:c r="E276" s="6" t="n">
        <x:v>851805.179</x:v>
      </x:c>
      <x:c r="F276" s="6" t="n">
        <x:v>171981.49101538458</x:v>
      </x:c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1" customHeight="1">
      <x:c r="A277" s="5" t="n">
        <x:v>43968</x:v>
      </x:c>
      <x:c r="B277" s="1" t="str">
        <x:v>Санкт-Петербург Север</x:v>
      </x:c>
      <x:c r="C277" s="1" t="n">
        <x:v>357072</x:v>
      </x:c>
      <x:c r="D277" s="6" t="n">
        <x:v>36834567</x:v>
      </x:c>
      <x:c r="E277" s="6" t="n">
        <x:v>26914635.671</x:v>
      </x:c>
      <x:c r="F277" s="6" t="n">
        <x:v>566638.9257538462</x:v>
      </x:c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1" customHeight="1">
      <x:c r="A278" s="5" t="n">
        <x:v>43968</x:v>
      </x:c>
      <x:c r="B278" s="1" t="str">
        <x:v>Санкт-Петербург Юг</x:v>
      </x:c>
      <x:c r="C278" s="1" t="n">
        <x:v>269029.5</x:v>
      </x:c>
      <x:c r="D278" s="6" t="n">
        <x:v>26659930.5</x:v>
      </x:c>
      <x:c r="E278" s="6" t="n">
        <x:v>19515982.116</x:v>
      </x:c>
      <x:c r="F278" s="6" t="n">
        <x:v>551393.4769230769</x:v>
      </x:c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1" customHeight="1">
      <x:c r="A279" s="5" t="n">
        <x:v>43968</x:v>
      </x:c>
      <x:c r="B279" s="1" t="str">
        <x:v>Тольятти</x:v>
      </x:c>
      <x:c r="C279" s="1" t="n">
        <x:v>10402.5</x:v>
      </x:c>
      <x:c r="D279" s="6" t="n">
        <x:v>843727.5</x:v>
      </x:c>
      <x:c r="E279" s="6" t="n">
        <x:v>729677.519</x:v>
      </x:c>
      <x:c r="F279" s="6" t="n">
        <x:v>140731.9646153846</x:v>
      </x:c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1" customHeight="1">
      <x:c r="A280" s="5" t="n">
        <x:v>43969</x:v>
      </x:c>
      <x:c r="B280" s="1" t="str">
        <x:v>Волгоград</x:v>
      </x:c>
      <x:c r="C280" s="1" t="n">
        <x:v>70278</x:v>
      </x:c>
      <x:c r="D280" s="6" t="n">
        <x:v>5798476.5</x:v>
      </x:c>
      <x:c r="E280" s="6" t="n">
        <x:v>4485664.506</x:v>
      </x:c>
      <x:c r="F280" s="6" t="n">
        <x:v>182019.63597692308</x:v>
      </x:c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1" customHeight="1">
      <x:c r="A281" s="5" t="n">
        <x:v>43969</x:v>
      </x:c>
      <x:c r="B281" s="1" t="str">
        <x:v>Екатеринбург</x:v>
      </x:c>
      <x:c r="C281" s="1" t="n">
        <x:v>78058.5</x:v>
      </x:c>
      <x:c r="D281" s="6" t="n">
        <x:v>6609714</x:v>
      </x:c>
      <x:c r="E281" s="6" t="n">
        <x:v>5024858.793</x:v>
      </x:c>
      <x:c r="F281" s="6" t="n">
        <x:v>140406.0769230769</x:v>
      </x:c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1" customHeight="1">
      <x:c r="A282" s="5" t="n">
        <x:v>43969</x:v>
      </x:c>
      <x:c r="B282" s="1" t="str">
        <x:v>Казань</x:v>
      </x:c>
      <x:c r="C282" s="1" t="n">
        <x:v>36655.5</x:v>
      </x:c>
      <x:c r="D282" s="6" t="n">
        <x:v>3360135</x:v>
      </x:c>
      <x:c r="E282" s="6" t="n">
        <x:v>2596293.8219999997</x:v>
      </x:c>
      <x:c r="F282" s="6" t="n">
        <x:v>202175.53846153847</x:v>
      </x:c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1" customHeight="1">
      <x:c r="A283" s="5" t="n">
        <x:v>43969</x:v>
      </x:c>
      <x:c r="B283" s="1" t="str">
        <x:v>Кемерово</x:v>
      </x:c>
      <x:c r="C283" s="1" t="n">
        <x:v>31329</x:v>
      </x:c>
      <x:c r="D283" s="6" t="n">
        <x:v>2826379.5</x:v>
      </x:c>
      <x:c r="E283" s="6" t="n">
        <x:v>2229453.508</x:v>
      </x:c>
      <x:c r="F283" s="6" t="n">
        <x:v>331756.1807230769</x:v>
      </x:c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1" customHeight="1">
      <x:c r="A284" s="5" t="n">
        <x:v>43969</x:v>
      </x:c>
      <x:c r="B284" s="1" t="str">
        <x:v>Краснодар</x:v>
      </x:c>
      <x:c r="C284" s="1" t="n">
        <x:v>27181.5</x:v>
      </x:c>
      <x:c r="D284" s="6" t="n">
        <x:v>2324490</x:v>
      </x:c>
      <x:c r="E284" s="6" t="n">
        <x:v>1796459.479</x:v>
      </x:c>
      <x:c r="F284" s="6" t="n">
        <x:v>129793.76153846155</x:v>
      </x:c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1" customHeight="1">
      <x:c r="A285" s="5" t="n">
        <x:v>43969</x:v>
      </x:c>
      <x:c r="B285" s="1" t="str">
        <x:v>Москва Восток</x:v>
      </x:c>
      <x:c r="C285" s="1" t="n">
        <x:v>196560</x:v>
      </x:c>
      <x:c r="D285" s="6" t="n">
        <x:v>19855122</x:v>
      </x:c>
      <x:c r="E285" s="6" t="n">
        <x:v>14172342.451</x:v>
      </x:c>
      <x:c r="F285" s="6" t="n">
        <x:v>269626.3076923077</x:v>
      </x:c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1" customHeight="1">
      <x:c r="A286" s="5" t="n">
        <x:v>43969</x:v>
      </x:c>
      <x:c r="B286" s="1" t="str">
        <x:v>Москва Запад</x:v>
      </x:c>
      <x:c r="C286" s="1" t="n">
        <x:v>201999</x:v>
      </x:c>
      <x:c r="D286" s="6" t="n">
        <x:v>20422435.5</x:v>
      </x:c>
      <x:c r="E286" s="6" t="n">
        <x:v>14541626.939999998</x:v>
      </x:c>
      <x:c r="F286" s="6" t="n">
        <x:v>279597.8615384615</x:v>
      </x:c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1" customHeight="1">
      <x:c r="A287" s="5" t="n">
        <x:v>43969</x:v>
      </x:c>
      <x:c r="B287" s="1" t="str">
        <x:v>Нижний Новгород</x:v>
      </x:c>
      <x:c r="C287" s="1" t="n">
        <x:v>28668</x:v>
      </x:c>
      <x:c r="D287" s="6" t="n">
        <x:v>2588148</x:v>
      </x:c>
      <x:c r="E287" s="6" t="n">
        <x:v>2042294.167</x:v>
      </x:c>
      <x:c r="F287" s="6" t="n">
        <x:v>160977.42935384615</x:v>
      </x:c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1" customHeight="1">
      <x:c r="A288" s="5" t="n">
        <x:v>43969</x:v>
      </x:c>
      <x:c r="B288" s="1" t="str">
        <x:v>Новосибирск</x:v>
      </x:c>
      <x:c r="C288" s="1" t="n">
        <x:v>14497.5</x:v>
      </x:c>
      <x:c r="D288" s="6" t="n">
        <x:v>1230711</x:v>
      </x:c>
      <x:c r="E288" s="6" t="n">
        <x:v>1005560.455</x:v>
      </x:c>
      <x:c r="F288" s="6" t="n">
        <x:v>171097.83406153845</x:v>
      </x:c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1" customHeight="1">
      <x:c r="A289" s="5" t="n">
        <x:v>43969</x:v>
      </x:c>
      <x:c r="B289" s="1" t="str">
        <x:v>Пермь</x:v>
      </x:c>
      <x:c r="C289" s="1" t="n">
        <x:v>14290.5</x:v>
      </x:c>
      <x:c r="D289" s="6" t="n">
        <x:v>1246162.5</x:v>
      </x:c>
      <x:c r="E289" s="6" t="n">
        <x:v>983143.4899999999</x:v>
      </x:c>
      <x:c r="F289" s="6" t="n">
        <x:v>263823.3461538461</x:v>
      </x:c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1" customHeight="1">
      <x:c r="A290" s="5" t="n">
        <x:v>43969</x:v>
      </x:c>
      <x:c r="B290" s="1" t="str">
        <x:v>Ростов-на-Дону</x:v>
      </x:c>
      <x:c r="C290" s="1" t="n">
        <x:v>12450</x:v>
      </x:c>
      <x:c r="D290" s="6" t="n">
        <x:v>1115146.5</x:v>
      </x:c>
      <x:c r="E290" s="6" t="n">
        <x:v>897555.5109999999</x:v>
      </x:c>
      <x:c r="F290" s="6" t="n">
        <x:v>150809.61403846153</x:v>
      </x:c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1" customHeight="1">
      <x:c r="A291" s="5" t="n">
        <x:v>43969</x:v>
      </x:c>
      <x:c r="B291" s="1" t="str">
        <x:v>Санкт-Петербург Север</x:v>
      </x:c>
      <x:c r="C291" s="1" t="n">
        <x:v>355081.5</x:v>
      </x:c>
      <x:c r="D291" s="6" t="n">
        <x:v>36876888</x:v>
      </x:c>
      <x:c r="E291" s="6" t="n">
        <x:v>26228948.559</x:v>
      </x:c>
      <x:c r="F291" s="6" t="n">
        <x:v>898617.7503076922</x:v>
      </x:c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1" customHeight="1">
      <x:c r="A292" s="5" t="n">
        <x:v>43969</x:v>
      </x:c>
      <x:c r="B292" s="1" t="str">
        <x:v>Санкт-Петербург Юг</x:v>
      </x:c>
      <x:c r="C292" s="1" t="n">
        <x:v>273900</x:v>
      </x:c>
      <x:c r="D292" s="6" t="n">
        <x:v>27535284.147600003</x:v>
      </x:c>
      <x:c r="E292" s="6" t="n">
        <x:v>19680985.969</x:v>
      </x:c>
      <x:c r="F292" s="6" t="n">
        <x:v>764540.5879230769</x:v>
      </x:c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1" customHeight="1">
      <x:c r="A293" s="5" t="n">
        <x:v>43969</x:v>
      </x:c>
      <x:c r="B293" s="1" t="str">
        <x:v>Тольятти</x:v>
      </x:c>
      <x:c r="C293" s="1" t="n">
        <x:v>11680.5</x:v>
      </x:c>
      <x:c r="D293" s="6" t="n">
        <x:v>936427.5</x:v>
      </x:c>
      <x:c r="E293" s="6" t="n">
        <x:v>813406.684</x:v>
      </x:c>
      <x:c r="F293" s="6" t="n">
        <x:v>117272.7846153846</x:v>
      </x:c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1" customHeight="1">
      <x:c r="A294" s="5" t="n">
        <x:v>43970</x:v>
      </x:c>
      <x:c r="B294" s="1" t="str">
        <x:v>Волгоград</x:v>
      </x:c>
      <x:c r="C294" s="1" t="n">
        <x:v>75796.5</x:v>
      </x:c>
      <x:c r="D294" s="6" t="n">
        <x:v>6173463</x:v>
      </x:c>
      <x:c r="E294" s="6" t="n">
        <x:v>4915101.795</x:v>
      </x:c>
      <x:c r="F294" s="6" t="n">
        <x:v>253686.7171923077</x:v>
      </x:c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1" customHeight="1">
      <x:c r="A295" s="5" t="n">
        <x:v>43970</x:v>
      </x:c>
      <x:c r="B295" s="1" t="str">
        <x:v>Екатеринбург</x:v>
      </x:c>
      <x:c r="C295" s="1" t="n">
        <x:v>84024</x:v>
      </x:c>
      <x:c r="D295" s="6" t="n">
        <x:v>6815511</x:v>
      </x:c>
      <x:c r="E295" s="6" t="n">
        <x:v>5426339.5819999995</x:v>
      </x:c>
      <x:c r="F295" s="6" t="n">
        <x:v>195070.2500307692</x:v>
      </x:c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1" customHeight="1">
      <x:c r="A296" s="5" t="n">
        <x:v>43970</x:v>
      </x:c>
      <x:c r="B296" s="1" t="str">
        <x:v>Казань</x:v>
      </x:c>
      <x:c r="C296" s="1" t="n">
        <x:v>38250</x:v>
      </x:c>
      <x:c r="D296" s="6" t="n">
        <x:v>3552937.5</x:v>
      </x:c>
      <x:c r="E296" s="6" t="n">
        <x:v>2795344.17</x:v>
      </x:c>
      <x:c r="F296" s="6" t="n">
        <x:v>245048.2600769231</x:v>
      </x:c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1" customHeight="1">
      <x:c r="A297" s="5" t="n">
        <x:v>43970</x:v>
      </x:c>
      <x:c r="B297" s="1" t="str">
        <x:v>Кемерово</x:v>
      </x:c>
      <x:c r="C297" s="1" t="n">
        <x:v>31842</x:v>
      </x:c>
      <x:c r="D297" s="6" t="n">
        <x:v>2771116.5</x:v>
      </x:c>
      <x:c r="E297" s="6" t="n">
        <x:v>2269371.4459999995</x:v>
      </x:c>
      <x:c r="F297" s="6" t="n">
        <x:v>328803.8461538461</x:v>
      </x:c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1" customHeight="1">
      <x:c r="A298" s="5" t="n">
        <x:v>43970</x:v>
      </x:c>
      <x:c r="B298" s="1" t="str">
        <x:v>Краснодар</x:v>
      </x:c>
      <x:c r="C298" s="1" t="n">
        <x:v>28882.5</x:v>
      </x:c>
      <x:c r="D298" s="6" t="n">
        <x:v>2446530</x:v>
      </x:c>
      <x:c r="E298" s="6" t="n">
        <x:v>1956748.2629999998</x:v>
      </x:c>
      <x:c r="F298" s="6" t="n">
        <x:v>108543.03143076923</x:v>
      </x:c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1" customHeight="1">
      <x:c r="A299" s="5" t="n">
        <x:v>43970</x:v>
      </x:c>
      <x:c r="B299" s="1" t="str">
        <x:v>Москва Восток</x:v>
      </x:c>
      <x:c r="C299" s="1" t="n">
        <x:v>211453.5</x:v>
      </x:c>
      <x:c r="D299" s="6" t="n">
        <x:v>20590072.5</x:v>
      </x:c>
      <x:c r="E299" s="6" t="n">
        <x:v>15078027.685</x:v>
      </x:c>
      <x:c r="F299" s="6" t="n">
        <x:v>293452.2923769231</x:v>
      </x:c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1" customHeight="1">
      <x:c r="A300" s="5" t="n">
        <x:v>43970</x:v>
      </x:c>
      <x:c r="B300" s="1" t="str">
        <x:v>Москва Запад</x:v>
      </x:c>
      <x:c r="C300" s="1" t="n">
        <x:v>223597.5</x:v>
      </x:c>
      <x:c r="D300" s="6" t="n">
        <x:v>21945858</x:v>
      </x:c>
      <x:c r="E300" s="6" t="n">
        <x:v>15975681.728</x:v>
      </x:c>
      <x:c r="F300" s="6" t="n">
        <x:v>296759.42307692306</x:v>
      </x:c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1" customHeight="1">
      <x:c r="A301" s="5" t="n">
        <x:v>43970</x:v>
      </x:c>
      <x:c r="B301" s="1" t="str">
        <x:v>Нижний Новгород</x:v>
      </x:c>
      <x:c r="C301" s="1" t="n">
        <x:v>32434.5</x:v>
      </x:c>
      <x:c r="D301" s="6" t="n">
        <x:v>2865337.5</x:v>
      </x:c>
      <x:c r="E301" s="6" t="n">
        <x:v>2368028.685</x:v>
      </x:c>
      <x:c r="F301" s="6" t="n">
        <x:v>225452.8907846154</x:v>
      </x:c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1" customHeight="1">
      <x:c r="A302" s="5" t="n">
        <x:v>43970</x:v>
      </x:c>
      <x:c r="B302" s="1" t="str">
        <x:v>Новосибирск</x:v>
      </x:c>
      <x:c r="C302" s="1" t="n">
        <x:v>14427</x:v>
      </x:c>
      <x:c r="D302" s="6" t="n">
        <x:v>1126810.5</x:v>
      </x:c>
      <x:c r="E302" s="6" t="n">
        <x:v>963035.414</x:v>
      </x:c>
      <x:c r="F302" s="6" t="n">
        <x:v>202056.3451923077</x:v>
      </x:c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1" customHeight="1">
      <x:c r="A303" s="5" t="n">
        <x:v>43970</x:v>
      </x:c>
      <x:c r="B303" s="1" t="str">
        <x:v>Пермь</x:v>
      </x:c>
      <x:c r="C303" s="1" t="n">
        <x:v>16638</x:v>
      </x:c>
      <x:c r="D303" s="6" t="n">
        <x:v>1364847</x:v>
      </x:c>
      <x:c r="E303" s="6" t="n">
        <x:v>1137103.412</x:v>
      </x:c>
      <x:c r="F303" s="6" t="n">
        <x:v>258642.5153846154</x:v>
      </x:c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1" customHeight="1">
      <x:c r="A304" s="5" t="n">
        <x:v>43970</x:v>
      </x:c>
      <x:c r="B304" s="1" t="str">
        <x:v>Ростов-на-Дону</x:v>
      </x:c>
      <x:c r="C304" s="1" t="n">
        <x:v>16237.5</x:v>
      </x:c>
      <x:c r="D304" s="6" t="n">
        <x:v>1403047.5</x:v>
      </x:c>
      <x:c r="E304" s="6" t="n">
        <x:v>1195875.8800000001</x:v>
      </x:c>
      <x:c r="F304" s="6" t="n">
        <x:v>173178.52204615384</x:v>
      </x:c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1" customHeight="1">
      <x:c r="A305" s="5" t="n">
        <x:v>43970</x:v>
      </x:c>
      <x:c r="B305" s="1" t="str">
        <x:v>Санкт-Петербург Север</x:v>
      </x:c>
      <x:c r="C305" s="1" t="n">
        <x:v>362536.5</x:v>
      </x:c>
      <x:c r="D305" s="6" t="n">
        <x:v>37023243</x:v>
      </x:c>
      <x:c r="E305" s="6" t="n">
        <x:v>26762183.377</x:v>
      </x:c>
      <x:c r="F305" s="6" t="n">
        <x:v>650375.7684923077</x:v>
      </x:c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1" customHeight="1">
      <x:c r="A306" s="5" t="n">
        <x:v>43970</x:v>
      </x:c>
      <x:c r="B306" s="1" t="str">
        <x:v>Санкт-Петербург Юг</x:v>
      </x:c>
      <x:c r="C306" s="1" t="n">
        <x:v>276568.5</x:v>
      </x:c>
      <x:c r="D306" s="6" t="n">
        <x:v>27093624</x:v>
      </x:c>
      <x:c r="E306" s="6" t="n">
        <x:v>19768696.5</x:v>
      </x:c>
      <x:c r="F306" s="6" t="n">
        <x:v>759335.8046923077</x:v>
      </x:c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1" customHeight="1">
      <x:c r="A307" s="5" t="n">
        <x:v>43970</x:v>
      </x:c>
      <x:c r="B307" s="1" t="str">
        <x:v>Тольятти</x:v>
      </x:c>
      <x:c r="C307" s="1" t="n">
        <x:v>11526</x:v>
      </x:c>
      <x:c r="D307" s="6" t="n">
        <x:v>938764.5</x:v>
      </x:c>
      <x:c r="E307" s="6" t="n">
        <x:v>820018.375</x:v>
      </x:c>
      <x:c r="F307" s="6" t="n">
        <x:v>77816.21538461538</x:v>
      </x:c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1" customHeight="1">
      <x:c r="A308" s="5" t="n">
        <x:v>43971</x:v>
      </x:c>
      <x:c r="B308" s="1" t="str">
        <x:v>Волгоград</x:v>
      </x:c>
      <x:c r="C308" s="1" t="n">
        <x:v>99631.5</x:v>
      </x:c>
      <x:c r="D308" s="6" t="n">
        <x:v>7121946</x:v>
      </x:c>
      <x:c r="E308" s="6" t="n">
        <x:v>6279205.85</x:v>
      </x:c>
      <x:c r="F308" s="6" t="n">
        <x:v>279127.2760230769</x:v>
      </x:c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1" customHeight="1">
      <x:c r="A309" s="5" t="n">
        <x:v>43971</x:v>
      </x:c>
      <x:c r="B309" s="1" t="str">
        <x:v>Екатеринбург</x:v>
      </x:c>
      <x:c r="C309" s="1" t="n">
        <x:v>93313.5</x:v>
      </x:c>
      <x:c r="D309" s="6" t="n">
        <x:v>7247575.5</x:v>
      </x:c>
      <x:c r="E309" s="6" t="n">
        <x:v>5922822.677999999</x:v>
      </x:c>
      <x:c r="F309" s="6" t="n">
        <x:v>714758.2</x:v>
      </x:c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1" customHeight="1">
      <x:c r="A310" s="5" t="n">
        <x:v>43971</x:v>
      </x:c>
      <x:c r="B310" s="1" t="str">
        <x:v>Казань</x:v>
      </x:c>
      <x:c r="C310" s="1" t="n">
        <x:v>41391</x:v>
      </x:c>
      <x:c r="D310" s="6" t="n">
        <x:v>3918987</x:v>
      </x:c>
      <x:c r="E310" s="6" t="n">
        <x:v>3141103.957</x:v>
      </x:c>
      <x:c r="F310" s="6" t="n">
        <x:v>205451.17950769232</x:v>
      </x:c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1" customHeight="1">
      <x:c r="A311" s="5" t="n">
        <x:v>43971</x:v>
      </x:c>
      <x:c r="B311" s="1" t="str">
        <x:v>Кемерово</x:v>
      </x:c>
      <x:c r="C311" s="1" t="n">
        <x:v>34077</x:v>
      </x:c>
      <x:c r="D311" s="6" t="n">
        <x:v>2929330.5</x:v>
      </x:c>
      <x:c r="E311" s="6" t="n">
        <x:v>2389543.528</x:v>
      </x:c>
      <x:c r="F311" s="6" t="n">
        <x:v>459604.9079615384</x:v>
      </x:c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1" customHeight="1">
      <x:c r="A312" s="5" t="n">
        <x:v>43971</x:v>
      </x:c>
      <x:c r="B312" s="1" t="str">
        <x:v>Краснодар</x:v>
      </x:c>
      <x:c r="C312" s="1" t="n">
        <x:v>28849.5</x:v>
      </x:c>
      <x:c r="D312" s="6" t="n">
        <x:v>2520759</x:v>
      </x:c>
      <x:c r="E312" s="6" t="n">
        <x:v>2010739.0729999999</x:v>
      </x:c>
      <x:c r="F312" s="6" t="n">
        <x:v>106300.0107076923</x:v>
      </x:c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1" customHeight="1">
      <x:c r="A313" s="5" t="n">
        <x:v>43971</x:v>
      </x:c>
      <x:c r="B313" s="1" t="str">
        <x:v>Москва Восток</x:v>
      </x:c>
      <x:c r="C313" s="1" t="n">
        <x:v>214885.5</x:v>
      </x:c>
      <x:c r="D313" s="6" t="n">
        <x:v>21411349.5</x:v>
      </x:c>
      <x:c r="E313" s="6" t="n">
        <x:v>15600701.422999999</x:v>
      </x:c>
      <x:c r="F313" s="6" t="n">
        <x:v>410370.5153846154</x:v>
      </x:c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1" customHeight="1">
      <x:c r="A314" s="5" t="n">
        <x:v>43971</x:v>
      </x:c>
      <x:c r="B314" s="1" t="str">
        <x:v>Москва Запад</x:v>
      </x:c>
      <x:c r="C314" s="1" t="n">
        <x:v>219622.5</x:v>
      </x:c>
      <x:c r="D314" s="6" t="n">
        <x:v>21959286</x:v>
      </x:c>
      <x:c r="E314" s="6" t="n">
        <x:v>15958453.928</x:v>
      </x:c>
      <x:c r="F314" s="6" t="n">
        <x:v>417117.17692307686</x:v>
      </x:c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1" customHeight="1">
      <x:c r="A315" s="5" t="n">
        <x:v>43971</x:v>
      </x:c>
      <x:c r="B315" s="1" t="str">
        <x:v>Нижний Новгород</x:v>
      </x:c>
      <x:c r="C315" s="1" t="n">
        <x:v>29955</x:v>
      </x:c>
      <x:c r="D315" s="6" t="n">
        <x:v>2692230</x:v>
      </x:c>
      <x:c r="E315" s="6" t="n">
        <x:v>2195766.121</x:v>
      </x:c>
      <x:c r="F315" s="6" t="n">
        <x:v>202002.14775384613</x:v>
      </x:c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1" customHeight="1">
      <x:c r="A316" s="5" t="n">
        <x:v>43971</x:v>
      </x:c>
      <x:c r="B316" s="1" t="str">
        <x:v>Новосибирск</x:v>
      </x:c>
      <x:c r="C316" s="1" t="n">
        <x:v>14928</x:v>
      </x:c>
      <x:c r="D316" s="6" t="n">
        <x:v>1217749.5</x:v>
      </x:c>
      <x:c r="E316" s="6" t="n">
        <x:v>1025585.5199999999</x:v>
      </x:c>
      <x:c r="F316" s="6" t="n">
        <x:v>84618.75436923077</x:v>
      </x:c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1" customHeight="1">
      <x:c r="A317" s="5" t="n">
        <x:v>43971</x:v>
      </x:c>
      <x:c r="B317" s="1" t="str">
        <x:v>Пермь</x:v>
      </x:c>
      <x:c r="C317" s="1" t="n">
        <x:v>17329.5</x:v>
      </x:c>
      <x:c r="D317" s="6" t="n">
        <x:v>1430254.5</x:v>
      </x:c>
      <x:c r="E317" s="6" t="n">
        <x:v>1175778.837</x:v>
      </x:c>
      <x:c r="F317" s="6" t="n">
        <x:v>286968.8769230769</x:v>
      </x:c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1" customHeight="1">
      <x:c r="A318" s="5" t="n">
        <x:v>43971</x:v>
      </x:c>
      <x:c r="B318" s="1" t="str">
        <x:v>Ростов-на-Дону</x:v>
      </x:c>
      <x:c r="C318" s="1" t="n">
        <x:v>12630</x:v>
      </x:c>
      <x:c r="D318" s="6" t="n">
        <x:v>1104858</x:v>
      </x:c>
      <x:c r="E318" s="6" t="n">
        <x:v>915994.1189999998</x:v>
      </x:c>
      <x:c r="F318" s="6" t="n">
        <x:v>161654.46923076923</x:v>
      </x:c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1" customHeight="1">
      <x:c r="A319" s="5" t="n">
        <x:v>43971</x:v>
      </x:c>
      <x:c r="B319" s="1" t="str">
        <x:v>Санкт-Петербург Север</x:v>
      </x:c>
      <x:c r="C319" s="1" t="n">
        <x:v>388668</x:v>
      </x:c>
      <x:c r="D319" s="6" t="n">
        <x:v>39639309</x:v>
      </x:c>
      <x:c r="E319" s="6" t="n">
        <x:v>28736966.634</x:v>
      </x:c>
      <x:c r="F319" s="6" t="n">
        <x:v>997757.7538461538</x:v>
      </x:c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1" customHeight="1">
      <x:c r="A320" s="5" t="n">
        <x:v>43971</x:v>
      </x:c>
      <x:c r="B320" s="1" t="str">
        <x:v>Санкт-Петербург Юг</x:v>
      </x:c>
      <x:c r="C320" s="1" t="n">
        <x:v>300151.5</x:v>
      </x:c>
      <x:c r="D320" s="6" t="n">
        <x:v>29368771.61745</x:v>
      </x:c>
      <x:c r="E320" s="6" t="n">
        <x:v>21545834.136</x:v>
      </x:c>
      <x:c r="F320" s="6" t="n">
        <x:v>1052145.9026769232</x:v>
      </x:c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1" customHeight="1">
      <x:c r="A321" s="5" t="n">
        <x:v>43971</x:v>
      </x:c>
      <x:c r="B321" s="1" t="str">
        <x:v>Тольятти</x:v>
      </x:c>
      <x:c r="C321" s="1" t="n">
        <x:v>13063.5</x:v>
      </x:c>
      <x:c r="D321" s="6" t="n">
        <x:v>1037247</x:v>
      </x:c>
      <x:c r="E321" s="6" t="n">
        <x:v>910480.6449999999</x:v>
      </x:c>
      <x:c r="F321" s="6" t="n">
        <x:v>64430.96412307692</x:v>
      </x:c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1" customHeight="1">
      <x:c r="A322" s="5" t="n">
        <x:v>43972</x:v>
      </x:c>
      <x:c r="B322" s="1" t="str">
        <x:v>Волгоград</x:v>
      </x:c>
      <x:c r="C322" s="1" t="n">
        <x:v>73126.5</x:v>
      </x:c>
      <x:c r="D322" s="6" t="n">
        <x:v>5864085</x:v>
      </x:c>
      <x:c r="E322" s="6" t="n">
        <x:v>4847142.986</x:v>
      </x:c>
      <x:c r="F322" s="6" t="n">
        <x:v>142998.2095</x:v>
      </x:c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1" customHeight="1">
      <x:c r="A323" s="5" t="n">
        <x:v>43972</x:v>
      </x:c>
      <x:c r="B323" s="1" t="str">
        <x:v>Екатеринбург</x:v>
      </x:c>
      <x:c r="C323" s="1" t="n">
        <x:v>79485</x:v>
      </x:c>
      <x:c r="D323" s="6" t="n">
        <x:v>6633847.5</x:v>
      </x:c>
      <x:c r="E323" s="6" t="n">
        <x:v>5212858.58</x:v>
      </x:c>
      <x:c r="F323" s="6" t="n">
        <x:v>120955.33846153846</x:v>
      </x:c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1" customHeight="1">
      <x:c r="A324" s="5" t="n">
        <x:v>43972</x:v>
      </x:c>
      <x:c r="B324" s="1" t="str">
        <x:v>Казань</x:v>
      </x:c>
      <x:c r="C324" s="1" t="n">
        <x:v>40819.5</x:v>
      </x:c>
      <x:c r="D324" s="6" t="n">
        <x:v>3810394.5</x:v>
      </x:c>
      <x:c r="E324" s="6" t="n">
        <x:v>3046897.794</x:v>
      </x:c>
      <x:c r="F324" s="6" t="n">
        <x:v>144594.4076923077</x:v>
      </x:c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1" customHeight="1">
      <x:c r="A325" s="5" t="n">
        <x:v>43972</x:v>
      </x:c>
      <x:c r="B325" s="1" t="str">
        <x:v>Кемерово</x:v>
      </x:c>
      <x:c r="C325" s="1" t="n">
        <x:v>31272</x:v>
      </x:c>
      <x:c r="D325" s="6" t="n">
        <x:v>2744382</x:v>
      </x:c>
      <x:c r="E325" s="6" t="n">
        <x:v>2257728.2139999997</x:v>
      </x:c>
      <x:c r="F325" s="6" t="n">
        <x:v>301623.7923076923</x:v>
      </x:c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1" customHeight="1">
      <x:c r="A326" s="5" t="n">
        <x:v>43972</x:v>
      </x:c>
      <x:c r="B326" s="1" t="str">
        <x:v>Краснодар</x:v>
      </x:c>
      <x:c r="C326" s="1" t="n">
        <x:v>25362</x:v>
      </x:c>
      <x:c r="D326" s="6" t="n">
        <x:v>2198935.5</x:v>
      </x:c>
      <x:c r="E326" s="6" t="n">
        <x:v>1755958.305</x:v>
      </x:c>
      <x:c r="F326" s="6" t="n">
        <x:v>102833.37792307691</x:v>
      </x:c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1" customHeight="1">
      <x:c r="A327" s="5" t="n">
        <x:v>43972</x:v>
      </x:c>
      <x:c r="B327" s="1" t="str">
        <x:v>Москва Восток</x:v>
      </x:c>
      <x:c r="C327" s="1" t="n">
        <x:v>213640.5</x:v>
      </x:c>
      <x:c r="D327" s="6" t="n">
        <x:v>21042673.5</x:v>
      </x:c>
      <x:c r="E327" s="6" t="n">
        <x:v>15681371.557000002</x:v>
      </x:c>
      <x:c r="F327" s="6" t="n">
        <x:v>296732.5961538461</x:v>
      </x:c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1" customHeight="1">
      <x:c r="A328" s="5" t="n">
        <x:v>43972</x:v>
      </x:c>
      <x:c r="B328" s="1" t="str">
        <x:v>Москва Запад</x:v>
      </x:c>
      <x:c r="C328" s="1" t="n">
        <x:v>224233.5</x:v>
      </x:c>
      <x:c r="D328" s="6" t="n">
        <x:v>22253295</x:v>
      </x:c>
      <x:c r="E328" s="6" t="n">
        <x:v>16496134.314</x:v>
      </x:c>
      <x:c r="F328" s="6" t="n">
        <x:v>334550.50769230764</x:v>
      </x:c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1" customHeight="1">
      <x:c r="A329" s="5" t="n">
        <x:v>43972</x:v>
      </x:c>
      <x:c r="B329" s="1" t="str">
        <x:v>Нижний Новгород</x:v>
      </x:c>
      <x:c r="C329" s="1" t="n">
        <x:v>31707</x:v>
      </x:c>
      <x:c r="D329" s="6" t="n">
        <x:v>2853181.5</x:v>
      </x:c>
      <x:c r="E329" s="6" t="n">
        <x:v>2349459.5</x:v>
      </x:c>
      <x:c r="F329" s="6" t="n">
        <x:v>187617.05315384615</x:v>
      </x:c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1" customHeight="1">
      <x:c r="A330" s="5" t="n">
        <x:v>43972</x:v>
      </x:c>
      <x:c r="B330" s="1" t="str">
        <x:v>Новосибирск</x:v>
      </x:c>
      <x:c r="C330" s="1" t="n">
        <x:v>14182.5</x:v>
      </x:c>
      <x:c r="D330" s="6" t="n">
        <x:v>1172574</x:v>
      </x:c>
      <x:c r="E330" s="6" t="n">
        <x:v>968784.8649999999</x:v>
      </x:c>
      <x:c r="F330" s="6" t="n">
        <x:v>94547</x:v>
      </x:c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1" customHeight="1">
      <x:c r="A331" s="5" t="n">
        <x:v>43972</x:v>
      </x:c>
      <x:c r="B331" s="1" t="str">
        <x:v>Пермь</x:v>
      </x:c>
      <x:c r="C331" s="1" t="n">
        <x:v>16554</x:v>
      </x:c>
      <x:c r="D331" s="6" t="n">
        <x:v>1380751.5</x:v>
      </x:c>
      <x:c r="E331" s="6" t="n">
        <x:v>1137748.7319999998</x:v>
      </x:c>
      <x:c r="F331" s="6" t="n">
        <x:v>227139.51416923077</x:v>
      </x:c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1" customHeight="1">
      <x:c r="A332" s="5" t="n">
        <x:v>43972</x:v>
      </x:c>
      <x:c r="B332" s="1" t="str">
        <x:v>Ростов-на-Дону</x:v>
      </x:c>
      <x:c r="C332" s="1" t="n">
        <x:v>12135</x:v>
      </x:c>
      <x:c r="D332" s="6" t="n">
        <x:v>1103623.5</x:v>
      </x:c>
      <x:c r="E332" s="6" t="n">
        <x:v>899589.3060000001</x:v>
      </x:c>
      <x:c r="F332" s="6" t="n">
        <x:v>184440.53076923077</x:v>
      </x:c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1" customHeight="1">
      <x:c r="A333" s="5" t="n">
        <x:v>43972</x:v>
      </x:c>
      <x:c r="B333" s="1" t="str">
        <x:v>Санкт-Петербург Север</x:v>
      </x:c>
      <x:c r="C333" s="1" t="n">
        <x:v>378043.5</x:v>
      </x:c>
      <x:c r="D333" s="6" t="n">
        <x:v>37902156.57</x:v>
      </x:c>
      <x:c r="E333" s="6" t="n">
        <x:v>28083686.689999998</x:v>
      </x:c>
      <x:c r="F333" s="6" t="n">
        <x:v>713697.6076923077</x:v>
      </x:c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1" customHeight="1">
      <x:c r="A334" s="5" t="n">
        <x:v>43972</x:v>
      </x:c>
      <x:c r="B334" s="1" t="str">
        <x:v>Санкт-Петербург Юг</x:v>
      </x:c>
      <x:c r="C334" s="1" t="n">
        <x:v>288936</x:v>
      </x:c>
      <x:c r="D334" s="6" t="n">
        <x:v>27852900</x:v>
      </x:c>
      <x:c r="E334" s="6" t="n">
        <x:v>20824687.999</x:v>
      </x:c>
      <x:c r="F334" s="6" t="n">
        <x:v>822353.4393615385</x:v>
      </x:c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1" customHeight="1">
      <x:c r="A335" s="5" t="n">
        <x:v>43972</x:v>
      </x:c>
      <x:c r="B335" s="1" t="str">
        <x:v>Тольятти</x:v>
      </x:c>
      <x:c r="C335" s="1" t="n">
        <x:v>11250</x:v>
      </x:c>
      <x:c r="D335" s="6" t="n">
        <x:v>935523</x:v>
      </x:c>
      <x:c r="E335" s="6" t="n">
        <x:v>808524.505</x:v>
      </x:c>
      <x:c r="F335" s="6" t="n">
        <x:v>94344.95384615385</x:v>
      </x:c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1" customHeight="1">
      <x:c r="A336" s="5" t="n">
        <x:v>43973</x:v>
      </x:c>
      <x:c r="B336" s="1" t="str">
        <x:v>Волгоград</x:v>
      </x:c>
      <x:c r="C336" s="1" t="n">
        <x:v>75820.5</x:v>
      </x:c>
      <x:c r="D336" s="6" t="n">
        <x:v>5943489</x:v>
      </x:c>
      <x:c r="E336" s="6" t="n">
        <x:v>5046963.672</x:v>
      </x:c>
      <x:c r="F336" s="6" t="n">
        <x:v>196334.07284615384</x:v>
      </x:c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1" customHeight="1">
      <x:c r="A337" s="5" t="n">
        <x:v>43973</x:v>
      </x:c>
      <x:c r="B337" s="1" t="str">
        <x:v>Екатеринбург</x:v>
      </x:c>
      <x:c r="C337" s="1" t="n">
        <x:v>97963.5</x:v>
      </x:c>
      <x:c r="D337" s="6" t="n">
        <x:v>7728465</x:v>
      </x:c>
      <x:c r="E337" s="6" t="n">
        <x:v>6415904.924000001</x:v>
      </x:c>
      <x:c r="F337" s="6" t="n">
        <x:v>150138.8230769231</x:v>
      </x:c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1" customHeight="1">
      <x:c r="A338" s="5" t="n">
        <x:v>43973</x:v>
      </x:c>
      <x:c r="B338" s="1" t="str">
        <x:v>Казань</x:v>
      </x:c>
      <x:c r="C338" s="1" t="n">
        <x:v>53838</x:v>
      </x:c>
      <x:c r="D338" s="6" t="n">
        <x:v>4840833</x:v>
      </x:c>
      <x:c r="E338" s="6" t="n">
        <x:v>4017247.747</x:v>
      </x:c>
      <x:c r="F338" s="6" t="n">
        <x:v>147709.19777692307</x:v>
      </x:c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1" customHeight="1">
      <x:c r="A339" s="5" t="n">
        <x:v>43973</x:v>
      </x:c>
      <x:c r="B339" s="1" t="str">
        <x:v>Кемерово</x:v>
      </x:c>
      <x:c r="C339" s="1" t="n">
        <x:v>36031.5</x:v>
      </x:c>
      <x:c r="D339" s="6" t="n">
        <x:v>3091069.5</x:v>
      </x:c>
      <x:c r="E339" s="6" t="n">
        <x:v>2549333.4129999997</x:v>
      </x:c>
      <x:c r="F339" s="6" t="n">
        <x:v>289900.0938461538</x:v>
      </x:c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1" customHeight="1">
      <x:c r="A340" s="5" t="n">
        <x:v>43973</x:v>
      </x:c>
      <x:c r="B340" s="1" t="str">
        <x:v>Краснодар</x:v>
      </x:c>
      <x:c r="C340" s="1" t="n">
        <x:v>30781.5</x:v>
      </x:c>
      <x:c r="D340" s="6" t="n">
        <x:v>2540715</x:v>
      </x:c>
      <x:c r="E340" s="6" t="n">
        <x:v>2108065.569</x:v>
      </x:c>
      <x:c r="F340" s="6" t="n">
        <x:v>90381.16923076923</x:v>
      </x:c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1" customHeight="1">
      <x:c r="A341" s="5" t="n">
        <x:v>43973</x:v>
      </x:c>
      <x:c r="B341" s="1" t="str">
        <x:v>Москва Восток</x:v>
      </x:c>
      <x:c r="C341" s="1" t="n">
        <x:v>214428</x:v>
      </x:c>
      <x:c r="D341" s="6" t="n">
        <x:v>20812585.5</x:v>
      </x:c>
      <x:c r="E341" s="6" t="n">
        <x:v>15857489.721</x:v>
      </x:c>
      <x:c r="F341" s="6" t="n">
        <x:v>256649.1615384615</x:v>
      </x:c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1" customHeight="1">
      <x:c r="A342" s="5" t="n">
        <x:v>43973</x:v>
      </x:c>
      <x:c r="B342" s="1" t="str">
        <x:v>Москва Запад</x:v>
      </x:c>
      <x:c r="C342" s="1" t="n">
        <x:v>228334.5</x:v>
      </x:c>
      <x:c r="D342" s="6" t="n">
        <x:v>22380772.5</x:v>
      </x:c>
      <x:c r="E342" s="6" t="n">
        <x:v>17031004.073</x:v>
      </x:c>
      <x:c r="F342" s="6" t="n">
        <x:v>275436.23846153845</x:v>
      </x:c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1" customHeight="1">
      <x:c r="A343" s="5" t="n">
        <x:v>43973</x:v>
      </x:c>
      <x:c r="B343" s="1" t="str">
        <x:v>Нижний Новгород</x:v>
      </x:c>
      <x:c r="C343" s="1" t="n">
        <x:v>38074.5</x:v>
      </x:c>
      <x:c r="D343" s="6" t="n">
        <x:v>3414180</x:v>
      </x:c>
      <x:c r="E343" s="6" t="n">
        <x:v>2805831.5209999997</x:v>
      </x:c>
      <x:c r="F343" s="6" t="n">
        <x:v>124540.74078461538</x:v>
      </x:c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1" customHeight="1">
      <x:c r="A344" s="5" t="n">
        <x:v>43973</x:v>
      </x:c>
      <x:c r="B344" s="1" t="str">
        <x:v>Новосибирск</x:v>
      </x:c>
      <x:c r="C344" s="1" t="n">
        <x:v>17008.5</x:v>
      </x:c>
      <x:c r="D344" s="6" t="n">
        <x:v>1398771</x:v>
      </x:c>
      <x:c r="E344" s="6" t="n">
        <x:v>1144986.397</x:v>
      </x:c>
      <x:c r="F344" s="6" t="n">
        <x:v>158820.4117</x:v>
      </x:c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1" customHeight="1">
      <x:c r="A345" s="5" t="n">
        <x:v>43973</x:v>
      </x:c>
      <x:c r="B345" s="1" t="str">
        <x:v>Пермь</x:v>
      </x:c>
      <x:c r="C345" s="1" t="n">
        <x:v>21483</x:v>
      </x:c>
      <x:c r="D345" s="6" t="n">
        <x:v>1774329</x:v>
      </x:c>
      <x:c r="E345" s="6" t="n">
        <x:v>1460215.51</x:v>
      </x:c>
      <x:c r="F345" s="6" t="n">
        <x:v>181509.9923076923</x:v>
      </x:c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1" customHeight="1">
      <x:c r="A346" s="5" t="n">
        <x:v>43973</x:v>
      </x:c>
      <x:c r="B346" s="1" t="str">
        <x:v>Ростов-на-Дону</x:v>
      </x:c>
      <x:c r="C346" s="1" t="n">
        <x:v>15802.5</x:v>
      </x:c>
      <x:c r="D346" s="6" t="n">
        <x:v>1411909.5</x:v>
      </x:c>
      <x:c r="E346" s="6" t="n">
        <x:v>1158841.584</x:v>
      </x:c>
      <x:c r="F346" s="6" t="n">
        <x:v>186035.5973846154</x:v>
      </x:c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1" customHeight="1">
      <x:c r="A347" s="5" t="n">
        <x:v>43973</x:v>
      </x:c>
      <x:c r="B347" s="1" t="str">
        <x:v>Санкт-Петербург Север</x:v>
      </x:c>
      <x:c r="C347" s="1" t="n">
        <x:v>393018</x:v>
      </x:c>
      <x:c r="D347" s="6" t="n">
        <x:v>39498373.5</x:v>
      </x:c>
      <x:c r="E347" s="6" t="n">
        <x:v>29683782.432999995</x:v>
      </x:c>
      <x:c r="F347" s="6" t="n">
        <x:v>636230.3201153845</x:v>
      </x:c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1" customHeight="1">
      <x:c r="A348" s="5" t="n">
        <x:v>43973</x:v>
      </x:c>
      <x:c r="B348" s="1" t="str">
        <x:v>Санкт-Петербург Юг</x:v>
      </x:c>
      <x:c r="C348" s="1" t="n">
        <x:v>304092</x:v>
      </x:c>
      <x:c r="D348" s="6" t="n">
        <x:v>29465769</x:v>
      </x:c>
      <x:c r="E348" s="6" t="n">
        <x:v>22276452.264999997</x:v>
      </x:c>
      <x:c r="F348" s="6" t="n">
        <x:v>570447.6369538462</x:v>
      </x:c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1" customHeight="1">
      <x:c r="A349" s="5" t="n">
        <x:v>43973</x:v>
      </x:c>
      <x:c r="B349" s="1" t="str">
        <x:v>Тольятти</x:v>
      </x:c>
      <x:c r="C349" s="1" t="n">
        <x:v>18036</x:v>
      </x:c>
      <x:c r="D349" s="6" t="n">
        <x:v>1455049.5</x:v>
      </x:c>
      <x:c r="E349" s="6" t="n">
        <x:v>1301439.284</x:v>
      </x:c>
      <x:c r="F349" s="6" t="n">
        <x:v>69189.12307692308</x:v>
      </x:c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1" customHeight="1">
      <x:c r="A350" s="5" t="n">
        <x:v>43974</x:v>
      </x:c>
      <x:c r="B350" s="1" t="str">
        <x:v>Волгоград</x:v>
      </x:c>
      <x:c r="C350" s="1" t="n">
        <x:v>89556</x:v>
      </x:c>
      <x:c r="D350" s="6" t="n">
        <x:v>7173117</x:v>
      </x:c>
      <x:c r="E350" s="6" t="n">
        <x:v>6068194.523</x:v>
      </x:c>
      <x:c r="F350" s="6" t="n">
        <x:v>139983.69019999998</x:v>
      </x:c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1" customHeight="1">
      <x:c r="A351" s="5" t="n">
        <x:v>43974</x:v>
      </x:c>
      <x:c r="B351" s="1" t="str">
        <x:v>Екатеринбург</x:v>
      </x:c>
      <x:c r="C351" s="1" t="n">
        <x:v>102889.5</x:v>
      </x:c>
      <x:c r="D351" s="6" t="n">
        <x:v>8089143</x:v>
      </x:c>
      <x:c r="E351" s="6" t="n">
        <x:v>6673236.372</x:v>
      </x:c>
      <x:c r="F351" s="6" t="n">
        <x:v>127223.84583076923</x:v>
      </x:c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1" customHeight="1">
      <x:c r="A352" s="5" t="n">
        <x:v>43974</x:v>
      </x:c>
      <x:c r="B352" s="1" t="str">
        <x:v>Казань</x:v>
      </x:c>
      <x:c r="C352" s="1" t="n">
        <x:v>42999</x:v>
      </x:c>
      <x:c r="D352" s="6" t="n">
        <x:v>3883215</x:v>
      </x:c>
      <x:c r="E352" s="6" t="n">
        <x:v>3151914.3419999997</x:v>
      </x:c>
      <x:c r="F352" s="6" t="n">
        <x:v>162279.9956153846</x:v>
      </x:c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1" customHeight="1">
      <x:c r="A353" s="5" t="n">
        <x:v>43974</x:v>
      </x:c>
      <x:c r="B353" s="1" t="str">
        <x:v>Кемерово</x:v>
      </x:c>
      <x:c r="C353" s="1" t="n">
        <x:v>42703.5</x:v>
      </x:c>
      <x:c r="D353" s="6" t="n">
        <x:v>3628726.5</x:v>
      </x:c>
      <x:c r="E353" s="6" t="n">
        <x:v>3056063.735</x:v>
      </x:c>
      <x:c r="F353" s="6" t="n">
        <x:v>223670.01693846151</x:v>
      </x:c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1" customHeight="1">
      <x:c r="A354" s="5" t="n">
        <x:v>43974</x:v>
      </x:c>
      <x:c r="B354" s="1" t="str">
        <x:v>Краснодар</x:v>
      </x:c>
      <x:c r="C354" s="1" t="n">
        <x:v>36997.5</x:v>
      </x:c>
      <x:c r="D354" s="6" t="n">
        <x:v>3089140.5</x:v>
      </x:c>
      <x:c r="E354" s="6" t="n">
        <x:v>2533823.174</x:v>
      </x:c>
      <x:c r="F354" s="6" t="n">
        <x:v>109891.53846153845</x:v>
      </x:c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1" customHeight="1">
      <x:c r="A355" s="5" t="n">
        <x:v>43974</x:v>
      </x:c>
      <x:c r="B355" s="1" t="str">
        <x:v>Москва Восток</x:v>
      </x:c>
      <x:c r="C355" s="1" t="n">
        <x:v>275793</x:v>
      </x:c>
      <x:c r="D355" s="6" t="n">
        <x:v>26806626</x:v>
      </x:c>
      <x:c r="E355" s="6" t="n">
        <x:v>20508194.544999998</x:v>
      </x:c>
      <x:c r="F355" s="6" t="n">
        <x:v>239346.81538461536</x:v>
      </x:c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1" customHeight="1">
      <x:c r="A356" s="5" t="n">
        <x:v>43974</x:v>
      </x:c>
      <x:c r="B356" s="1" t="str">
        <x:v>Москва Запад</x:v>
      </x:c>
      <x:c r="C356" s="1" t="n">
        <x:v>292018.5</x:v>
      </x:c>
      <x:c r="D356" s="6" t="n">
        <x:v>28590910.5</x:v>
      </x:c>
      <x:c r="E356" s="6" t="n">
        <x:v>21740920.338999998</x:v>
      </x:c>
      <x:c r="F356" s="6" t="n">
        <x:v>206427.73076923075</x:v>
      </x:c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1" customHeight="1">
      <x:c r="A357" s="5" t="n">
        <x:v>43974</x:v>
      </x:c>
      <x:c r="B357" s="1" t="str">
        <x:v>Нижний Новгород</x:v>
      </x:c>
      <x:c r="C357" s="1" t="n">
        <x:v>38176.5</x:v>
      </x:c>
      <x:c r="D357" s="6" t="n">
        <x:v>3385372.5</x:v>
      </x:c>
      <x:c r="E357" s="6" t="n">
        <x:v>2831498.2739999997</x:v>
      </x:c>
      <x:c r="F357" s="6" t="n">
        <x:v>146460.30097692306</x:v>
      </x:c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1" customHeight="1">
      <x:c r="A358" s="5" t="n">
        <x:v>43974</x:v>
      </x:c>
      <x:c r="B358" s="1" t="str">
        <x:v>Новосибирск</x:v>
      </x:c>
      <x:c r="C358" s="1" t="n">
        <x:v>17943</x:v>
      </x:c>
      <x:c r="D358" s="6" t="n">
        <x:v>1457391</x:v>
      </x:c>
      <x:c r="E358" s="6" t="n">
        <x:v>1194154.7659999998</x:v>
      </x:c>
      <x:c r="F358" s="6" t="n">
        <x:v>124621.03076923077</x:v>
      </x:c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1" customHeight="1">
      <x:c r="A359" s="5" t="n">
        <x:v>43974</x:v>
      </x:c>
      <x:c r="B359" s="1" t="str">
        <x:v>Пермь</x:v>
      </x:c>
      <x:c r="C359" s="1" t="n">
        <x:v>21958.5</x:v>
      </x:c>
      <x:c r="D359" s="6" t="n">
        <x:v>1854001.5</x:v>
      </x:c>
      <x:c r="E359" s="6" t="n">
        <x:v>1515956.368</x:v>
      </x:c>
      <x:c r="F359" s="6" t="n">
        <x:v>206787.93638461537</x:v>
      </x:c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1" customHeight="1">
      <x:c r="A360" s="5" t="n">
        <x:v>43974</x:v>
      </x:c>
      <x:c r="B360" s="1" t="str">
        <x:v>Ростов-на-Дону</x:v>
      </x:c>
      <x:c r="C360" s="1" t="n">
        <x:v>14167.5</x:v>
      </x:c>
      <x:c r="D360" s="6" t="n">
        <x:v>1315075.5</x:v>
      </x:c>
      <x:c r="E360" s="6" t="n">
        <x:v>1074904.135</x:v>
      </x:c>
      <x:c r="F360" s="6" t="n">
        <x:v>269233.3443692308</x:v>
      </x:c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1" customHeight="1">
      <x:c r="A361" s="5" t="n">
        <x:v>43974</x:v>
      </x:c>
      <x:c r="B361" s="1" t="str">
        <x:v>Санкт-Петербург Север</x:v>
      </x:c>
      <x:c r="C361" s="1" t="n">
        <x:v>456885</x:v>
      </x:c>
      <x:c r="D361" s="6" t="n">
        <x:v>46408080</x:v>
      </x:c>
      <x:c r="E361" s="6" t="n">
        <x:v>34793888.933</x:v>
      </x:c>
      <x:c r="F361" s="6" t="n">
        <x:v>595793.090653846</x:v>
      </x:c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1" customHeight="1">
      <x:c r="A362" s="5" t="n">
        <x:v>43974</x:v>
      </x:c>
      <x:c r="B362" s="1" t="str">
        <x:v>Санкт-Петербург Юг</x:v>
      </x:c>
      <x:c r="C362" s="1" t="n">
        <x:v>356982</x:v>
      </x:c>
      <x:c r="D362" s="6" t="n">
        <x:v>35103926.71155</x:v>
      </x:c>
      <x:c r="E362" s="6" t="n">
        <x:v>26357141.036999997</x:v>
      </x:c>
      <x:c r="F362" s="6" t="n">
        <x:v>601482.0769230769</x:v>
      </x:c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1" customHeight="1">
      <x:c r="A363" s="5" t="n">
        <x:v>43974</x:v>
      </x:c>
      <x:c r="B363" s="1" t="str">
        <x:v>Тольятти</x:v>
      </x:c>
      <x:c r="C363" s="1" t="n">
        <x:v>14773.5</x:v>
      </x:c>
      <x:c r="D363" s="6" t="n">
        <x:v>1241383.5</x:v>
      </x:c>
      <x:c r="E363" s="6" t="n">
        <x:v>1069622.507</x:v>
      </x:c>
      <x:c r="F363" s="6" t="n">
        <x:v>74049.52307692308</x:v>
      </x:c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1" customHeight="1">
      <x:c r="A364" s="5" t="n">
        <x:v>43975</x:v>
      </x:c>
      <x:c r="B364" s="1" t="str">
        <x:v>Волгоград</x:v>
      </x:c>
      <x:c r="C364" s="1" t="n">
        <x:v>74649</x:v>
      </x:c>
      <x:c r="D364" s="6" t="n">
        <x:v>6098236.5</x:v>
      </x:c>
      <x:c r="E364" s="6" t="n">
        <x:v>5042435.841</x:v>
      </x:c>
      <x:c r="F364" s="6" t="n">
        <x:v>156805.8346153846</x:v>
      </x:c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1" customHeight="1">
      <x:c r="A365" s="5" t="n">
        <x:v>43975</x:v>
      </x:c>
      <x:c r="B365" s="1" t="str">
        <x:v>Екатеринбург</x:v>
      </x:c>
      <x:c r="C365" s="1" t="n">
        <x:v>76663.5</x:v>
      </x:c>
      <x:c r="D365" s="6" t="n">
        <x:v>6451032</x:v>
      </x:c>
      <x:c r="E365" s="6" t="n">
        <x:v>5048965.796</x:v>
      </x:c>
      <x:c r="F365" s="6" t="n">
        <x:v>94608.14615384614</x:v>
      </x:c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1" customHeight="1">
      <x:c r="A366" s="5" t="n">
        <x:v>43975</x:v>
      </x:c>
      <x:c r="B366" s="1" t="str">
        <x:v>Казань</x:v>
      </x:c>
      <x:c r="C366" s="1" t="n">
        <x:v>38194.5</x:v>
      </x:c>
      <x:c r="D366" s="6" t="n">
        <x:v>3449302.5</x:v>
      </x:c>
      <x:c r="E366" s="6" t="n">
        <x:v>2798056.2479999997</x:v>
      </x:c>
      <x:c r="F366" s="6" t="n">
        <x:v>174707.83838461537</x:v>
      </x:c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1" customHeight="1">
      <x:c r="A367" s="5" t="n">
        <x:v>43975</x:v>
      </x:c>
      <x:c r="B367" s="1" t="str">
        <x:v>Кемерово</x:v>
      </x:c>
      <x:c r="C367" s="1" t="n">
        <x:v>34303.5</x:v>
      </x:c>
      <x:c r="D367" s="6" t="n">
        <x:v>2924746.5</x:v>
      </x:c>
      <x:c r="E367" s="6" t="n">
        <x:v>2399312.935</x:v>
      </x:c>
      <x:c r="F367" s="6" t="n">
        <x:v>282325.24615384615</x:v>
      </x:c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1" customHeight="1">
      <x:c r="A368" s="5" t="n">
        <x:v>43975</x:v>
      </x:c>
      <x:c r="B368" s="1" t="str">
        <x:v>Краснодар</x:v>
      </x:c>
      <x:c r="C368" s="1" t="n">
        <x:v>29824.5</x:v>
      </x:c>
      <x:c r="D368" s="6" t="n">
        <x:v>2526909</x:v>
      </x:c>
      <x:c r="E368" s="6" t="n">
        <x:v>2092407.26</x:v>
      </x:c>
      <x:c r="F368" s="6" t="n">
        <x:v>62346.41538461538</x:v>
      </x:c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1" customHeight="1">
      <x:c r="A369" s="5" t="n">
        <x:v>43975</x:v>
      </x:c>
      <x:c r="B369" s="1" t="str">
        <x:v>Москва Восток</x:v>
      </x:c>
      <x:c r="C369" s="1" t="n">
        <x:v>193719</x:v>
      </x:c>
      <x:c r="D369" s="6" t="n">
        <x:v>19071117</x:v>
      </x:c>
      <x:c r="E369" s="6" t="n">
        <x:v>14541424.877999999</x:v>
      </x:c>
      <x:c r="F369" s="6" t="n">
        <x:v>304806.9854230769</x:v>
      </x:c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1" customHeight="1">
      <x:c r="A370" s="5" t="n">
        <x:v>43975</x:v>
      </x:c>
      <x:c r="B370" s="1" t="str">
        <x:v>Москва Запад</x:v>
      </x:c>
      <x:c r="C370" s="1" t="n">
        <x:v>200029.5</x:v>
      </x:c>
      <x:c r="D370" s="6" t="n">
        <x:v>19959801</x:v>
      </x:c>
      <x:c r="E370" s="6" t="n">
        <x:v>15125624.641999999</x:v>
      </x:c>
      <x:c r="F370" s="6" t="n">
        <x:v>318671.8546538461</x:v>
      </x:c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1" customHeight="1">
      <x:c r="A371" s="5" t="n">
        <x:v>43975</x:v>
      </x:c>
      <x:c r="B371" s="1" t="str">
        <x:v>Нижний Новгород</x:v>
      </x:c>
      <x:c r="C371" s="1" t="n">
        <x:v>31854</x:v>
      </x:c>
      <x:c r="D371" s="6" t="n">
        <x:v>2915533.5</x:v>
      </x:c>
      <x:c r="E371" s="6" t="n">
        <x:v>2431800.394</x:v>
      </x:c>
      <x:c r="F371" s="6" t="n">
        <x:v>155421.87692307692</x:v>
      </x:c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1" customHeight="1">
      <x:c r="A372" s="5" t="n">
        <x:v>43975</x:v>
      </x:c>
      <x:c r="B372" s="1" t="str">
        <x:v>Новосибирск</x:v>
      </x:c>
      <x:c r="C372" s="1" t="n">
        <x:v>17197.5</x:v>
      </x:c>
      <x:c r="D372" s="6" t="n">
        <x:v>1386262.5</x:v>
      </x:c>
      <x:c r="E372" s="6" t="n">
        <x:v>1130117.381</x:v>
      </x:c>
      <x:c r="F372" s="6" t="n">
        <x:v>121581.84923076924</x:v>
      </x:c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1" customHeight="1">
      <x:c r="A373" s="5" t="n">
        <x:v>43975</x:v>
      </x:c>
      <x:c r="B373" s="1" t="str">
        <x:v>Пермь</x:v>
      </x:c>
      <x:c r="C373" s="1" t="n">
        <x:v>18075</x:v>
      </x:c>
      <x:c r="D373" s="6" t="n">
        <x:v>1548099</x:v>
      </x:c>
      <x:c r="E373" s="6" t="n">
        <x:v>1256993.4810000001</x:v>
      </x:c>
      <x:c r="F373" s="6" t="n">
        <x:v>213288.93846153846</x:v>
      </x:c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1" customHeight="1">
      <x:c r="A374" s="5" t="n">
        <x:v>43975</x:v>
      </x:c>
      <x:c r="B374" s="1" t="str">
        <x:v>Ростов-на-Дону</x:v>
      </x:c>
      <x:c r="C374" s="1" t="n">
        <x:v>12666</x:v>
      </x:c>
      <x:c r="D374" s="6" t="n">
        <x:v>1184865</x:v>
      </x:c>
      <x:c r="E374" s="6" t="n">
        <x:v>953822.6209999999</x:v>
      </x:c>
      <x:c r="F374" s="6" t="n">
        <x:v>340158.78723076923</x:v>
      </x:c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1" customHeight="1">
      <x:c r="A375" s="5" t="n">
        <x:v>43975</x:v>
      </x:c>
      <x:c r="B375" s="1" t="str">
        <x:v>Санкт-Петербург Север</x:v>
      </x:c>
      <x:c r="C375" s="1" t="n">
        <x:v>375744</x:v>
      </x:c>
      <x:c r="D375" s="6" t="n">
        <x:v>38191381.5</x:v>
      </x:c>
      <x:c r="E375" s="6" t="n">
        <x:v>28822960.470999997</x:v>
      </x:c>
      <x:c r="F375" s="6" t="n">
        <x:v>574198.1153846154</x:v>
      </x:c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1" customHeight="1">
      <x:c r="A376" s="5" t="n">
        <x:v>43975</x:v>
      </x:c>
      <x:c r="B376" s="1" t="str">
        <x:v>Санкт-Петербург Юг</x:v>
      </x:c>
      <x:c r="C376" s="1" t="n">
        <x:v>287740.5</x:v>
      </x:c>
      <x:c r="D376" s="6" t="n">
        <x:v>28188534</x:v>
      </x:c>
      <x:c r="E376" s="6" t="n">
        <x:v>21369401.387</x:v>
      </x:c>
      <x:c r="F376" s="6" t="n">
        <x:v>607679.3461538461</x:v>
      </x:c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1" customHeight="1">
      <x:c r="A377" s="5" t="n">
        <x:v>43975</x:v>
      </x:c>
      <x:c r="B377" s="1" t="str">
        <x:v>Тольятти</x:v>
      </x:c>
      <x:c r="C377" s="1" t="n">
        <x:v>9994.5</x:v>
      </x:c>
      <x:c r="D377" s="6" t="n">
        <x:v>828984</x:v>
      </x:c>
      <x:c r="E377" s="6" t="n">
        <x:v>702631.811</x:v>
      </x:c>
      <x:c r="F377" s="6" t="n">
        <x:v>82264.56716923077</x:v>
      </x:c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1" customHeight="1">
      <x:c r="A378" s="5" t="n">
        <x:v>43976</x:v>
      </x:c>
      <x:c r="B378" s="1" t="str">
        <x:v>Волгоград</x:v>
      </x:c>
      <x:c r="C378" s="1" t="n">
        <x:v>66316.5</x:v>
      </x:c>
      <x:c r="D378" s="6" t="n">
        <x:v>5704650</x:v>
      </x:c>
      <x:c r="E378" s="6" t="n">
        <x:v>4375924.236</x:v>
      </x:c>
      <x:c r="F378" s="6" t="n">
        <x:v>135246.95929230767</x:v>
      </x:c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1" customHeight="1">
      <x:c r="A379" s="5" t="n">
        <x:v>43976</x:v>
      </x:c>
      <x:c r="B379" s="1" t="str">
        <x:v>Екатеринбург</x:v>
      </x:c>
      <x:c r="C379" s="1" t="n">
        <x:v>76999.5</x:v>
      </x:c>
      <x:c r="D379" s="6" t="n">
        <x:v>6645603</x:v>
      </x:c>
      <x:c r="E379" s="6" t="n">
        <x:v>5032216.188999999</x:v>
      </x:c>
      <x:c r="F379" s="6" t="n">
        <x:v>100883.95384615385</x:v>
      </x:c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1" customHeight="1">
      <x:c r="A380" s="5" t="n">
        <x:v>43976</x:v>
      </x:c>
      <x:c r="B380" s="1" t="str">
        <x:v>Казань</x:v>
      </x:c>
      <x:c r="C380" s="1" t="n">
        <x:v>38740.5</x:v>
      </x:c>
      <x:c r="D380" s="6" t="n">
        <x:v>3561655.5</x:v>
      </x:c>
      <x:c r="E380" s="6" t="n">
        <x:v>2769041.2770000002</x:v>
      </x:c>
      <x:c r="F380" s="6" t="n">
        <x:v>180495.52483076922</x:v>
      </x:c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1" customHeight="1">
      <x:c r="A381" s="5" t="n">
        <x:v>43976</x:v>
      </x:c>
      <x:c r="B381" s="1" t="str">
        <x:v>Кемерово</x:v>
      </x:c>
      <x:c r="C381" s="1" t="n">
        <x:v>35592</x:v>
      </x:c>
      <x:c r="D381" s="6" t="n">
        <x:v>3176580</x:v>
      </x:c>
      <x:c r="E381" s="6" t="n">
        <x:v>2540760.0409999997</x:v>
      </x:c>
      <x:c r="F381" s="6" t="n">
        <x:v>351098.05384615384</x:v>
      </x:c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1" customHeight="1">
      <x:c r="A382" s="5" t="n">
        <x:v>43976</x:v>
      </x:c>
      <x:c r="B382" s="1" t="str">
        <x:v>Краснодар</x:v>
      </x:c>
      <x:c r="C382" s="1" t="n">
        <x:v>28494</x:v>
      </x:c>
      <x:c r="D382" s="6" t="n">
        <x:v>2512803</x:v>
      </x:c>
      <x:c r="E382" s="6" t="n">
        <x:v>1972327.267</x:v>
      </x:c>
      <x:c r="F382" s="6" t="n">
        <x:v>174025.3846153846</x:v>
      </x:c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1" customHeight="1">
      <x:c r="A383" s="5" t="n">
        <x:v>43976</x:v>
      </x:c>
      <x:c r="B383" s="1" t="str">
        <x:v>Москва Восток</x:v>
      </x:c>
      <x:c r="C383" s="1" t="n">
        <x:v>192948</x:v>
      </x:c>
      <x:c r="D383" s="6" t="n">
        <x:v>19806927</x:v>
      </x:c>
      <x:c r="E383" s="6" t="n">
        <x:v>14358653.389999999</x:v>
      </x:c>
      <x:c r="F383" s="6" t="n">
        <x:v>319377.7946153846</x:v>
      </x:c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1" customHeight="1">
      <x:c r="A384" s="5" t="n">
        <x:v>43976</x:v>
      </x:c>
      <x:c r="B384" s="1" t="str">
        <x:v>Москва Запад</x:v>
      </x:c>
      <x:c r="C384" s="1" t="n">
        <x:v>198751.5</x:v>
      </x:c>
      <x:c r="D384" s="6" t="n">
        <x:v>20582743.5</x:v>
      </x:c>
      <x:c r="E384" s="6" t="n">
        <x:v>14894008.652</x:v>
      </x:c>
      <x:c r="F384" s="6" t="n">
        <x:v>316452.6615384616</x:v>
      </x:c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1" customHeight="1">
      <x:c r="A385" s="5" t="n">
        <x:v>43976</x:v>
      </x:c>
      <x:c r="B385" s="1" t="str">
        <x:v>Нижний Новгород</x:v>
      </x:c>
      <x:c r="C385" s="1" t="n">
        <x:v>30603</x:v>
      </x:c>
      <x:c r="D385" s="6" t="n">
        <x:v>2865727.5</x:v>
      </x:c>
      <x:c r="E385" s="6" t="n">
        <x:v>2288224.429</x:v>
      </x:c>
      <x:c r="F385" s="6" t="n">
        <x:v>167381.28187692308</x:v>
      </x:c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1" customHeight="1">
      <x:c r="A386" s="5" t="n">
        <x:v>43976</x:v>
      </x:c>
      <x:c r="B386" s="1" t="str">
        <x:v>Новосибирск</x:v>
      </x:c>
      <x:c r="C386" s="1" t="n">
        <x:v>15807</x:v>
      </x:c>
      <x:c r="D386" s="6" t="n">
        <x:v>1326705</x:v>
      </x:c>
      <x:c r="E386" s="6" t="n">
        <x:v>1070563.6439999999</x:v>
      </x:c>
      <x:c r="F386" s="6" t="n">
        <x:v>123343.24153846155</x:v>
      </x:c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1" customHeight="1">
      <x:c r="A387" s="5" t="n">
        <x:v>43976</x:v>
      </x:c>
      <x:c r="B387" s="1" t="str">
        <x:v>Пермь</x:v>
      </x:c>
      <x:c r="C387" s="1" t="n">
        <x:v>17211</x:v>
      </x:c>
      <x:c r="D387" s="6" t="n">
        <x:v>1507867.5</x:v>
      </x:c>
      <x:c r="E387" s="6" t="n">
        <x:v>1217527.6069999998</x:v>
      </x:c>
      <x:c r="F387" s="6" t="n">
        <x:v>246242.8615384615</x:v>
      </x:c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1" customHeight="1">
      <x:c r="A388" s="5" t="n">
        <x:v>43976</x:v>
      </x:c>
      <x:c r="B388" s="1" t="str">
        <x:v>Ростов-на-Дону</x:v>
      </x:c>
      <x:c r="C388" s="1" t="n">
        <x:v>13260</x:v>
      </x:c>
      <x:c r="D388" s="6" t="n">
        <x:v>1230687</x:v>
      </x:c>
      <x:c r="E388" s="6" t="n">
        <x:v>985675.487</x:v>
      </x:c>
      <x:c r="F388" s="6" t="n">
        <x:v>224353.45695384615</x:v>
      </x:c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1" customHeight="1">
      <x:c r="A389" s="5" t="n">
        <x:v>43976</x:v>
      </x:c>
      <x:c r="B389" s="1" t="str">
        <x:v>Санкт-Петербург Север</x:v>
      </x:c>
      <x:c r="C389" s="1" t="n">
        <x:v>349734</x:v>
      </x:c>
      <x:c r="D389" s="6" t="n">
        <x:v>36883428</x:v>
      </x:c>
      <x:c r="E389" s="6" t="n">
        <x:v>26438356.803</x:v>
      </x:c>
      <x:c r="F389" s="6" t="n">
        <x:v>742420.2692307691</x:v>
      </x:c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1" customHeight="1">
      <x:c r="A390" s="5" t="n">
        <x:v>43976</x:v>
      </x:c>
      <x:c r="B390" s="1" t="str">
        <x:v>Санкт-Петербург Юг</x:v>
      </x:c>
      <x:c r="C390" s="1" t="n">
        <x:v>266983.5</x:v>
      </x:c>
      <x:c r="D390" s="6" t="n">
        <x:v>27165913.5</x:v>
      </x:c>
      <x:c r="E390" s="6" t="n">
        <x:v>19659432.722999997</x:v>
      </x:c>
      <x:c r="F390" s="6" t="n">
        <x:v>698314.9846153846</x:v>
      </x:c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1" customHeight="1">
      <x:c r="A391" s="5" t="n">
        <x:v>43976</x:v>
      </x:c>
      <x:c r="B391" s="1" t="str">
        <x:v>Тольятти</x:v>
      </x:c>
      <x:c r="C391" s="1" t="n">
        <x:v>12280.5</x:v>
      </x:c>
      <x:c r="D391" s="6" t="n">
        <x:v>1030440</x:v>
      </x:c>
      <x:c r="E391" s="6" t="n">
        <x:v>871047.598</x:v>
      </x:c>
      <x:c r="F391" s="6" t="n">
        <x:v>85172.08461538462</x:v>
      </x:c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1" customHeight="1">
      <x:c r="A392" s="5" t="n">
        <x:v>43977</x:v>
      </x:c>
      <x:c r="B392" s="1" t="str">
        <x:v>Волгоград</x:v>
      </x:c>
      <x:c r="C392" s="1" t="n">
        <x:v>67726.5</x:v>
      </x:c>
      <x:c r="D392" s="6" t="n">
        <x:v>5864989.5</x:v>
      </x:c>
      <x:c r="E392" s="6" t="n">
        <x:v>4506085.484</x:v>
      </x:c>
      <x:c r="F392" s="6" t="n">
        <x:v>167003.69436153845</x:v>
      </x:c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1" customHeight="1">
      <x:c r="A393" s="5" t="n">
        <x:v>43977</x:v>
      </x:c>
      <x:c r="B393" s="1" t="str">
        <x:v>Екатеринбург</x:v>
      </x:c>
      <x:c r="C393" s="1" t="n">
        <x:v>79975.5</x:v>
      </x:c>
      <x:c r="D393" s="6" t="n">
        <x:v>6676459.5</x:v>
      </x:c>
      <x:c r="E393" s="6" t="n">
        <x:v>5083946.169</x:v>
      </x:c>
      <x:c r="F393" s="6" t="n">
        <x:v>141931.13193076922</x:v>
      </x:c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1" customHeight="1">
      <x:c r="A394" s="5" t="n">
        <x:v>43977</x:v>
      </x:c>
      <x:c r="B394" s="1" t="str">
        <x:v>Казань</x:v>
      </x:c>
      <x:c r="C394" s="1" t="n">
        <x:v>40744.5</x:v>
      </x:c>
      <x:c r="D394" s="6" t="n">
        <x:v>3700311</x:v>
      </x:c>
      <x:c r="E394" s="6" t="n">
        <x:v>2861069.8419999997</x:v>
      </x:c>
      <x:c r="F394" s="6" t="n">
        <x:v>170303.62015384613</x:v>
      </x:c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1" customHeight="1">
      <x:c r="A395" s="5" t="n">
        <x:v>43977</x:v>
      </x:c>
      <x:c r="B395" s="1" t="str">
        <x:v>Кемерово</x:v>
      </x:c>
      <x:c r="C395" s="1" t="n">
        <x:v>33423</x:v>
      </x:c>
      <x:c r="D395" s="6" t="n">
        <x:v>2970330</x:v>
      </x:c>
      <x:c r="E395" s="6" t="n">
        <x:v>2395998.377</x:v>
      </x:c>
      <x:c r="F395" s="6" t="n">
        <x:v>259067.63954615386</x:v>
      </x:c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1" customHeight="1">
      <x:c r="A396" s="5" t="n">
        <x:v>43977</x:v>
      </x:c>
      <x:c r="B396" s="1" t="str">
        <x:v>Краснодар</x:v>
      </x:c>
      <x:c r="C396" s="1" t="n">
        <x:v>27156</x:v>
      </x:c>
      <x:c r="D396" s="6" t="n">
        <x:v>2410803</x:v>
      </x:c>
      <x:c r="E396" s="6" t="n">
        <x:v>1897998.252</x:v>
      </x:c>
      <x:c r="F396" s="6" t="n">
        <x:v>96303.4</x:v>
      </x:c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1" customHeight="1">
      <x:c r="A397" s="5" t="n">
        <x:v>43977</x:v>
      </x:c>
      <x:c r="B397" s="1" t="str">
        <x:v>Москва Восток</x:v>
      </x:c>
      <x:c r="C397" s="1" t="n">
        <x:v>232369.5</x:v>
      </x:c>
      <x:c r="D397" s="6" t="n">
        <x:v>23856345</x:v>
      </x:c>
      <x:c r="E397" s="6" t="n">
        <x:v>17297352.185000002</x:v>
      </x:c>
      <x:c r="F397" s="6" t="n">
        <x:v>279472.1615384615</x:v>
      </x:c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1" customHeight="1">
      <x:c r="A398" s="5" t="n">
        <x:v>43977</x:v>
      </x:c>
      <x:c r="B398" s="1" t="str">
        <x:v>Москва Запад</x:v>
      </x:c>
      <x:c r="C398" s="1" t="n">
        <x:v>244905</x:v>
      </x:c>
      <x:c r="D398" s="6" t="n">
        <x:v>25163431.5</x:v>
      </x:c>
      <x:c r="E398" s="6" t="n">
        <x:v>18210825.697</x:v>
      </x:c>
      <x:c r="F398" s="6" t="n">
        <x:v>272401.2</x:v>
      </x:c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1" customHeight="1">
      <x:c r="A399" s="5" t="n">
        <x:v>43977</x:v>
      </x:c>
      <x:c r="B399" s="1" t="str">
        <x:v>Нижний Новгород</x:v>
      </x:c>
      <x:c r="C399" s="1" t="n">
        <x:v>31407</x:v>
      </x:c>
      <x:c r="D399" s="6" t="n">
        <x:v>2907411</x:v>
      </x:c>
      <x:c r="E399" s="6" t="n">
        <x:v>2288433.495</x:v>
      </x:c>
      <x:c r="F399" s="6" t="n">
        <x:v>193538.8704076923</x:v>
      </x:c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1" customHeight="1">
      <x:c r="A400" s="5" t="n">
        <x:v>43977</x:v>
      </x:c>
      <x:c r="B400" s="1" t="str">
        <x:v>Новосибирск</x:v>
      </x:c>
      <x:c r="C400" s="1" t="n">
        <x:v>14419.5</x:v>
      </x:c>
      <x:c r="D400" s="6" t="n">
        <x:v>1210456.5</x:v>
      </x:c>
      <x:c r="E400" s="6" t="n">
        <x:v>970917.124</x:v>
      </x:c>
      <x:c r="F400" s="6" t="n">
        <x:v>88147.13846153846</x:v>
      </x:c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1" customHeight="1">
      <x:c r="A401" s="5" t="n">
        <x:v>43977</x:v>
      </x:c>
      <x:c r="B401" s="1" t="str">
        <x:v>Пермь</x:v>
      </x:c>
      <x:c r="C401" s="1" t="n">
        <x:v>17391</x:v>
      </x:c>
      <x:c r="D401" s="6" t="n">
        <x:v>1489132.5</x:v>
      </x:c>
      <x:c r="E401" s="6" t="n">
        <x:v>1209901.0159999998</x:v>
      </x:c>
      <x:c r="F401" s="6" t="n">
        <x:v>272121.8153846154</x:v>
      </x:c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1" customHeight="1">
      <x:c r="A402" s="5" t="n">
        <x:v>43977</x:v>
      </x:c>
      <x:c r="B402" s="1" t="str">
        <x:v>Ростов-на-Дону</x:v>
      </x:c>
      <x:c r="C402" s="1" t="n">
        <x:v>12259.5</x:v>
      </x:c>
      <x:c r="D402" s="6" t="n">
        <x:v>1152054</x:v>
      </x:c>
      <x:c r="E402" s="6" t="n">
        <x:v>906579.6209999999</x:v>
      </x:c>
      <x:c r="F402" s="6" t="n">
        <x:v>217611.18753846153</x:v>
      </x:c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1" customHeight="1">
      <x:c r="A403" s="5" t="n">
        <x:v>43977</x:v>
      </x:c>
      <x:c r="B403" s="1" t="str">
        <x:v>Санкт-Петербург Север</x:v>
      </x:c>
      <x:c r="C403" s="1" t="n">
        <x:v>369861</x:v>
      </x:c>
      <x:c r="D403" s="6" t="n">
        <x:v>38365960.5</x:v>
      </x:c>
      <x:c r="E403" s="6" t="n">
        <x:v>27592063.503</x:v>
      </x:c>
      <x:c r="F403" s="6" t="n">
        <x:v>589339.0338461538</x:v>
      </x:c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1" customHeight="1">
      <x:c r="A404" s="5" t="n">
        <x:v>43977</x:v>
      </x:c>
      <x:c r="B404" s="1" t="str">
        <x:v>Санкт-Петербург Юг</x:v>
      </x:c>
      <x:c r="C404" s="1" t="n">
        <x:v>276966</x:v>
      </x:c>
      <x:c r="D404" s="6" t="n">
        <x:v>27872617.89885</x:v>
      </x:c>
      <x:c r="E404" s="6" t="n">
        <x:v>20223763.805</x:v>
      </x:c>
      <x:c r="F404" s="6" t="n">
        <x:v>645572.5782615384</x:v>
      </x:c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1" customHeight="1">
      <x:c r="A405" s="5" t="n">
        <x:v>43977</x:v>
      </x:c>
      <x:c r="B405" s="1" t="str">
        <x:v>Тольятти</x:v>
      </x:c>
      <x:c r="C405" s="1" t="n">
        <x:v>11835</x:v>
      </x:c>
      <x:c r="D405" s="6" t="n">
        <x:v>983109</x:v>
      </x:c>
      <x:c r="E405" s="6" t="n">
        <x:v>825345.0530000001</x:v>
      </x:c>
      <x:c r="F405" s="6" t="n">
        <x:v>109486.33076923077</x:v>
      </x:c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1" customHeight="1">
      <x:c r="A406" s="5" t="n">
        <x:v>43977</x:v>
      </x:c>
      <x:c r="B406" s="1" t="str">
        <x:v>Тюмень</x:v>
      </x:c>
      <x:c r="C406" s="1" t="n">
        <x:v>10437</x:v>
      </x:c>
      <x:c r="D406" s="6" t="n">
        <x:v>833815.5</x:v>
      </x:c>
      <x:c r="E406" s="6" t="n">
        <x:v>737888.3659999999</x:v>
      </x:c>
      <x:c r="F406" s="6" t="n">
        <x:v>39424.85384615384</x:v>
      </x:c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1" customHeight="1">
      <x:c r="A407" s="5" t="n">
        <x:v>43978</x:v>
      </x:c>
      <x:c r="B407" s="1" t="str">
        <x:v>Волгоград</x:v>
      </x:c>
      <x:c r="C407" s="1" t="n">
        <x:v>69010.5</x:v>
      </x:c>
      <x:c r="D407" s="6" t="n">
        <x:v>5985894</x:v>
      </x:c>
      <x:c r="E407" s="6" t="n">
        <x:v>4624968.49</x:v>
      </x:c>
      <x:c r="F407" s="6" t="n">
        <x:v>168769.33384615384</x:v>
      </x:c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1" customHeight="1">
      <x:c r="A408" s="5" t="n">
        <x:v>43978</x:v>
      </x:c>
      <x:c r="B408" s="1" t="str">
        <x:v>Екатеринбург</x:v>
      </x:c>
      <x:c r="C408" s="1" t="n">
        <x:v>78544.5</x:v>
      </x:c>
      <x:c r="D408" s="6" t="n">
        <x:v>6701083.5</x:v>
      </x:c>
      <x:c r="E408" s="6" t="n">
        <x:v>5109499.617</x:v>
      </x:c>
      <x:c r="F408" s="6" t="n">
        <x:v>76226.26923076922</x:v>
      </x:c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1" customHeight="1">
      <x:c r="A409" s="5" t="n">
        <x:v>43978</x:v>
      </x:c>
      <x:c r="B409" s="1" t="str">
        <x:v>Казань</x:v>
      </x:c>
      <x:c r="C409" s="1" t="n">
        <x:v>40420.5</x:v>
      </x:c>
      <x:c r="D409" s="6" t="n">
        <x:v>3780852</x:v>
      </x:c>
      <x:c r="E409" s="6" t="n">
        <x:v>2893288.4459999995</x:v>
      </x:c>
      <x:c r="F409" s="6" t="n">
        <x:v>291528.45785384614</x:v>
      </x:c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1" customHeight="1">
      <x:c r="A410" s="5" t="n">
        <x:v>43978</x:v>
      </x:c>
      <x:c r="B410" s="1" t="str">
        <x:v>Кемерово</x:v>
      </x:c>
      <x:c r="C410" s="1" t="n">
        <x:v>32817</x:v>
      </x:c>
      <x:c r="D410" s="6" t="n">
        <x:v>3015751.5</x:v>
      </x:c>
      <x:c r="E410" s="6" t="n">
        <x:v>2415980.772</x:v>
      </x:c>
      <x:c r="F410" s="6" t="n">
        <x:v>346048.63569230767</x:v>
      </x:c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1" customHeight="1">
      <x:c r="A411" s="5" t="n">
        <x:v>43978</x:v>
      </x:c>
      <x:c r="B411" s="1" t="str">
        <x:v>Краснодар</x:v>
      </x:c>
      <x:c r="C411" s="1" t="n">
        <x:v>28050</x:v>
      </x:c>
      <x:c r="D411" s="6" t="n">
        <x:v>2458555.5</x:v>
      </x:c>
      <x:c r="E411" s="6" t="n">
        <x:v>1979227.4479999999</x:v>
      </x:c>
      <x:c r="F411" s="6" t="n">
        <x:v>122940.53466153846</x:v>
      </x:c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1" customHeight="1">
      <x:c r="A412" s="5" t="n">
        <x:v>43978</x:v>
      </x:c>
      <x:c r="B412" s="1" t="str">
        <x:v>Москва Восток</x:v>
      </x:c>
      <x:c r="C412" s="1" t="n">
        <x:v>203532</x:v>
      </x:c>
      <x:c r="D412" s="6" t="n">
        <x:v>20953324.5</x:v>
      </x:c>
      <x:c r="E412" s="6" t="n">
        <x:v>15301120.521000002</x:v>
      </x:c>
      <x:c r="F412" s="6" t="n">
        <x:v>356339.00384615385</x:v>
      </x:c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1" customHeight="1">
      <x:c r="A413" s="5" t="n">
        <x:v>43978</x:v>
      </x:c>
      <x:c r="B413" s="1" t="str">
        <x:v>Москва Запад</x:v>
      </x:c>
      <x:c r="C413" s="1" t="n">
        <x:v>215592</x:v>
      </x:c>
      <x:c r="D413" s="6" t="n">
        <x:v>22342300.5</x:v>
      </x:c>
      <x:c r="E413" s="6" t="n">
        <x:v>16240834.603999998</x:v>
      </x:c>
      <x:c r="F413" s="6" t="n">
        <x:v>285591.72307692305</x:v>
      </x:c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1" customHeight="1">
      <x:c r="A414" s="5" t="n">
        <x:v>43978</x:v>
      </x:c>
      <x:c r="B414" s="1" t="str">
        <x:v>Нижний Новгород</x:v>
      </x:c>
      <x:c r="C414" s="1" t="n">
        <x:v>31257</x:v>
      </x:c>
      <x:c r="D414" s="6" t="n">
        <x:v>2924133</x:v>
      </x:c>
      <x:c r="E414" s="6" t="n">
        <x:v>2311405.017</x:v>
      </x:c>
      <x:c r="F414" s="6" t="n">
        <x:v>148582.33846153846</x:v>
      </x:c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1" customHeight="1">
      <x:c r="A415" s="5" t="n">
        <x:v>43978</x:v>
      </x:c>
      <x:c r="B415" s="1" t="str">
        <x:v>Новосибирск</x:v>
      </x:c>
      <x:c r="C415" s="1" t="n">
        <x:v>15276</x:v>
      </x:c>
      <x:c r="D415" s="6" t="n">
        <x:v>1350199.5</x:v>
      </x:c>
      <x:c r="E415" s="6" t="n">
        <x:v>1100106.21</x:v>
      </x:c>
      <x:c r="F415" s="6" t="n">
        <x:v>107692.85196923077</x:v>
      </x:c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1" customHeight="1">
      <x:c r="A416" s="5" t="n">
        <x:v>43978</x:v>
      </x:c>
      <x:c r="B416" s="1" t="str">
        <x:v>Пермь</x:v>
      </x:c>
      <x:c r="C416" s="1" t="n">
        <x:v>18069</x:v>
      </x:c>
      <x:c r="D416" s="6" t="n">
        <x:v>1603084.5</x:v>
      </x:c>
      <x:c r="E416" s="6" t="n">
        <x:v>1312709.009</x:v>
      </x:c>
      <x:c r="F416" s="6" t="n">
        <x:v>241760.2076923077</x:v>
      </x:c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1" customHeight="1">
      <x:c r="A417" s="5" t="n">
        <x:v>43978</x:v>
      </x:c>
      <x:c r="B417" s="1" t="str">
        <x:v>Ростов-на-Дону</x:v>
      </x:c>
      <x:c r="C417" s="1" t="n">
        <x:v>13203</x:v>
      </x:c>
      <x:c r="D417" s="6" t="n">
        <x:v>1211457</x:v>
      </x:c>
      <x:c r="E417" s="6" t="n">
        <x:v>964554.2109999999</x:v>
      </x:c>
      <x:c r="F417" s="6" t="n">
        <x:v>156117.80846153846</x:v>
      </x:c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1" customHeight="1">
      <x:c r="A418" s="5" t="n">
        <x:v>43978</x:v>
      </x:c>
      <x:c r="B418" s="1" t="str">
        <x:v>Санкт-Петербург Север</x:v>
      </x:c>
      <x:c r="C418" s="1" t="n">
        <x:v>370012.5</x:v>
      </x:c>
      <x:c r="D418" s="6" t="n">
        <x:v>39034861.5</x:v>
      </x:c>
      <x:c r="E418" s="6" t="n">
        <x:v>28040467.216000002</x:v>
      </x:c>
      <x:c r="F418" s="6" t="n">
        <x:v>681486.5666461538</x:v>
      </x:c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1" customHeight="1">
      <x:c r="A419" s="5" t="n">
        <x:v>43978</x:v>
      </x:c>
      <x:c r="B419" s="1" t="str">
        <x:v>Санкт-Петербург Юг</x:v>
      </x:c>
      <x:c r="C419" s="1" t="n">
        <x:v>286558.5</x:v>
      </x:c>
      <x:c r="D419" s="6" t="n">
        <x:v>29256993</x:v>
      </x:c>
      <x:c r="E419" s="6" t="n">
        <x:v>21169527.457000002</x:v>
      </x:c>
      <x:c r="F419" s="6" t="n">
        <x:v>646741.2813</x:v>
      </x:c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1" customHeight="1">
      <x:c r="A420" s="5" t="n">
        <x:v>43978</x:v>
      </x:c>
      <x:c r="B420" s="1" t="str">
        <x:v>Тольятти</x:v>
      </x:c>
      <x:c r="C420" s="1" t="n">
        <x:v>12490.5</x:v>
      </x:c>
      <x:c r="D420" s="6" t="n">
        <x:v>1054798.5</x:v>
      </x:c>
      <x:c r="E420" s="6" t="n">
        <x:v>878389.065</x:v>
      </x:c>
      <x:c r="F420" s="6" t="n">
        <x:v>67454.76536923076</x:v>
      </x:c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1" customHeight="1">
      <x:c r="A421" s="5" t="n">
        <x:v>43978</x:v>
      </x:c>
      <x:c r="B421" s="1" t="str">
        <x:v>Тюмень</x:v>
      </x:c>
      <x:c r="C421" s="1" t="n">
        <x:v>8362.5</x:v>
      </x:c>
      <x:c r="D421" s="6" t="n">
        <x:v>687684</x:v>
      </x:c>
      <x:c r="E421" s="6" t="n">
        <x:v>597300.389</x:v>
      </x:c>
      <x:c r="F421" s="6" t="n">
        <x:v>48380.49925384615</x:v>
      </x:c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1" customHeight="1">
      <x:c r="A422" s="5" t="n">
        <x:v>43979</x:v>
      </x:c>
      <x:c r="B422" s="1" t="str">
        <x:v>Волгоград</x:v>
      </x:c>
      <x:c r="C422" s="1" t="n">
        <x:v>69945</x:v>
      </x:c>
      <x:c r="D422" s="6" t="n">
        <x:v>6101931</x:v>
      </x:c>
      <x:c r="E422" s="6" t="n">
        <x:v>4743581.977999999</x:v>
      </x:c>
      <x:c r="F422" s="6" t="n">
        <x:v>226018.5524384615</x:v>
      </x:c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1" customHeight="1">
      <x:c r="A423" s="5" t="n">
        <x:v>43979</x:v>
      </x:c>
      <x:c r="B423" s="1" t="str">
        <x:v>Екатеринбург</x:v>
      </x:c>
      <x:c r="C423" s="1" t="n">
        <x:v>78141</x:v>
      </x:c>
      <x:c r="D423" s="6" t="n">
        <x:v>6641569.5</x:v>
      </x:c>
      <x:c r="E423" s="6" t="n">
        <x:v>5084073.516</x:v>
      </x:c>
      <x:c r="F423" s="6" t="n">
        <x:v>142499.01538461537</x:v>
      </x:c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1" customHeight="1">
      <x:c r="A424" s="5" t="n">
        <x:v>43979</x:v>
      </x:c>
      <x:c r="B424" s="1" t="str">
        <x:v>Казань</x:v>
      </x:c>
      <x:c r="C424" s="1" t="n">
        <x:v>41442</x:v>
      </x:c>
      <x:c r="D424" s="6" t="n">
        <x:v>3893680.5</x:v>
      </x:c>
      <x:c r="E424" s="6" t="n">
        <x:v>3004872.349</x:v>
      </x:c>
      <x:c r="F424" s="6" t="n">
        <x:v>190911.88401538462</x:v>
      </x:c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1" customHeight="1">
      <x:c r="A425" s="5" t="n">
        <x:v>43979</x:v>
      </x:c>
      <x:c r="B425" s="1" t="str">
        <x:v>Кемерово</x:v>
      </x:c>
      <x:c r="C425" s="1" t="n">
        <x:v>30982.5</x:v>
      </x:c>
      <x:c r="D425" s="6" t="n">
        <x:v>2827773</x:v>
      </x:c>
      <x:c r="E425" s="6" t="n">
        <x:v>2232253.034</x:v>
      </x:c>
      <x:c r="F425" s="6" t="n">
        <x:v>343211.5426230769</x:v>
      </x:c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1" customHeight="1">
      <x:c r="A426" s="5" t="n">
        <x:v>43979</x:v>
      </x:c>
      <x:c r="B426" s="1" t="str">
        <x:v>Краснодар</x:v>
      </x:c>
      <x:c r="C426" s="1" t="n">
        <x:v>28197</x:v>
      </x:c>
      <x:c r="D426" s="6" t="n">
        <x:v>2559211.5</x:v>
      </x:c>
      <x:c r="E426" s="6" t="n">
        <x:v>2038847.009</x:v>
      </x:c>
      <x:c r="F426" s="6" t="n">
        <x:v>74270.53076923077</x:v>
      </x:c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1" customHeight="1">
      <x:c r="A427" s="5" t="n">
        <x:v>43979</x:v>
      </x:c>
      <x:c r="B427" s="1" t="str">
        <x:v>Москва Восток</x:v>
      </x:c>
      <x:c r="C427" s="1" t="n">
        <x:v>191641.5</x:v>
      </x:c>
      <x:c r="D427" s="6" t="n">
        <x:v>19549036.5</x:v>
      </x:c>
      <x:c r="E427" s="6" t="n">
        <x:v>14481164.23</x:v>
      </x:c>
      <x:c r="F427" s="6" t="n">
        <x:v>266079.27846153843</x:v>
      </x:c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1" customHeight="1">
      <x:c r="A428" s="5" t="n">
        <x:v>43979</x:v>
      </x:c>
      <x:c r="B428" s="1" t="str">
        <x:v>Москва Запад</x:v>
      </x:c>
      <x:c r="C428" s="1" t="n">
        <x:v>199753.5</x:v>
      </x:c>
      <x:c r="D428" s="6" t="n">
        <x:v>20535733.5</x:v>
      </x:c>
      <x:c r="E428" s="6" t="n">
        <x:v>15173462.744</x:v>
      </x:c>
      <x:c r="F428" s="6" t="n">
        <x:v>257491.36923076925</x:v>
      </x:c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1" customHeight="1">
      <x:c r="A429" s="5" t="n">
        <x:v>43979</x:v>
      </x:c>
      <x:c r="B429" s="1" t="str">
        <x:v>Нижний Новгород</x:v>
      </x:c>
      <x:c r="C429" s="1" t="n">
        <x:v>31974</x:v>
      </x:c>
      <x:c r="D429" s="6" t="n">
        <x:v>3004213.5</x:v>
      </x:c>
      <x:c r="E429" s="6" t="n">
        <x:v>2389834.3129999996</x:v>
      </x:c>
      <x:c r="F429" s="6" t="n">
        <x:v>174780.66518461538</x:v>
      </x:c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1" customHeight="1">
      <x:c r="A430" s="5" t="n">
        <x:v>43979</x:v>
      </x:c>
      <x:c r="B430" s="1" t="str">
        <x:v>Новосибирск</x:v>
      </x:c>
      <x:c r="C430" s="1" t="n">
        <x:v>15678</x:v>
      </x:c>
      <x:c r="D430" s="6" t="n">
        <x:v>1387443</x:v>
      </x:c>
      <x:c r="E430" s="6" t="n">
        <x:v>1121336.507</x:v>
      </x:c>
      <x:c r="F430" s="6" t="n">
        <x:v>101620.2923076923</x:v>
      </x:c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1" customHeight="1">
      <x:c r="A431" s="5" t="n">
        <x:v>43979</x:v>
      </x:c>
      <x:c r="B431" s="1" t="str">
        <x:v>Пермь</x:v>
      </x:c>
      <x:c r="C431" s="1" t="n">
        <x:v>16500</x:v>
      </x:c>
      <x:c r="D431" s="6" t="n">
        <x:v>1487928</x:v>
      </x:c>
      <x:c r="E431" s="6" t="n">
        <x:v>1187884.8939999999</x:v>
      </x:c>
      <x:c r="F431" s="6" t="n">
        <x:v>279400.0153846154</x:v>
      </x:c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1" customHeight="1">
      <x:c r="A432" s="5" t="n">
        <x:v>43979</x:v>
      </x:c>
      <x:c r="B432" s="1" t="str">
        <x:v>Ростов-на-Дону</x:v>
      </x:c>
      <x:c r="C432" s="1" t="n">
        <x:v>13864.5</x:v>
      </x:c>
      <x:c r="D432" s="6" t="n">
        <x:v>1239747</x:v>
      </x:c>
      <x:c r="E432" s="6" t="n">
        <x:v>995597.5199999999</x:v>
      </x:c>
      <x:c r="F432" s="6" t="n">
        <x:v>216733.44615384613</x:v>
      </x:c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1" customHeight="1">
      <x:c r="A433" s="5" t="n">
        <x:v>43979</x:v>
      </x:c>
      <x:c r="B433" s="1" t="str">
        <x:v>Самара</x:v>
      </x:c>
      <x:c r="C433" s="1" t="n">
        <x:v>8536.5</x:v>
      </x:c>
      <x:c r="D433" s="6" t="n">
        <x:v>643944</x:v>
      </x:c>
      <x:c r="E433" s="6" t="n">
        <x:v>640961.693</x:v>
      </x:c>
      <x:c r="F433" s="6" t="n">
        <x:v>61475.592307692306</x:v>
      </x:c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1" customHeight="1">
      <x:c r="A434" s="5" t="n">
        <x:v>43979</x:v>
      </x:c>
      <x:c r="B434" s="1" t="str">
        <x:v>Санкт-Петербург Север</x:v>
      </x:c>
      <x:c r="C434" s="1" t="n">
        <x:v>364638</x:v>
      </x:c>
      <x:c r="D434" s="6" t="n">
        <x:v>37947688.5</x:v>
      </x:c>
      <x:c r="E434" s="6" t="n">
        <x:v>27829971.363</x:v>
      </x:c>
      <x:c r="F434" s="6" t="n">
        <x:v>628647.3307692307</x:v>
      </x:c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1" customHeight="1">
      <x:c r="A435" s="5" t="n">
        <x:v>43979</x:v>
      </x:c>
      <x:c r="B435" s="1" t="str">
        <x:v>Санкт-Петербург Юг</x:v>
      </x:c>
      <x:c r="C435" s="1" t="n">
        <x:v>278491.5</x:v>
      </x:c>
      <x:c r="D435" s="6" t="n">
        <x:v>28151004.75</x:v>
      </x:c>
      <x:c r="E435" s="6" t="n">
        <x:v>20806418.796</x:v>
      </x:c>
      <x:c r="F435" s="6" t="n">
        <x:v>591565.3538461538</x:v>
      </x:c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1" customHeight="1">
      <x:c r="A436" s="5" t="n">
        <x:v>43979</x:v>
      </x:c>
      <x:c r="B436" s="1" t="str">
        <x:v>Тольятти</x:v>
      </x:c>
      <x:c r="C436" s="1" t="n">
        <x:v>13038</x:v>
      </x:c>
      <x:c r="D436" s="6" t="n">
        <x:v>1114552.5</x:v>
      </x:c>
      <x:c r="E436" s="6" t="n">
        <x:v>939269.567</x:v>
      </x:c>
      <x:c r="F436" s="6" t="n">
        <x:v>74269.06047692307</x:v>
      </x:c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1" customHeight="1">
      <x:c r="A437" s="5" t="n">
        <x:v>43979</x:v>
      </x:c>
      <x:c r="B437" s="1" t="str">
        <x:v>Тюмень</x:v>
      </x:c>
      <x:c r="C437" s="1" t="n">
        <x:v>8428.5</x:v>
      </x:c>
      <x:c r="D437" s="6" t="n">
        <x:v>694669.5</x:v>
      </x:c>
      <x:c r="E437" s="6" t="n">
        <x:v>594994.696</x:v>
      </x:c>
      <x:c r="F437" s="6" t="n">
        <x:v>42699.38461538461</x:v>
      </x:c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1" customHeight="1">
      <x:c r="A438" s="5" t="n">
        <x:v>43980</x:v>
      </x:c>
      <x:c r="B438" s="1" t="str">
        <x:v>Волгоград</x:v>
      </x:c>
      <x:c r="C438" s="1" t="n">
        <x:v>84433.5</x:v>
      </x:c>
      <x:c r="D438" s="6" t="n">
        <x:v>7228395</x:v>
      </x:c>
      <x:c r="E438" s="6" t="n">
        <x:v>5795765.936</x:v>
      </x:c>
      <x:c r="F438" s="6" t="n">
        <x:v>264121.66047692305</x:v>
      </x:c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1" customHeight="1">
      <x:c r="A439" s="5" t="n">
        <x:v>43980</x:v>
      </x:c>
      <x:c r="B439" s="1" t="str">
        <x:v>Екатеринбург</x:v>
      </x:c>
      <x:c r="C439" s="1" t="n">
        <x:v>87552</x:v>
      </x:c>
      <x:c r="D439" s="6" t="n">
        <x:v>7387116</x:v>
      </x:c>
      <x:c r="E439" s="6" t="n">
        <x:v>5815890.3319999995</x:v>
      </x:c>
      <x:c r="F439" s="6" t="n">
        <x:v>161811.8923076923</x:v>
      </x:c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1" customHeight="1">
      <x:c r="A440" s="5" t="n">
        <x:v>43980</x:v>
      </x:c>
      <x:c r="B440" s="1" t="str">
        <x:v>Казань</x:v>
      </x:c>
      <x:c r="C440" s="1" t="n">
        <x:v>44569.5</x:v>
      </x:c>
      <x:c r="D440" s="6" t="n">
        <x:v>4108596</x:v>
      </x:c>
      <x:c r="E440" s="6" t="n">
        <x:v>3229427.083</x:v>
      </x:c>
      <x:c r="F440" s="6" t="n">
        <x:v>121448.35925384614</x:v>
      </x:c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1" customHeight="1">
      <x:c r="A441" s="5" t="n">
        <x:v>43980</x:v>
      </x:c>
      <x:c r="B441" s="1" t="str">
        <x:v>Кемерово</x:v>
      </x:c>
      <x:c r="C441" s="1" t="n">
        <x:v>35431.5</x:v>
      </x:c>
      <x:c r="D441" s="6" t="n">
        <x:v>3193167</x:v>
      </x:c>
      <x:c r="E441" s="6" t="n">
        <x:v>2545757.0549999997</x:v>
      </x:c>
      <x:c r="F441" s="6" t="n">
        <x:v>202281.06923076924</x:v>
      </x:c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1" customHeight="1">
      <x:c r="A442" s="5" t="n">
        <x:v>43980</x:v>
      </x:c>
      <x:c r="B442" s="1" t="str">
        <x:v>Краснодар</x:v>
      </x:c>
      <x:c r="C442" s="1" t="n">
        <x:v>32782.5</x:v>
      </x:c>
      <x:c r="D442" s="6" t="n">
        <x:v>2854741.5</x:v>
      </x:c>
      <x:c r="E442" s="6" t="n">
        <x:v>2293738.957</x:v>
      </x:c>
      <x:c r="F442" s="6" t="n">
        <x:v>58400.7992</x:v>
      </x:c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1" customHeight="1">
      <x:c r="A443" s="5" t="n">
        <x:v>43980</x:v>
      </x:c>
      <x:c r="B443" s="1" t="str">
        <x:v>Москва Восток</x:v>
      </x:c>
      <x:c r="C443" s="1" t="n">
        <x:v>226476</x:v>
      </x:c>
      <x:c r="D443" s="6" t="n">
        <x:v>22416151.5</x:v>
      </x:c>
      <x:c r="E443" s="6" t="n">
        <x:v>17175270.221</x:v>
      </x:c>
      <x:c r="F443" s="6" t="n">
        <x:v>306548.18846153846</x:v>
      </x:c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1" customHeight="1">
      <x:c r="A444" s="5" t="n">
        <x:v>43980</x:v>
      </x:c>
      <x:c r="B444" s="1" t="str">
        <x:v>Москва Запад</x:v>
      </x:c>
      <x:c r="C444" s="1" t="n">
        <x:v>232102.5</x:v>
      </x:c>
      <x:c r="D444" s="6" t="n">
        <x:v>23120443.5</x:v>
      </x:c>
      <x:c r="E444" s="6" t="n">
        <x:v>17632080.519</x:v>
      </x:c>
      <x:c r="F444" s="6" t="n">
        <x:v>331721.6692307692</x:v>
      </x:c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1" customHeight="1">
      <x:c r="A445" s="5" t="n">
        <x:v>43980</x:v>
      </x:c>
      <x:c r="B445" s="1" t="str">
        <x:v>Нижний Новгород</x:v>
      </x:c>
      <x:c r="C445" s="1" t="n">
        <x:v>35346</x:v>
      </x:c>
      <x:c r="D445" s="6" t="n">
        <x:v>3258054</x:v>
      </x:c>
      <x:c r="E445" s="6" t="n">
        <x:v>2595610.66</x:v>
      </x:c>
      <x:c r="F445" s="6" t="n">
        <x:v>195198.78461538462</x:v>
      </x:c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1" customHeight="1">
      <x:c r="A446" s="5" t="n">
        <x:v>43980</x:v>
      </x:c>
      <x:c r="B446" s="1" t="str">
        <x:v>Новосибирск</x:v>
      </x:c>
      <x:c r="C446" s="1" t="n">
        <x:v>16878</x:v>
      </x:c>
      <x:c r="D446" s="6" t="n">
        <x:v>1438255.5</x:v>
      </x:c>
      <x:c r="E446" s="6" t="n">
        <x:v>1180692.704</x:v>
      </x:c>
      <x:c r="F446" s="6" t="n">
        <x:v>102040.10621538461</x:v>
      </x:c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1" customHeight="1">
      <x:c r="A447" s="5" t="n">
        <x:v>43980</x:v>
      </x:c>
      <x:c r="B447" s="1" t="str">
        <x:v>Пермь</x:v>
      </x:c>
      <x:c r="C447" s="1" t="n">
        <x:v>19647</x:v>
      </x:c>
      <x:c r="D447" s="6" t="n">
        <x:v>1764669</x:v>
      </x:c>
      <x:c r="E447" s="6" t="n">
        <x:v>1409485.402</x:v>
      </x:c>
      <x:c r="F447" s="6" t="n">
        <x:v>182377.32307692306</x:v>
      </x:c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1" customHeight="1">
      <x:c r="A448" s="5" t="n">
        <x:v>43980</x:v>
      </x:c>
      <x:c r="B448" s="1" t="str">
        <x:v>Ростов-на-Дону</x:v>
      </x:c>
      <x:c r="C448" s="1" t="n">
        <x:v>17052</x:v>
      </x:c>
      <x:c r="D448" s="6" t="n">
        <x:v>1549020</x:v>
      </x:c>
      <x:c r="E448" s="6" t="n">
        <x:v>1246591.997</x:v>
      </x:c>
      <x:c r="F448" s="6" t="n">
        <x:v>104864.4846153846</x:v>
      </x:c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1" customHeight="1">
      <x:c r="A449" s="5" t="n">
        <x:v>43980</x:v>
      </x:c>
      <x:c r="B449" s="1" t="str">
        <x:v>Самара</x:v>
      </x:c>
      <x:c r="C449" s="1" t="n">
        <x:v>8350.5</x:v>
      </x:c>
      <x:c r="D449" s="6" t="n">
        <x:v>651237</x:v>
      </x:c>
      <x:c r="E449" s="6" t="n">
        <x:v>601485.126</x:v>
      </x:c>
      <x:c r="F449" s="6" t="n">
        <x:v>83014.63505384616</x:v>
      </x:c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1" customHeight="1">
      <x:c r="A450" s="5" t="n">
        <x:v>43980</x:v>
      </x:c>
      <x:c r="B450" s="1" t="str">
        <x:v>Санкт-Петербург Север</x:v>
      </x:c>
      <x:c r="C450" s="1" t="n">
        <x:v>524481</x:v>
      </x:c>
      <x:c r="D450" s="6" t="n">
        <x:v>54172029</x:v>
      </x:c>
      <x:c r="E450" s="6" t="n">
        <x:v>41382275.210999995</x:v>
      </x:c>
      <x:c r="F450" s="6" t="n">
        <x:v>512623.0388076923</x:v>
      </x:c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1" customHeight="1">
      <x:c r="A451" s="5" t="n">
        <x:v>43980</x:v>
      </x:c>
      <x:c r="B451" s="1" t="str">
        <x:v>Санкт-Петербург Юг</x:v>
      </x:c>
      <x:c r="C451" s="1" t="n">
        <x:v>422965.5</x:v>
      </x:c>
      <x:c r="D451" s="6" t="n">
        <x:v>41767140.105000004</x:v>
      </x:c>
      <x:c r="E451" s="6" t="n">
        <x:v>32361318.847</x:v>
      </x:c>
      <x:c r="F451" s="6" t="n">
        <x:v>525087.9153846154</x:v>
      </x:c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1" customHeight="1">
      <x:c r="A452" s="5" t="n">
        <x:v>43980</x:v>
      </x:c>
      <x:c r="B452" s="1" t="str">
        <x:v>Тольятти</x:v>
      </x:c>
      <x:c r="C452" s="1" t="n">
        <x:v>14823</x:v>
      </x:c>
      <x:c r="D452" s="6" t="n">
        <x:v>1273464</x:v>
      </x:c>
      <x:c r="E452" s="6" t="n">
        <x:v>1068326.937</x:v>
      </x:c>
      <x:c r="F452" s="6" t="n">
        <x:v>76299.02338461539</x:v>
      </x:c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1" customHeight="1">
      <x:c r="A453" s="5" t="n">
        <x:v>43980</x:v>
      </x:c>
      <x:c r="B453" s="1" t="str">
        <x:v>Тюмень</x:v>
      </x:c>
      <x:c r="C453" s="1" t="n">
        <x:v>9927</x:v>
      </x:c>
      <x:c r="D453" s="6" t="n">
        <x:v>850840.5</x:v>
      </x:c>
      <x:c r="E453" s="6" t="n">
        <x:v>733232.389</x:v>
      </x:c>
      <x:c r="F453" s="6" t="n">
        <x:v>51066.35384615384</x:v>
      </x:c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1" customHeight="1">
      <x:c r="A454" s="5" t="n">
        <x:v>43981</x:v>
      </x:c>
      <x:c r="B454" s="1" t="str">
        <x:v>Волгоград</x:v>
      </x:c>
      <x:c r="C454" s="1" t="n">
        <x:v>106926</x:v>
      </x:c>
      <x:c r="D454" s="6" t="n">
        <x:v>9098386.5</x:v>
      </x:c>
      <x:c r="E454" s="6" t="n">
        <x:v>7354572.011</x:v>
      </x:c>
      <x:c r="F454" s="6" t="n">
        <x:v>193869.5929230769</x:v>
      </x:c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1" customHeight="1">
      <x:c r="A455" s="5" t="n">
        <x:v>43981</x:v>
      </x:c>
      <x:c r="B455" s="1" t="str">
        <x:v>Екатеринбург</x:v>
      </x:c>
      <x:c r="C455" s="1" t="n">
        <x:v>108123</x:v>
      </x:c>
      <x:c r="D455" s="6" t="n">
        <x:v>9164707.5</x:v>
      </x:c>
      <x:c r="E455" s="6" t="n">
        <x:v>7329868.665</x:v>
      </x:c>
      <x:c r="F455" s="6" t="n">
        <x:v>137418.1593076923</x:v>
      </x:c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1" customHeight="1">
      <x:c r="A456" s="5" t="n">
        <x:v>43981</x:v>
      </x:c>
      <x:c r="B456" s="1" t="str">
        <x:v>Казань</x:v>
      </x:c>
      <x:c r="C456" s="1" t="n">
        <x:v>48286.5</x:v>
      </x:c>
      <x:c r="D456" s="6" t="n">
        <x:v>4456441.5</x:v>
      </x:c>
      <x:c r="E456" s="6" t="n">
        <x:v>3473157.545</x:v>
      </x:c>
      <x:c r="F456" s="6" t="n">
        <x:v>205639.55141538463</x:v>
      </x:c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1" customHeight="1">
      <x:c r="A457" s="5" t="n">
        <x:v>43981</x:v>
      </x:c>
      <x:c r="B457" s="1" t="str">
        <x:v>Кемерово</x:v>
      </x:c>
      <x:c r="C457" s="1" t="n">
        <x:v>44001</x:v>
      </x:c>
      <x:c r="D457" s="6" t="n">
        <x:v>3921784.5</x:v>
      </x:c>
      <x:c r="E457" s="6" t="n">
        <x:v>3132604.841</x:v>
      </x:c>
      <x:c r="F457" s="6" t="n">
        <x:v>242715.2625384615</x:v>
      </x:c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1" customHeight="1">
      <x:c r="A458" s="5" t="n">
        <x:v>43981</x:v>
      </x:c>
      <x:c r="B458" s="1" t="str">
        <x:v>Краснодар</x:v>
      </x:c>
      <x:c r="C458" s="1" t="n">
        <x:v>34681.5</x:v>
      </x:c>
      <x:c r="D458" s="6" t="n">
        <x:v>3005334</x:v>
      </x:c>
      <x:c r="E458" s="6" t="n">
        <x:v>2408136.819</x:v>
      </x:c>
      <x:c r="F458" s="6" t="n">
        <x:v>113231.09230769232</x:v>
      </x:c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1" customHeight="1">
      <x:c r="A459" s="5" t="n">
        <x:v>43981</x:v>
      </x:c>
      <x:c r="B459" s="1" t="str">
        <x:v>Москва Восток</x:v>
      </x:c>
      <x:c r="C459" s="1" t="n">
        <x:v>244734</x:v>
      </x:c>
      <x:c r="D459" s="6" t="n">
        <x:v>24151980</x:v>
      </x:c>
      <x:c r="E459" s="6" t="n">
        <x:v>18429449.488</x:v>
      </x:c>
      <x:c r="F459" s="6" t="n">
        <x:v>303444.3653846154</x:v>
      </x:c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1" customHeight="1">
      <x:c r="A460" s="5" t="n">
        <x:v>43981</x:v>
      </x:c>
      <x:c r="B460" s="1" t="str">
        <x:v>Москва Запад</x:v>
      </x:c>
      <x:c r="C460" s="1" t="n">
        <x:v>246414</x:v>
      </x:c>
      <x:c r="D460" s="6" t="n">
        <x:v>24527245.5</x:v>
      </x:c>
      <x:c r="E460" s="6" t="n">
        <x:v>18595804.535</x:v>
      </x:c>
      <x:c r="F460" s="6" t="n">
        <x:v>282204.5230769231</x:v>
      </x:c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1" customHeight="1">
      <x:c r="A461" s="5" t="n">
        <x:v>43981</x:v>
      </x:c>
      <x:c r="B461" s="1" t="str">
        <x:v>Нижний Новгород</x:v>
      </x:c>
      <x:c r="C461" s="1" t="n">
        <x:v>39867</x:v>
      </x:c>
      <x:c r="D461" s="6" t="n">
        <x:v>3654166.5</x:v>
      </x:c>
      <x:c r="E461" s="6" t="n">
        <x:v>2919786.295</x:v>
      </x:c>
      <x:c r="F461" s="6" t="n">
        <x:v>182639.11723076922</x:v>
      </x:c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1" customHeight="1">
      <x:c r="A462" s="5" t="n">
        <x:v>43981</x:v>
      </x:c>
      <x:c r="B462" s="1" t="str">
        <x:v>Новосибирск</x:v>
      </x:c>
      <x:c r="C462" s="1" t="n">
        <x:v>20688</x:v>
      </x:c>
      <x:c r="D462" s="6" t="n">
        <x:v>1773154.5</x:v>
      </x:c>
      <x:c r="E462" s="6" t="n">
        <x:v>1458979.491</x:v>
      </x:c>
      <x:c r="F462" s="6" t="n">
        <x:v>98432.2134076923</x:v>
      </x:c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1" customHeight="1">
      <x:c r="A463" s="5" t="n">
        <x:v>43981</x:v>
      </x:c>
      <x:c r="B463" s="1" t="str">
        <x:v>Пермь</x:v>
      </x:c>
      <x:c r="C463" s="1" t="n">
        <x:v>27250.5</x:v>
      </x:c>
      <x:c r="D463" s="6" t="n">
        <x:v>2457252</x:v>
      </x:c>
      <x:c r="E463" s="6" t="n">
        <x:v>1983435.05</x:v>
      </x:c>
      <x:c r="F463" s="6" t="n">
        <x:v>175066.50692307693</x:v>
      </x:c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1" customHeight="1">
      <x:c r="A464" s="5" t="n">
        <x:v>43981</x:v>
      </x:c>
      <x:c r="B464" s="1" t="str">
        <x:v>Ростов-на-Дону</x:v>
      </x:c>
      <x:c r="C464" s="1" t="n">
        <x:v>17946</x:v>
      </x:c>
      <x:c r="D464" s="6" t="n">
        <x:v>1609090.5</x:v>
      </x:c>
      <x:c r="E464" s="6" t="n">
        <x:v>1298844.2</x:v>
      </x:c>
      <x:c r="F464" s="6" t="n">
        <x:v>137945.5276</x:v>
      </x:c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1" customHeight="1">
      <x:c r="A465" s="5" t="n">
        <x:v>43981</x:v>
      </x:c>
      <x:c r="B465" s="1" t="str">
        <x:v>Самара</x:v>
      </x:c>
      <x:c r="C465" s="1" t="n">
        <x:v>10029</x:v>
      </x:c>
      <x:c r="D465" s="6" t="n">
        <x:v>787101</x:v>
      </x:c>
      <x:c r="E465" s="6" t="n">
        <x:v>707654.6309999999</x:v>
      </x:c>
      <x:c r="F465" s="6" t="n">
        <x:v>112379.26539999999</x:v>
      </x:c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1" customHeight="1">
      <x:c r="A466" s="5" t="n">
        <x:v>43981</x:v>
      </x:c>
      <x:c r="B466" s="1" t="str">
        <x:v>Санкт-Петербург Север</x:v>
      </x:c>
      <x:c r="C466" s="1" t="n">
        <x:v>453123</x:v>
      </x:c>
      <x:c r="D466" s="6" t="n">
        <x:v>46370904</x:v>
      </x:c>
      <x:c r="E466" s="6" t="n">
        <x:v>35190775.285000004</x:v>
      </x:c>
      <x:c r="F466" s="6" t="n">
        <x:v>552625.8</x:v>
      </x:c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1" customHeight="1">
      <x:c r="A467" s="5" t="n">
        <x:v>43981</x:v>
      </x:c>
      <x:c r="B467" s="1" t="str">
        <x:v>Санкт-Петербург Юг</x:v>
      </x:c>
      <x:c r="C467" s="1" t="n">
        <x:v>364882.5</x:v>
      </x:c>
      <x:c r="D467" s="6" t="n">
        <x:v>35724493.5</x:v>
      </x:c>
      <x:c r="E467" s="6" t="n">
        <x:v>27535617.434</x:v>
      </x:c>
      <x:c r="F467" s="6" t="n">
        <x:v>541116.6988461538</x:v>
      </x:c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1" customHeight="1">
      <x:c r="A468" s="5" t="n">
        <x:v>43981</x:v>
      </x:c>
      <x:c r="B468" s="1" t="str">
        <x:v>Тольятти</x:v>
      </x:c>
      <x:c r="C468" s="1" t="n">
        <x:v>14728.5</x:v>
      </x:c>
      <x:c r="D468" s="6" t="n">
        <x:v>1260483</x:v>
      </x:c>
      <x:c r="E468" s="6" t="n">
        <x:v>1048221.1390000001</x:v>
      </x:c>
      <x:c r="F468" s="6" t="n">
        <x:v>86278.1767</x:v>
      </x:c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1" customHeight="1">
      <x:c r="A469" s="5" t="n">
        <x:v>43981</x:v>
      </x:c>
      <x:c r="B469" s="1" t="str">
        <x:v>Тюмень</x:v>
      </x:c>
      <x:c r="C469" s="1" t="n">
        <x:v>11220</x:v>
      </x:c>
      <x:c r="D469" s="6" t="n">
        <x:v>928675.5</x:v>
      </x:c>
      <x:c r="E469" s="6" t="n">
        <x:v>802403.808</x:v>
      </x:c>
      <x:c r="F469" s="6" t="n">
        <x:v>136423.60523076923</x:v>
      </x:c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1" customHeight="1">
      <x:c r="A470" s="5" t="n">
        <x:v>43982</x:v>
      </x:c>
      <x:c r="B470" s="1" t="str">
        <x:v>Волгоград</x:v>
      </x:c>
      <x:c r="C470" s="1" t="n">
        <x:v>76234.5</x:v>
      </x:c>
      <x:c r="D470" s="6" t="n">
        <x:v>6500848.5</x:v>
      </x:c>
      <x:c r="E470" s="6" t="n">
        <x:v>5172874.443999999</x:v>
      </x:c>
      <x:c r="F470" s="6" t="n">
        <x:v>60556.25153846153</x:v>
      </x:c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1" customHeight="1">
      <x:c r="A471" s="5" t="n">
        <x:v>43982</x:v>
      </x:c>
      <x:c r="B471" s="1" t="str">
        <x:v>Екатеринбург</x:v>
      </x:c>
      <x:c r="C471" s="1" t="n">
        <x:v>89149.5</x:v>
      </x:c>
      <x:c r="D471" s="6" t="n">
        <x:v>7512646.5</x:v>
      </x:c>
      <x:c r="E471" s="6" t="n">
        <x:v>5979210.097</x:v>
      </x:c>
      <x:c r="F471" s="6" t="n">
        <x:v>47580.14615384615</x:v>
      </x:c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1" customHeight="1">
      <x:c r="A472" s="5" t="n">
        <x:v>43982</x:v>
      </x:c>
      <x:c r="B472" s="1" t="str">
        <x:v>Казань</x:v>
      </x:c>
      <x:c r="C472" s="1" t="n">
        <x:v>42423</x:v>
      </x:c>
      <x:c r="D472" s="6" t="n">
        <x:v>3994153.5</x:v>
      </x:c>
      <x:c r="E472" s="6" t="n">
        <x:v>3105853.9129999997</x:v>
      </x:c>
      <x:c r="F472" s="6" t="n">
        <x:v>53605.71215384615</x:v>
      </x:c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1" customHeight="1">
      <x:c r="A473" s="5" t="n">
        <x:v>43982</x:v>
      </x:c>
      <x:c r="B473" s="1" t="str">
        <x:v>Кемерово</x:v>
      </x:c>
      <x:c r="C473" s="1" t="n">
        <x:v>36999</x:v>
      </x:c>
      <x:c r="D473" s="6" t="n">
        <x:v>3473895</x:v>
      </x:c>
      <x:c r="E473" s="6" t="n">
        <x:v>2757933.63</x:v>
      </x:c>
      <x:c r="F473" s="6" t="n">
        <x:v>112971.77692307692</x:v>
      </x:c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1" customHeight="1">
      <x:c r="A474" s="5" t="n">
        <x:v>43982</x:v>
      </x:c>
      <x:c r="B474" s="1" t="str">
        <x:v>Краснодар</x:v>
      </x:c>
      <x:c r="C474" s="1" t="n">
        <x:v>31372.5</x:v>
      </x:c>
      <x:c r="D474" s="6" t="n">
        <x:v>2794324.5</x:v>
      </x:c>
      <x:c r="E474" s="6" t="n">
        <x:v>2251714.549</x:v>
      </x:c>
      <x:c r="F474" s="6" t="n">
        <x:v>37852.04366923077</x:v>
      </x:c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1" customHeight="1">
      <x:c r="A475" s="5" t="n">
        <x:v>43982</x:v>
      </x:c>
      <x:c r="B475" s="1" t="str">
        <x:v>Москва Восток</x:v>
      </x:c>
      <x:c r="C475" s="1" t="n">
        <x:v>206758.5</x:v>
      </x:c>
      <x:c r="D475" s="6" t="n">
        <x:v>20717248.5</x:v>
      </x:c>
      <x:c r="E475" s="6" t="n">
        <x:v>15667372.685999999</x:v>
      </x:c>
      <x:c r="F475" s="6" t="n">
        <x:v>180007.08753846152</x:v>
      </x:c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1" customHeight="1">
      <x:c r="A476" s="5" t="n">
        <x:v>43982</x:v>
      </x:c>
      <x:c r="B476" s="1" t="str">
        <x:v>Москва Запад</x:v>
      </x:c>
      <x:c r="C476" s="1" t="n">
        <x:v>215277</x:v>
      </x:c>
      <x:c r="D476" s="6" t="n">
        <x:v>21585316.5</x:v>
      </x:c>
      <x:c r="E476" s="6" t="n">
        <x:v>16285354.714</x:v>
      </x:c>
      <x:c r="F476" s="6" t="n">
        <x:v>183249.26153846155</x:v>
      </x:c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1" customHeight="1">
      <x:c r="A477" s="5" t="n">
        <x:v>43982</x:v>
      </x:c>
      <x:c r="B477" s="1" t="str">
        <x:v>Нижний Новгород</x:v>
      </x:c>
      <x:c r="C477" s="1" t="n">
        <x:v>32359.5</x:v>
      </x:c>
      <x:c r="D477" s="6" t="n">
        <x:v>2991999</x:v>
      </x:c>
      <x:c r="E477" s="6" t="n">
        <x:v>2374135.6799999997</x:v>
      </x:c>
      <x:c r="F477" s="6" t="n">
        <x:v>106116.64615384616</x:v>
      </x:c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1" customHeight="1">
      <x:c r="A478" s="5" t="n">
        <x:v>43982</x:v>
      </x:c>
      <x:c r="B478" s="1" t="str">
        <x:v>Новосибирск</x:v>
      </x:c>
      <x:c r="C478" s="1" t="n">
        <x:v>16143</x:v>
      </x:c>
      <x:c r="D478" s="6" t="n">
        <x:v>1423410</x:v>
      </x:c>
      <x:c r="E478" s="6" t="n">
        <x:v>1183524.938</x:v>
      </x:c>
      <x:c r="F478" s="6" t="n">
        <x:v>41938.95039230769</x:v>
      </x:c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1" customHeight="1">
      <x:c r="A479" s="5" t="n">
        <x:v>43982</x:v>
      </x:c>
      <x:c r="B479" s="1" t="str">
        <x:v>Пермь</x:v>
      </x:c>
      <x:c r="C479" s="1" t="n">
        <x:v>17689.5</x:v>
      </x:c>
      <x:c r="D479" s="6" t="n">
        <x:v>1592119.5</x:v>
      </x:c>
      <x:c r="E479" s="6" t="n">
        <x:v>1279369.153</x:v>
      </x:c>
      <x:c r="F479" s="6" t="n">
        <x:v>119890.85384615383</x:v>
      </x:c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1" customHeight="1">
      <x:c r="A480" s="5" t="n">
        <x:v>43982</x:v>
      </x:c>
      <x:c r="B480" s="1" t="str">
        <x:v>Ростов-на-Дону</x:v>
      </x:c>
      <x:c r="C480" s="1" t="n">
        <x:v>14808</x:v>
      </x:c>
      <x:c r="D480" s="6" t="n">
        <x:v>1336789.5</x:v>
      </x:c>
      <x:c r="E480" s="6" t="n">
        <x:v>1084824.9949999999</x:v>
      </x:c>
      <x:c r="F480" s="6" t="n">
        <x:v>167974.06755384614</x:v>
      </x:c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1" customHeight="1">
      <x:c r="A481" s="5" t="n">
        <x:v>43982</x:v>
      </x:c>
      <x:c r="B481" s="1" t="str">
        <x:v>Самара</x:v>
      </x:c>
      <x:c r="C481" s="1" t="n">
        <x:v>7944</x:v>
      </x:c>
      <x:c r="D481" s="6" t="n">
        <x:v>623971.5</x:v>
      </x:c>
      <x:c r="E481" s="6" t="n">
        <x:v>565363.016</x:v>
      </x:c>
      <x:c r="F481" s="6" t="n">
        <x:v>64235.45692307692</x:v>
      </x:c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1" customHeight="1">
      <x:c r="A482" s="5" t="n">
        <x:v>43982</x:v>
      </x:c>
      <x:c r="B482" s="1" t="str">
        <x:v>Санкт-Петербург Север</x:v>
      </x:c>
      <x:c r="C482" s="1" t="n">
        <x:v>379663.5</x:v>
      </x:c>
      <x:c r="D482" s="6" t="n">
        <x:v>39380178</x:v>
      </x:c>
      <x:c r="E482" s="6" t="n">
        <x:v>29726473.223999996</x:v>
      </x:c>
      <x:c r="F482" s="6" t="n">
        <x:v>305744.9884307692</x:v>
      </x:c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1" customHeight="1">
      <x:c r="A483" s="5" t="n">
        <x:v>43982</x:v>
      </x:c>
      <x:c r="B483" s="1" t="str">
        <x:v>Санкт-Петербург Юг</x:v>
      </x:c>
      <x:c r="C483" s="1" t="n">
        <x:v>294337.5</x:v>
      </x:c>
      <x:c r="D483" s="6" t="n">
        <x:v>29327766</x:v>
      </x:c>
      <x:c r="E483" s="6" t="n">
        <x:v>22491044.692999996</x:v>
      </x:c>
      <x:c r="F483" s="6" t="n">
        <x:v>283716.73846153845</x:v>
      </x:c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1" customHeight="1">
      <x:c r="A484" s="5" t="n">
        <x:v>43982</x:v>
      </x:c>
      <x:c r="B484" s="1" t="str">
        <x:v>Тольятти</x:v>
      </x:c>
      <x:c r="C484" s="1" t="n">
        <x:v>12724.5</x:v>
      </x:c>
      <x:c r="D484" s="6" t="n">
        <x:v>1045515</x:v>
      </x:c>
      <x:c r="E484" s="6" t="n">
        <x:v>896490.07</x:v>
      </x:c>
      <x:c r="F484" s="6" t="n">
        <x:v>49463.98298461539</x:v>
      </x:c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1" customHeight="1">
      <x:c r="A485" s="5" t="n">
        <x:v>43982</x:v>
      </x:c>
      <x:c r="B485" s="1" t="str">
        <x:v>Томск</x:v>
      </x:c>
      <x:c r="C485" s="1" t="n">
        <x:v>6409.5</x:v>
      </x:c>
      <x:c r="D485" s="6" t="n">
        <x:v>493893</x:v>
      </x:c>
      <x:c r="E485" s="6" t="n">
        <x:v>459762.61999999994</x:v>
      </x:c>
      <x:c r="F485" s="6" t="n">
        <x:v>28040.97692307692</x:v>
      </x:c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1" customHeight="1">
      <x:c r="A486" s="5" t="n">
        <x:v>43982</x:v>
      </x:c>
      <x:c r="B486" s="1" t="str">
        <x:v>Тюмень</x:v>
      </x:c>
      <x:c r="C486" s="1" t="n">
        <x:v>10416</x:v>
      </x:c>
      <x:c r="D486" s="6" t="n">
        <x:v>866023.5</x:v>
      </x:c>
      <x:c r="E486" s="6" t="n">
        <x:v>744833.002</x:v>
      </x:c>
      <x:c r="F486" s="6" t="n">
        <x:v>19998.63846153846</x:v>
      </x:c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1" customHeight="1">
      <x:c r="A487" s="5" t="n">
        <x:v>43982</x:v>
      </x:c>
      <x:c r="B487" s="1" t="str">
        <x:v>Уфа</x:v>
      </x:c>
      <x:c r="C487" s="1" t="n">
        <x:v>5127</x:v>
      </x:c>
      <x:c r="D487" s="6" t="n">
        <x:v>468835.5</x:v>
      </x:c>
      <x:c r="E487" s="6" t="n">
        <x:v>412625.887</x:v>
      </x:c>
      <x:c r="F487" s="6" t="n">
        <x:v>8642.376923076923</x:v>
      </x:c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1" customHeight="1">
      <x:c r="A488" s="5" t="n">
        <x:v>43983</x:v>
      </x:c>
      <x:c r="B488" s="1" t="str">
        <x:v>Волгоград</x:v>
      </x:c>
      <x:c r="C488" s="1" t="n">
        <x:v>64740</x:v>
      </x:c>
      <x:c r="D488" s="6" t="n">
        <x:v>5800290</x:v>
      </x:c>
      <x:c r="E488" s="6" t="n">
        <x:v>4332158.433</x:v>
      </x:c>
      <x:c r="F488" s="6" t="n">
        <x:v>205428.24997692305</x:v>
      </x:c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1" customHeight="1">
      <x:c r="A489" s="5" t="n">
        <x:v>43983</x:v>
      </x:c>
      <x:c r="B489" s="1" t="str">
        <x:v>Екатеринбург</x:v>
      </x:c>
      <x:c r="C489" s="1" t="n">
        <x:v>77269.5</x:v>
      </x:c>
      <x:c r="D489" s="6" t="n">
        <x:v>6829921.5</x:v>
      </x:c>
      <x:c r="E489" s="6" t="n">
        <x:v>5152925.182</x:v>
      </x:c>
      <x:c r="F489" s="6" t="n">
        <x:v>219200.11557692307</x:v>
      </x:c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1" customHeight="1">
      <x:c r="A490" s="5" t="n">
        <x:v>43983</x:v>
      </x:c>
      <x:c r="B490" s="1" t="str">
        <x:v>Казань</x:v>
      </x:c>
      <x:c r="C490" s="1" t="n">
        <x:v>40528.5</x:v>
      </x:c>
      <x:c r="D490" s="6" t="n">
        <x:v>3865251</x:v>
      </x:c>
      <x:c r="E490" s="6" t="n">
        <x:v>2972895.417</x:v>
      </x:c>
      <x:c r="F490" s="6" t="n">
        <x:v>336001.0803923077</x:v>
      </x:c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1" customHeight="1">
      <x:c r="A491" s="5" t="n">
        <x:v>43983</x:v>
      </x:c>
      <x:c r="B491" s="1" t="str">
        <x:v>Кемерово</x:v>
      </x:c>
      <x:c r="C491" s="1" t="n">
        <x:v>31947</x:v>
      </x:c>
      <x:c r="D491" s="6" t="n">
        <x:v>2945035.5</x:v>
      </x:c>
      <x:c r="E491" s="6" t="n">
        <x:v>2320195.4450000003</x:v>
      </x:c>
      <x:c r="F491" s="6" t="n">
        <x:v>383761.6669230769</x:v>
      </x:c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1" customHeight="1">
      <x:c r="A492" s="5" t="n">
        <x:v>43983</x:v>
      </x:c>
      <x:c r="B492" s="1" t="str">
        <x:v>Краснодар</x:v>
      </x:c>
      <x:c r="C492" s="1" t="n">
        <x:v>27960</x:v>
      </x:c>
      <x:c r="D492" s="6" t="n">
        <x:v>2538967.5</x:v>
      </x:c>
      <x:c r="E492" s="6" t="n">
        <x:v>1983277.5959999997</x:v>
      </x:c>
      <x:c r="F492" s="6" t="n">
        <x:v>134168.53587692307</x:v>
      </x:c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1" customHeight="1">
      <x:c r="A493" s="5" t="n">
        <x:v>43983</x:v>
      </x:c>
      <x:c r="B493" s="1" t="str">
        <x:v>Москва Восток</x:v>
      </x:c>
      <x:c r="C493" s="1" t="n">
        <x:v>183228</x:v>
      </x:c>
      <x:c r="D493" s="6" t="n">
        <x:v>18914194.5</x:v>
      </x:c>
      <x:c r="E493" s="6" t="n">
        <x:v>13959979.012</x:v>
      </x:c>
      <x:c r="F493" s="6" t="n">
        <x:v>464232.5484615384</x:v>
      </x:c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1" customHeight="1">
      <x:c r="A494" s="5" t="n">
        <x:v>43983</x:v>
      </x:c>
      <x:c r="B494" s="1" t="str">
        <x:v>Москва Запад</x:v>
      </x:c>
      <x:c r="C494" s="1" t="n">
        <x:v>188776.5</x:v>
      </x:c>
      <x:c r="D494" s="6" t="n">
        <x:v>19465372.5</x:v>
      </x:c>
      <x:c r="E494" s="6" t="n">
        <x:v>14354207.141999999</x:v>
      </x:c>
      <x:c r="F494" s="6" t="n">
        <x:v>467483.70729230763</x:v>
      </x:c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1" customHeight="1">
      <x:c r="A495" s="5" t="n">
        <x:v>43983</x:v>
      </x:c>
      <x:c r="B495" s="1" t="str">
        <x:v>Нижний Новгород</x:v>
      </x:c>
      <x:c r="C495" s="1" t="n">
        <x:v>32170.5</x:v>
      </x:c>
      <x:c r="D495" s="6" t="n">
        <x:v>3013512</x:v>
      </x:c>
      <x:c r="E495" s="6" t="n">
        <x:v>2355616.679</x:v>
      </x:c>
      <x:c r="F495" s="6" t="n">
        <x:v>219429.2774153846</x:v>
      </x:c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1" customHeight="1">
      <x:c r="A496" s="5" t="n">
        <x:v>43983</x:v>
      </x:c>
      <x:c r="B496" s="1" t="str">
        <x:v>Новосибирск</x:v>
      </x:c>
      <x:c r="C496" s="1" t="n">
        <x:v>14238</x:v>
      </x:c>
      <x:c r="D496" s="6" t="n">
        <x:v>1293219</x:v>
      </x:c>
      <x:c r="E496" s="6" t="n">
        <x:v>1006008.1159999999</x:v>
      </x:c>
      <x:c r="F496" s="6" t="n">
        <x:v>129348.2923076923</x:v>
      </x:c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1" customHeight="1">
      <x:c r="A497" s="5" t="n">
        <x:v>43983</x:v>
      </x:c>
      <x:c r="B497" s="1" t="str">
        <x:v>Пермь</x:v>
      </x:c>
      <x:c r="C497" s="1" t="n">
        <x:v>16687.5</x:v>
      </x:c>
      <x:c r="D497" s="6" t="n">
        <x:v>1526608.5</x:v>
      </x:c>
      <x:c r="E497" s="6" t="n">
        <x:v>1202670.0489999999</x:v>
      </x:c>
      <x:c r="F497" s="6" t="n">
        <x:v>340349.5336923077</x:v>
      </x:c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1" customHeight="1">
      <x:c r="A498" s="5" t="n">
        <x:v>43983</x:v>
      </x:c>
      <x:c r="B498" s="1" t="str">
        <x:v>Ростов-на-Дону</x:v>
      </x:c>
      <x:c r="C498" s="1" t="n">
        <x:v>16476</x:v>
      </x:c>
      <x:c r="D498" s="6" t="n">
        <x:v>1565632.5</x:v>
      </x:c>
      <x:c r="E498" s="6" t="n">
        <x:v>1234060.991</x:v>
      </x:c>
      <x:c r="F498" s="6" t="n">
        <x:v>194827.87672307692</x:v>
      </x:c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1" customHeight="1">
      <x:c r="A499" s="5" t="n">
        <x:v>43983</x:v>
      </x:c>
      <x:c r="B499" s="1" t="str">
        <x:v>Самара</x:v>
      </x:c>
      <x:c r="C499" s="1" t="n">
        <x:v>7816.5</x:v>
      </x:c>
      <x:c r="D499" s="6" t="n">
        <x:v>636345</x:v>
      </x:c>
      <x:c r="E499" s="6" t="n">
        <x:v>550528.6630000001</x:v>
      </x:c>
      <x:c r="F499" s="6" t="n">
        <x:v>190344.3008</x:v>
      </x:c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1" customHeight="1">
      <x:c r="A500" s="5" t="n">
        <x:v>43983</x:v>
      </x:c>
      <x:c r="B500" s="1" t="str">
        <x:v>Санкт-Петербург Север</x:v>
      </x:c>
      <x:c r="C500" s="1" t="n">
        <x:v>349699.5</x:v>
      </x:c>
      <x:c r="D500" s="6" t="n">
        <x:v>37257840.18135</x:v>
      </x:c>
      <x:c r="E500" s="6" t="n">
        <x:v>27640203.134</x:v>
      </x:c>
      <x:c r="F500" s="6" t="n">
        <x:v>744856.585476923</x:v>
      </x:c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1" customHeight="1">
      <x:c r="A501" s="5" t="n">
        <x:v>43983</x:v>
      </x:c>
      <x:c r="B501" s="1" t="str">
        <x:v>Санкт-Петербург Юг</x:v>
      </x:c>
      <x:c r="C501" s="1" t="n">
        <x:v>272926.5</x:v>
      </x:c>
      <x:c r="D501" s="6" t="n">
        <x:v>27770092.5</x:v>
      </x:c>
      <x:c r="E501" s="6" t="n">
        <x:v>20952913.508</x:v>
      </x:c>
      <x:c r="F501" s="6" t="n">
        <x:v>872904.4042846154</x:v>
      </x:c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1" customHeight="1">
      <x:c r="A502" s="5" t="n">
        <x:v>43983</x:v>
      </x:c>
      <x:c r="B502" s="1" t="str">
        <x:v>Тольятти</x:v>
      </x:c>
      <x:c r="C502" s="1" t="n">
        <x:v>11416.5</x:v>
      </x:c>
      <x:c r="D502" s="6" t="n">
        <x:v>1007742</x:v>
      </x:c>
      <x:c r="E502" s="6" t="n">
        <x:v>815296.88</x:v>
      </x:c>
      <x:c r="F502" s="6" t="n">
        <x:v>145147.84546153847</x:v>
      </x:c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1" customHeight="1">
      <x:c r="A503" s="5" t="n">
        <x:v>43983</x:v>
      </x:c>
      <x:c r="B503" s="1" t="str">
        <x:v>Томск</x:v>
      </x:c>
      <x:c r="C503" s="1" t="n">
        <x:v>5166</x:v>
      </x:c>
      <x:c r="D503" s="6" t="n">
        <x:v>389013</x:v>
      </x:c>
      <x:c r="E503" s="6" t="n">
        <x:v>357353.073</x:v>
      </x:c>
      <x:c r="F503" s="6" t="n">
        <x:v>141592.70844615385</x:v>
      </x:c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1" customHeight="1">
      <x:c r="A504" s="5" t="n">
        <x:v>43983</x:v>
      </x:c>
      <x:c r="B504" s="1" t="str">
        <x:v>Тюмень</x:v>
      </x:c>
      <x:c r="C504" s="1" t="n">
        <x:v>9474</x:v>
      </x:c>
      <x:c r="D504" s="6" t="n">
        <x:v>802447.5</x:v>
      </x:c>
      <x:c r="E504" s="6" t="n">
        <x:v>682814.146</x:v>
      </x:c>
      <x:c r="F504" s="6" t="n">
        <x:v>81560.98336923077</x:v>
      </x:c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1" customHeight="1">
      <x:c r="A505" s="5" t="n">
        <x:v>43983</x:v>
      </x:c>
      <x:c r="B505" s="1" t="str">
        <x:v>Уфа</x:v>
      </x:c>
      <x:c r="C505" s="1" t="n">
        <x:v>4408.5</x:v>
      </x:c>
      <x:c r="D505" s="6" t="n">
        <x:v>410892</x:v>
      </x:c>
      <x:c r="E505" s="6" t="n">
        <x:v>346029.05</x:v>
      </x:c>
      <x:c r="F505" s="6" t="n">
        <x:v>36168.75384615384</x:v>
      </x:c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1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1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1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1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1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1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1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1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1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1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1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1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1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1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1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1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1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1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1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1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1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1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1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1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1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1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1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1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1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1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1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1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1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1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1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1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1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1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1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1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1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1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1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1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1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1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1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1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1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1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1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1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1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1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1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1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1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1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1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1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1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1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1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1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1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1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1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1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1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1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1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1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1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1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1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1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1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1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1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1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1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1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1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1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1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1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1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1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1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1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1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1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1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1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1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17" hidden="0" customWidth="1"/>
    <x:col min="4" max="4" width="17" hidden="0" customWidth="1"/>
    <x:col min="5" max="5" width="17" hidden="0" customWidth="1"/>
    <x:col min="6" max="6" width="40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42" customHeight="1">
      <x:c r="A1" s="4" t="str">
        <x:v>Дата</x:v>
      </x:c>
      <x:c r="B1" s="4" t="str">
        <x:v>Территория</x:v>
      </x:c>
      <x:c r="C1" s="4" t="str">
        <x:v>Количество складов</x:v>
      </x:c>
      <x:c r="D1" s="4" t="str">
        <x:v>Количество заказов</x:v>
      </x:c>
      <x:c r="E1" s="4" t="str">
        <x:v>Количество клиентов</x:v>
      </x:c>
      <x:c r="F1" s="4" t="str">
        <x:v>Ключ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5" t="n">
        <x:v>43949</x:v>
      </x:c>
      <x:c r="B2" s="1" t="str">
        <x:v>Волгоград</x:v>
      </x:c>
      <x:c r="C2" s="1" t="n">
        <x:v>36</x:v>
      </x:c>
      <x:c r="D2" s="1" t="n">
        <x:v>4923</x:v>
      </x:c>
      <x:c r="E2" s="1" t="n">
        <x:v>4560</x:v>
      </x:c>
      <x:c r="F2" s="1" t="str">
        <x:f>A2&amp;"|"&amp;B2</x:f>
        <x:v>43949|Волгоград</x:v>
      </x:c>
      <x:c r="G2" s="1"/>
      <x:c r="H2" s="1" t="str">
        <x:v>Источник: Тестирование_корпоративная_аналитика.xlsx, Лист2. Исходный порядок сохранён.</x:v>
      </x:c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5" t="n">
        <x:v>43949</x:v>
      </x:c>
      <x:c r="B3" s="1" t="str">
        <x:v>Екатеринбург</x:v>
      </x:c>
      <x:c r="C3" s="1" t="n">
        <x:v>31</x:v>
      </x:c>
      <x:c r="D3" s="1" t="n">
        <x:v>5465</x:v>
      </x:c>
      <x:c r="E3" s="1" t="n">
        <x:v>5096</x:v>
      </x:c>
      <x:c r="F3" s="1" t="str">
        <x:f>A3&amp;"|"&amp;B3</x:f>
        <x:v>43949|Екатеринбург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5" t="n">
        <x:v>43949</x:v>
      </x:c>
      <x:c r="B4" s="1" t="str">
        <x:v>Казань</x:v>
      </x:c>
      <x:c r="C4" s="1" t="n">
        <x:v>19</x:v>
      </x:c>
      <x:c r="D4" s="1" t="n">
        <x:v>1846</x:v>
      </x:c>
      <x:c r="E4" s="1" t="n">
        <x:v>1681</x:v>
      </x:c>
      <x:c r="F4" s="1" t="str">
        <x:f>A4&amp;"|"&amp;B4</x:f>
        <x:v>43949|Казань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5" t="n">
        <x:v>43949</x:v>
      </x:c>
      <x:c r="B5" s="1" t="str">
        <x:v>Кемерово</x:v>
      </x:c>
      <x:c r="C5" s="1" t="n">
        <x:v>18</x:v>
      </x:c>
      <x:c r="D5" s="1" t="n">
        <x:v>1539</x:v>
      </x:c>
      <x:c r="E5" s="1" t="n">
        <x:v>1404</x:v>
      </x:c>
      <x:c r="F5" s="1" t="str">
        <x:f>A5&amp;"|"&amp;B5</x:f>
        <x:v>43949|Кемерово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5" t="n">
        <x:v>43949</x:v>
      </x:c>
      <x:c r="B6" s="1" t="str">
        <x:v>Краснодар</x:v>
      </x:c>
      <x:c r="C6" s="1" t="n">
        <x:v>18</x:v>
      </x:c>
      <x:c r="D6" s="1" t="n">
        <x:v>1505</x:v>
      </x:c>
      <x:c r="E6" s="1" t="n">
        <x:v>1368</x:v>
      </x:c>
      <x:c r="F6" s="1" t="str">
        <x:f>A6&amp;"|"&amp;B6</x:f>
        <x:v>43949|Краснодар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5" t="n">
        <x:v>43949</x:v>
      </x:c>
      <x:c r="B7" s="1" t="str">
        <x:v>Москва Восток</x:v>
      </x:c>
      <x:c r="C7" s="1" t="n">
        <x:v>54</x:v>
      </x:c>
      <x:c r="D7" s="1" t="n">
        <x:v>12306</x:v>
      </x:c>
      <x:c r="E7" s="1" t="n">
        <x:v>11532</x:v>
      </x:c>
      <x:c r="F7" s="1" t="str">
        <x:f>A7&amp;"|"&amp;B7</x:f>
        <x:v>43949|Москва Восток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5" t="n">
        <x:v>43949</x:v>
      </x:c>
      <x:c r="B8" s="1" t="str">
        <x:v>Москва Запад</x:v>
      </x:c>
      <x:c r="C8" s="1" t="n">
        <x:v>59</x:v>
      </x:c>
      <x:c r="D8" s="1" t="n">
        <x:v>12943</x:v>
      </x:c>
      <x:c r="E8" s="1" t="n">
        <x:v>12072</x:v>
      </x:c>
      <x:c r="F8" s="1" t="str">
        <x:f>A8&amp;"|"&amp;B8</x:f>
        <x:v>43949|Москва Запад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5" t="n">
        <x:v>43949</x:v>
      </x:c>
      <x:c r="B9" s="1" t="str">
        <x:v>Нижний Новгород</x:v>
      </x:c>
      <x:c r="C9" s="1" t="n">
        <x:v>17</x:v>
      </x:c>
      <x:c r="D9" s="1" t="n">
        <x:v>1439</x:v>
      </x:c>
      <x:c r="E9" s="1" t="n">
        <x:v>1265</x:v>
      </x:c>
      <x:c r="F9" s="1" t="str">
        <x:f>A9&amp;"|"&amp;B9</x:f>
        <x:v>43949|Нижний Новгород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5" t="n">
        <x:v>43949</x:v>
      </x:c>
      <x:c r="B10" s="1" t="str">
        <x:v>Новосибирск</x:v>
      </x:c>
      <x:c r="C10" s="1" t="n">
        <x:v>15</x:v>
      </x:c>
      <x:c r="D10" s="1" t="n">
        <x:v>636</x:v>
      </x:c>
      <x:c r="E10" s="1" t="n">
        <x:v>547</x:v>
      </x:c>
      <x:c r="F10" s="1" t="str">
        <x:f>A10&amp;"|"&amp;B10</x:f>
        <x:v>43949|Новосибирск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5" t="n">
        <x:v>43949</x:v>
      </x:c>
      <x:c r="B11" s="1" t="str">
        <x:v>Пермь</x:v>
      </x:c>
      <x:c r="C11" s="1" t="n">
        <x:v>15</x:v>
      </x:c>
      <x:c r="D11" s="1" t="n">
        <x:v>780</x:v>
      </x:c>
      <x:c r="E11" s="1" t="n">
        <x:v>690</x:v>
      </x:c>
      <x:c r="F11" s="1" t="str">
        <x:f>A11&amp;"|"&amp;B11</x:f>
        <x:v>43949|Пермь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5" t="n">
        <x:v>43949</x:v>
      </x:c>
      <x:c r="B12" s="1" t="str">
        <x:v>Санкт-Петербург Север</x:v>
      </x:c>
      <x:c r="C12" s="1" t="n">
        <x:v>125</x:v>
      </x:c>
      <x:c r="D12" s="1" t="n">
        <x:v>20914</x:v>
      </x:c>
      <x:c r="E12" s="1" t="n">
        <x:v>19479</x:v>
      </x:c>
      <x:c r="F12" s="1" t="str">
        <x:f>A12&amp;"|"&amp;B12</x:f>
        <x:v>43949|Санкт-Петербург Север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5" t="n">
        <x:v>43949</x:v>
      </x:c>
      <x:c r="B13" s="1" t="str">
        <x:v>Санкт-Петербург Юг</x:v>
      </x:c>
      <x:c r="C13" s="1" t="n">
        <x:v>128</x:v>
      </x:c>
      <x:c r="D13" s="1" t="n">
        <x:v>16450</x:v>
      </x:c>
      <x:c r="E13" s="1" t="n">
        <x:v>15320</x:v>
      </x:c>
      <x:c r="F13" s="1" t="str">
        <x:f>A13&amp;"|"&amp;B13</x:f>
        <x:v>43949|Санкт-Петербург Юг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5" t="n">
        <x:v>43949</x:v>
      </x:c>
      <x:c r="B14" s="1" t="str">
        <x:v>Тольятти</x:v>
      </x:c>
      <x:c r="C14" s="1" t="n">
        <x:v>10</x:v>
      </x:c>
      <x:c r="D14" s="1" t="n">
        <x:v>580</x:v>
      </x:c>
      <x:c r="E14" s="1" t="n">
        <x:v>506</x:v>
      </x:c>
      <x:c r="F14" s="1" t="str">
        <x:f>A14&amp;"|"&amp;B14</x:f>
        <x:v>43949|Тольятти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5" t="n">
        <x:v>43950</x:v>
      </x:c>
      <x:c r="B15" s="1" t="str">
        <x:v>Волгоград</x:v>
      </x:c>
      <x:c r="C15" s="1" t="n">
        <x:v>36</x:v>
      </x:c>
      <x:c r="D15" s="1" t="n">
        <x:v>4937</x:v>
      </x:c>
      <x:c r="E15" s="1" t="n">
        <x:v>4561</x:v>
      </x:c>
      <x:c r="F15" s="1" t="str">
        <x:f>A15&amp;"|"&amp;B15</x:f>
        <x:v>43950|Волгоград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5" t="n">
        <x:v>43950</x:v>
      </x:c>
      <x:c r="B16" s="1" t="str">
        <x:v>Екатеринбург</x:v>
      </x:c>
      <x:c r="C16" s="1" t="n">
        <x:v>31</x:v>
      </x:c>
      <x:c r="D16" s="1" t="n">
        <x:v>5378</x:v>
      </x:c>
      <x:c r="E16" s="1" t="n">
        <x:v>4985</x:v>
      </x:c>
      <x:c r="F16" s="1" t="str">
        <x:f>A16&amp;"|"&amp;B16</x:f>
        <x:v>43950|Екатеринбург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5" t="n">
        <x:v>43950</x:v>
      </x:c>
      <x:c r="B17" s="1" t="str">
        <x:v>Казань</x:v>
      </x:c>
      <x:c r="C17" s="1" t="n">
        <x:v>19</x:v>
      </x:c>
      <x:c r="D17" s="1" t="n">
        <x:v>1676</x:v>
      </x:c>
      <x:c r="E17" s="1" t="n">
        <x:v>1516</x:v>
      </x:c>
      <x:c r="F17" s="1" t="str">
        <x:f>A17&amp;"|"&amp;B17</x:f>
        <x:v>43950|Казань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5" t="n">
        <x:v>43950</x:v>
      </x:c>
      <x:c r="B18" s="1" t="str">
        <x:v>Кемерово</x:v>
      </x:c>
      <x:c r="C18" s="1" t="n">
        <x:v>18</x:v>
      </x:c>
      <x:c r="D18" s="1" t="n">
        <x:v>1684</x:v>
      </x:c>
      <x:c r="E18" s="1" t="n">
        <x:v>1528</x:v>
      </x:c>
      <x:c r="F18" s="1" t="str">
        <x:f>A18&amp;"|"&amp;B18</x:f>
        <x:v>43950|Кемерово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5" t="n">
        <x:v>43950</x:v>
      </x:c>
      <x:c r="B19" s="1" t="str">
        <x:v>Краснодар</x:v>
      </x:c>
      <x:c r="C19" s="1" t="n">
        <x:v>18</x:v>
      </x:c>
      <x:c r="D19" s="1" t="n">
        <x:v>1599</x:v>
      </x:c>
      <x:c r="E19" s="1" t="n">
        <x:v>1450</x:v>
      </x:c>
      <x:c r="F19" s="1" t="str">
        <x:f>A19&amp;"|"&amp;B19</x:f>
        <x:v>43950|Краснодар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5" t="n">
        <x:v>43950</x:v>
      </x:c>
      <x:c r="B20" s="1" t="str">
        <x:v>Москва Восток</x:v>
      </x:c>
      <x:c r="C20" s="1" t="n">
        <x:v>54</x:v>
      </x:c>
      <x:c r="D20" s="1" t="n">
        <x:v>12747</x:v>
      </x:c>
      <x:c r="E20" s="1" t="n">
        <x:v>11884</x:v>
      </x:c>
      <x:c r="F20" s="1" t="str">
        <x:f>A20&amp;"|"&amp;B20</x:f>
        <x:v>43950|Москва Восток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5" t="n">
        <x:v>43950</x:v>
      </x:c>
      <x:c r="B21" s="1" t="str">
        <x:v>Москва Запад</x:v>
      </x:c>
      <x:c r="C21" s="1" t="n">
        <x:v>59</x:v>
      </x:c>
      <x:c r="D21" s="1" t="n">
        <x:v>13186</x:v>
      </x:c>
      <x:c r="E21" s="1" t="n">
        <x:v>12251</x:v>
      </x:c>
      <x:c r="F21" s="1" t="str">
        <x:f>A21&amp;"|"&amp;B21</x:f>
        <x:v>43950|Москва Запад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5" t="n">
        <x:v>43950</x:v>
      </x:c>
      <x:c r="B22" s="1" t="str">
        <x:v>Нижний Новгород</x:v>
      </x:c>
      <x:c r="C22" s="1" t="n">
        <x:v>18</x:v>
      </x:c>
      <x:c r="D22" s="1" t="n">
        <x:v>1534</x:v>
      </x:c>
      <x:c r="E22" s="1" t="n">
        <x:v>1369</x:v>
      </x:c>
      <x:c r="F22" s="1" t="str">
        <x:f>A22&amp;"|"&amp;B22</x:f>
        <x:v>43950|Нижний Новгород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5" t="n">
        <x:v>43950</x:v>
      </x:c>
      <x:c r="B23" s="1" t="str">
        <x:v>Новосибирск</x:v>
      </x:c>
      <x:c r="C23" s="1" t="n">
        <x:v>15</x:v>
      </x:c>
      <x:c r="D23" s="1" t="n">
        <x:v>659</x:v>
      </x:c>
      <x:c r="E23" s="1" t="n">
        <x:v>575</x:v>
      </x:c>
      <x:c r="F23" s="1" t="str">
        <x:f>A23&amp;"|"&amp;B23</x:f>
        <x:v>43950|Новосибирск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5" t="n">
        <x:v>43950</x:v>
      </x:c>
      <x:c r="B24" s="1" t="str">
        <x:v>Пермь</x:v>
      </x:c>
      <x:c r="C24" s="1" t="n">
        <x:v>15</x:v>
      </x:c>
      <x:c r="D24" s="1" t="n">
        <x:v>786</x:v>
      </x:c>
      <x:c r="E24" s="1" t="n">
        <x:v>695</x:v>
      </x:c>
      <x:c r="F24" s="1" t="str">
        <x:f>A24&amp;"|"&amp;B24</x:f>
        <x:v>43950|Пермь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5" t="n">
        <x:v>43950</x:v>
      </x:c>
      <x:c r="B25" s="1" t="str">
        <x:v>Санкт-Петербург Север</x:v>
      </x:c>
      <x:c r="C25" s="1" t="n">
        <x:v>125</x:v>
      </x:c>
      <x:c r="D25" s="1" t="n">
        <x:v>21863</x:v>
      </x:c>
      <x:c r="E25" s="1" t="n">
        <x:v>20160</x:v>
      </x:c>
      <x:c r="F25" s="1" t="str">
        <x:f>A25&amp;"|"&amp;B25</x:f>
        <x:v>43950|Санкт-Петербург Север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5" t="n">
        <x:v>43950</x:v>
      </x:c>
      <x:c r="B26" s="1" t="str">
        <x:v>Санкт-Петербург Юг</x:v>
      </x:c>
      <x:c r="C26" s="1" t="n">
        <x:v>128</x:v>
      </x:c>
      <x:c r="D26" s="1" t="n">
        <x:v>17368</x:v>
      </x:c>
      <x:c r="E26" s="1" t="n">
        <x:v>16077</x:v>
      </x:c>
      <x:c r="F26" s="1" t="str">
        <x:f>A26&amp;"|"&amp;B26</x:f>
        <x:v>43950|Санкт-Петербург Юг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5" t="n">
        <x:v>43950</x:v>
      </x:c>
      <x:c r="B27" s="1" t="str">
        <x:v>Тольятти</x:v>
      </x:c>
      <x:c r="C27" s="1" t="n">
        <x:v>10</x:v>
      </x:c>
      <x:c r="D27" s="1" t="n">
        <x:v>502</x:v>
      </x:c>
      <x:c r="E27" s="1" t="n">
        <x:v>433</x:v>
      </x:c>
      <x:c r="F27" s="1" t="str">
        <x:f>A27&amp;"|"&amp;B27</x:f>
        <x:v>43950|Тольятти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5" t="n">
        <x:v>43951</x:v>
      </x:c>
      <x:c r="B28" s="1" t="str">
        <x:v>Волгоград</x:v>
      </x:c>
      <x:c r="C28" s="1" t="n">
        <x:v>36</x:v>
      </x:c>
      <x:c r="D28" s="1" t="n">
        <x:v>5143</x:v>
      </x:c>
      <x:c r="E28" s="1" t="n">
        <x:v>4715</x:v>
      </x:c>
      <x:c r="F28" s="1" t="str">
        <x:f>A28&amp;"|"&amp;B28</x:f>
        <x:v>43951|Волгоград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5" t="n">
        <x:v>43951</x:v>
      </x:c>
      <x:c r="B29" s="1" t="str">
        <x:v>Екатеринбург</x:v>
      </x:c>
      <x:c r="C29" s="1" t="n">
        <x:v>31</x:v>
      </x:c>
      <x:c r="D29" s="1" t="n">
        <x:v>5120</x:v>
      </x:c>
      <x:c r="E29" s="1" t="n">
        <x:v>4737</x:v>
      </x:c>
      <x:c r="F29" s="1" t="str">
        <x:f>A29&amp;"|"&amp;B29</x:f>
        <x:v>43951|Екатеринбург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5" t="n">
        <x:v>43951</x:v>
      </x:c>
      <x:c r="B30" s="1" t="str">
        <x:v>Казань</x:v>
      </x:c>
      <x:c r="C30" s="1" t="n">
        <x:v>20</x:v>
      </x:c>
      <x:c r="D30" s="1" t="n">
        <x:v>1756</x:v>
      </x:c>
      <x:c r="E30" s="1" t="n">
        <x:v>1586</x:v>
      </x:c>
      <x:c r="F30" s="1" t="str">
        <x:f>A30&amp;"|"&amp;B30</x:f>
        <x:v>43951|Казань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5" t="n">
        <x:v>43951</x:v>
      </x:c>
      <x:c r="B31" s="1" t="str">
        <x:v>Кемерово</x:v>
      </x:c>
      <x:c r="C31" s="1" t="n">
        <x:v>19</x:v>
      </x:c>
      <x:c r="D31" s="1" t="n">
        <x:v>1712</x:v>
      </x:c>
      <x:c r="E31" s="1" t="n">
        <x:v>1552</x:v>
      </x:c>
      <x:c r="F31" s="1" t="str">
        <x:f>A31&amp;"|"&amp;B31</x:f>
        <x:v>43951|Кемерово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5" t="n">
        <x:v>43951</x:v>
      </x:c>
      <x:c r="B32" s="1" t="str">
        <x:v>Краснодар</x:v>
      </x:c>
      <x:c r="C32" s="1" t="n">
        <x:v>19</x:v>
      </x:c>
      <x:c r="D32" s="1" t="n">
        <x:v>1662</x:v>
      </x:c>
      <x:c r="E32" s="1" t="n">
        <x:v>1506</x:v>
      </x:c>
      <x:c r="F32" s="1" t="str">
        <x:f>A32&amp;"|"&amp;B32</x:f>
        <x:v>43951|Краснодар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5" t="n">
        <x:v>43951</x:v>
      </x:c>
      <x:c r="B33" s="1" t="str">
        <x:v>Москва Восток</x:v>
      </x:c>
      <x:c r="C33" s="1" t="n">
        <x:v>54</x:v>
      </x:c>
      <x:c r="D33" s="1" t="n">
        <x:v>12817</x:v>
      </x:c>
      <x:c r="E33" s="1" t="n">
        <x:v>11865</x:v>
      </x:c>
      <x:c r="F33" s="1" t="str">
        <x:f>A33&amp;"|"&amp;B33</x:f>
        <x:v>43951|Москва Восток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5" t="n">
        <x:v>43951</x:v>
      </x:c>
      <x:c r="B34" s="1" t="str">
        <x:v>Москва Запад</x:v>
      </x:c>
      <x:c r="C34" s="1" t="n">
        <x:v>59</x:v>
      </x:c>
      <x:c r="D34" s="1" t="n">
        <x:v>13251</x:v>
      </x:c>
      <x:c r="E34" s="1" t="n">
        <x:v>12255</x:v>
      </x:c>
      <x:c r="F34" s="1" t="str">
        <x:f>A34&amp;"|"&amp;B34</x:f>
        <x:v>43951|Москва Запад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5" t="n">
        <x:v>43951</x:v>
      </x:c>
      <x:c r="B35" s="1" t="str">
        <x:v>Нижний Новгород</x:v>
      </x:c>
      <x:c r="C35" s="1" t="n">
        <x:v>19</x:v>
      </x:c>
      <x:c r="D35" s="1" t="n">
        <x:v>1499</x:v>
      </x:c>
      <x:c r="E35" s="1" t="n">
        <x:v>1322</x:v>
      </x:c>
      <x:c r="F35" s="1" t="str">
        <x:f>A35&amp;"|"&amp;B35</x:f>
        <x:v>43951|Нижний Новгород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5" t="n">
        <x:v>43951</x:v>
      </x:c>
      <x:c r="B36" s="1" t="str">
        <x:v>Новосибирск</x:v>
      </x:c>
      <x:c r="C36" s="1" t="n">
        <x:v>15</x:v>
      </x:c>
      <x:c r="D36" s="1" t="n">
        <x:v>644</x:v>
      </x:c>
      <x:c r="E36" s="1" t="n">
        <x:v>550</x:v>
      </x:c>
      <x:c r="F36" s="1" t="str">
        <x:f>A36&amp;"|"&amp;B36</x:f>
        <x:v>43951|Новосибирск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5" t="n">
        <x:v>43951</x:v>
      </x:c>
      <x:c r="B37" s="1" t="str">
        <x:v>Пермь</x:v>
      </x:c>
      <x:c r="C37" s="1" t="n">
        <x:v>15</x:v>
      </x:c>
      <x:c r="D37" s="1" t="n">
        <x:v>791</x:v>
      </x:c>
      <x:c r="E37" s="1" t="n">
        <x:v>691</x:v>
      </x:c>
      <x:c r="F37" s="1" t="str">
        <x:f>A37&amp;"|"&amp;B37</x:f>
        <x:v>43951|Пермь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5" t="n">
        <x:v>43951</x:v>
      </x:c>
      <x:c r="B38" s="1" t="str">
        <x:v>Ростов-на-Дону</x:v>
      </x:c>
      <x:c r="C38" s="1" t="n">
        <x:v>15</x:v>
      </x:c>
      <x:c r="D38" s="1" t="n">
        <x:v>262</x:v>
      </x:c>
      <x:c r="E38" s="1" t="n">
        <x:v>195</x:v>
      </x:c>
      <x:c r="F38" s="1" t="str">
        <x:f>A38&amp;"|"&amp;B38</x:f>
        <x:v>43951|Ростов-на-Дону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5" t="n">
        <x:v>43951</x:v>
      </x:c>
      <x:c r="B39" s="1" t="str">
        <x:v>Санкт-Петербург Север</x:v>
      </x:c>
      <x:c r="C39" s="1" t="n">
        <x:v>125</x:v>
      </x:c>
      <x:c r="D39" s="1" t="n">
        <x:v>22368</x:v>
      </x:c>
      <x:c r="E39" s="1" t="n">
        <x:v>20625</x:v>
      </x:c>
      <x:c r="F39" s="1" t="str">
        <x:f>A39&amp;"|"&amp;B39</x:f>
        <x:v>43951|Санкт-Петербург Север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5" t="n">
        <x:v>43951</x:v>
      </x:c>
      <x:c r="B40" s="1" t="str">
        <x:v>Санкт-Петербург Юг</x:v>
      </x:c>
      <x:c r="C40" s="1" t="n">
        <x:v>129</x:v>
      </x:c>
      <x:c r="D40" s="1" t="n">
        <x:v>18042</x:v>
      </x:c>
      <x:c r="E40" s="1" t="n">
        <x:v>16631</x:v>
      </x:c>
      <x:c r="F40" s="1" t="str">
        <x:f>A40&amp;"|"&amp;B40</x:f>
        <x:v>43951|Санкт-Петербург Юг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1" customHeight="1">
      <x:c r="A41" s="5" t="n">
        <x:v>43951</x:v>
      </x:c>
      <x:c r="B41" s="1" t="str">
        <x:v>Тольятти</x:v>
      </x:c>
      <x:c r="C41" s="1" t="n">
        <x:v>10</x:v>
      </x:c>
      <x:c r="D41" s="1" t="n">
        <x:v>448</x:v>
      </x:c>
      <x:c r="E41" s="1" t="n">
        <x:v>376</x:v>
      </x:c>
      <x:c r="F41" s="1" t="str">
        <x:f>A41&amp;"|"&amp;B41</x:f>
        <x:v>43951|Тольятти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1" customHeight="1">
      <x:c r="A42" s="5" t="n">
        <x:v>43952</x:v>
      </x:c>
      <x:c r="B42" s="1" t="str">
        <x:v>Волгоград</x:v>
      </x:c>
      <x:c r="C42" s="1" t="n">
        <x:v>36</x:v>
      </x:c>
      <x:c r="D42" s="1" t="n">
        <x:v>5457</x:v>
      </x:c>
      <x:c r="E42" s="1" t="n">
        <x:v>4916</x:v>
      </x:c>
      <x:c r="F42" s="1" t="str">
        <x:f>A42&amp;"|"&amp;B42</x:f>
        <x:v>43952|Волгоград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5" t="n">
        <x:v>43952</x:v>
      </x:c>
      <x:c r="B43" s="1" t="str">
        <x:v>Екатеринбург</x:v>
      </x:c>
      <x:c r="C43" s="1" t="n">
        <x:v>31</x:v>
      </x:c>
      <x:c r="D43" s="1" t="n">
        <x:v>6118</x:v>
      </x:c>
      <x:c r="E43" s="1" t="n">
        <x:v>5564</x:v>
      </x:c>
      <x:c r="F43" s="1" t="str">
        <x:f>A43&amp;"|"&amp;B43</x:f>
        <x:v>43952|Екатеринбург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5" t="n">
        <x:v>43952</x:v>
      </x:c>
      <x:c r="B44" s="1" t="str">
        <x:v>Казань</x:v>
      </x:c>
      <x:c r="C44" s="1" t="n">
        <x:v>20</x:v>
      </x:c>
      <x:c r="D44" s="1" t="n">
        <x:v>2468</x:v>
      </x:c>
      <x:c r="E44" s="1" t="n">
        <x:v>2221</x:v>
      </x:c>
      <x:c r="F44" s="1" t="str">
        <x:f>A44&amp;"|"&amp;B44</x:f>
        <x:v>43952|Казань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5" t="n">
        <x:v>43952</x:v>
      </x:c>
      <x:c r="B45" s="1" t="str">
        <x:v>Кемерово</x:v>
      </x:c>
      <x:c r="C45" s="1" t="n">
        <x:v>18</x:v>
      </x:c>
      <x:c r="D45" s="1" t="n">
        <x:v>1826</x:v>
      </x:c>
      <x:c r="E45" s="1" t="n">
        <x:v>1633</x:v>
      </x:c>
      <x:c r="F45" s="1" t="str">
        <x:f>A45&amp;"|"&amp;B45</x:f>
        <x:v>43952|Кемерово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5" t="n">
        <x:v>43952</x:v>
      </x:c>
      <x:c r="B46" s="1" t="str">
        <x:v>Краснодар</x:v>
      </x:c>
      <x:c r="C46" s="1" t="n">
        <x:v>19</x:v>
      </x:c>
      <x:c r="D46" s="1" t="n">
        <x:v>1987</x:v>
      </x:c>
      <x:c r="E46" s="1" t="n">
        <x:v>1791</x:v>
      </x:c>
      <x:c r="F46" s="1" t="str">
        <x:f>A46&amp;"|"&amp;B46</x:f>
        <x:v>43952|Краснодар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5" t="n">
        <x:v>43952</x:v>
      </x:c>
      <x:c r="B47" s="1" t="str">
        <x:v>Москва Восток</x:v>
      </x:c>
      <x:c r="C47" s="1" t="n">
        <x:v>54</x:v>
      </x:c>
      <x:c r="D47" s="1" t="n">
        <x:v>14205</x:v>
      </x:c>
      <x:c r="E47" s="1" t="n">
        <x:v>13026</x:v>
      </x:c>
      <x:c r="F47" s="1" t="str">
        <x:f>A47&amp;"|"&amp;B47</x:f>
        <x:v>43952|Москва Восток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5" t="n">
        <x:v>43952</x:v>
      </x:c>
      <x:c r="B48" s="1" t="str">
        <x:v>Москва Запад</x:v>
      </x:c>
      <x:c r="C48" s="1" t="n">
        <x:v>59</x:v>
      </x:c>
      <x:c r="D48" s="1" t="n">
        <x:v>15222</x:v>
      </x:c>
      <x:c r="E48" s="1" t="n">
        <x:v>13873</x:v>
      </x:c>
      <x:c r="F48" s="1" t="str">
        <x:f>A48&amp;"|"&amp;B48</x:f>
        <x:v>43952|Москва Запад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5" t="n">
        <x:v>43952</x:v>
      </x:c>
      <x:c r="B49" s="1" t="str">
        <x:v>Нижний Новгород</x:v>
      </x:c>
      <x:c r="C49" s="1" t="n">
        <x:v>19</x:v>
      </x:c>
      <x:c r="D49" s="1" t="n">
        <x:v>1497</x:v>
      </x:c>
      <x:c r="E49" s="1" t="n">
        <x:v>1291</x:v>
      </x:c>
      <x:c r="F49" s="1" t="str">
        <x:f>A49&amp;"|"&amp;B49</x:f>
        <x:v>43952|Нижний Новгород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5" t="n">
        <x:v>43952</x:v>
      </x:c>
      <x:c r="B50" s="1" t="str">
        <x:v>Новосибирск</x:v>
      </x:c>
      <x:c r="C50" s="1" t="n">
        <x:v>15</x:v>
      </x:c>
      <x:c r="D50" s="1" t="n">
        <x:v>721</x:v>
      </x:c>
      <x:c r="E50" s="1" t="n">
        <x:v>625</x:v>
      </x:c>
      <x:c r="F50" s="1" t="str">
        <x:f>A50&amp;"|"&amp;B50</x:f>
        <x:v>43952|Новосибирск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5" t="n">
        <x:v>43952</x:v>
      </x:c>
      <x:c r="B51" s="1" t="str">
        <x:v>Пермь</x:v>
      </x:c>
      <x:c r="C51" s="1" t="n">
        <x:v>15</x:v>
      </x:c>
      <x:c r="D51" s="1" t="n">
        <x:v>996</x:v>
      </x:c>
      <x:c r="E51" s="1" t="n">
        <x:v>888</x:v>
      </x:c>
      <x:c r="F51" s="1" t="str">
        <x:f>A51&amp;"|"&amp;B51</x:f>
        <x:v>43952|Пермь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5" t="n">
        <x:v>43952</x:v>
      </x:c>
      <x:c r="B52" s="1" t="str">
        <x:v>Ростов-на-Дону</x:v>
      </x:c>
      <x:c r="C52" s="1" t="n">
        <x:v>15</x:v>
      </x:c>
      <x:c r="D52" s="1" t="n">
        <x:v>294</x:v>
      </x:c>
      <x:c r="E52" s="1" t="n">
        <x:v>225</x:v>
      </x:c>
      <x:c r="F52" s="1" t="str">
        <x:f>A52&amp;"|"&amp;B52</x:f>
        <x:v>43952|Ростов-на-Дону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5" t="n">
        <x:v>43952</x:v>
      </x:c>
      <x:c r="B53" s="1" t="str">
        <x:v>Санкт-Петербург Север</x:v>
      </x:c>
      <x:c r="C53" s="1" t="n">
        <x:v>125</x:v>
      </x:c>
      <x:c r="D53" s="1" t="n">
        <x:v>20602</x:v>
      </x:c>
      <x:c r="E53" s="1" t="n">
        <x:v>18845</x:v>
      </x:c>
      <x:c r="F53" s="1" t="str">
        <x:f>A53&amp;"|"&amp;B53</x:f>
        <x:v>43952|Санкт-Петербург Север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5" t="n">
        <x:v>43952</x:v>
      </x:c>
      <x:c r="B54" s="1" t="str">
        <x:v>Санкт-Петербург Юг</x:v>
      </x:c>
      <x:c r="C54" s="1" t="n">
        <x:v>129</x:v>
      </x:c>
      <x:c r="D54" s="1" t="n">
        <x:v>17002</x:v>
      </x:c>
      <x:c r="E54" s="1" t="n">
        <x:v>15570</x:v>
      </x:c>
      <x:c r="F54" s="1" t="str">
        <x:f>A54&amp;"|"&amp;B54</x:f>
        <x:v>43952|Санкт-Петербург Юг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5" t="n">
        <x:v>43952</x:v>
      </x:c>
      <x:c r="B55" s="1" t="str">
        <x:v>Тольятти</x:v>
      </x:c>
      <x:c r="C55" s="1" t="n">
        <x:v>10</x:v>
      </x:c>
      <x:c r="D55" s="1" t="n">
        <x:v>554</x:v>
      </x:c>
      <x:c r="E55" s="1" t="n">
        <x:v>472</x:v>
      </x:c>
      <x:c r="F55" s="1" t="str">
        <x:f>A55&amp;"|"&amp;B55</x:f>
        <x:v>43952|Тольятти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5" t="n">
        <x:v>43953</x:v>
      </x:c>
      <x:c r="B56" s="1" t="str">
        <x:v>Волгоград</x:v>
      </x:c>
      <x:c r="C56" s="1" t="n">
        <x:v>36</x:v>
      </x:c>
      <x:c r="D56" s="1" t="n">
        <x:v>3442</x:v>
      </x:c>
      <x:c r="E56" s="1" t="n">
        <x:v>3147</x:v>
      </x:c>
      <x:c r="F56" s="1" t="str">
        <x:f>A56&amp;"|"&amp;B56</x:f>
        <x:v>43953|Волгоград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1" customHeight="1">
      <x:c r="A57" s="5" t="n">
        <x:v>43953</x:v>
      </x:c>
      <x:c r="B57" s="1" t="str">
        <x:v>Екатеринбург</x:v>
      </x:c>
      <x:c r="C57" s="1" t="n">
        <x:v>31</x:v>
      </x:c>
      <x:c r="D57" s="1" t="n">
        <x:v>4157</x:v>
      </x:c>
      <x:c r="E57" s="1" t="n">
        <x:v>3823</x:v>
      </x:c>
      <x:c r="F57" s="1" t="str">
        <x:f>A57&amp;"|"&amp;B57</x:f>
        <x:v>43953|Екатеринбург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1" customHeight="1">
      <x:c r="A58" s="5" t="n">
        <x:v>43953</x:v>
      </x:c>
      <x:c r="B58" s="1" t="str">
        <x:v>Казань</x:v>
      </x:c>
      <x:c r="C58" s="1" t="n">
        <x:v>20</x:v>
      </x:c>
      <x:c r="D58" s="1" t="n">
        <x:v>1613</x:v>
      </x:c>
      <x:c r="E58" s="1" t="n">
        <x:v>1457</x:v>
      </x:c>
      <x:c r="F58" s="1" t="str">
        <x:f>A58&amp;"|"&amp;B58</x:f>
        <x:v>43953|Казань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1" customHeight="1">
      <x:c r="A59" s="5" t="n">
        <x:v>43953</x:v>
      </x:c>
      <x:c r="B59" s="1" t="str">
        <x:v>Кемерово</x:v>
      </x:c>
      <x:c r="C59" s="1" t="n">
        <x:v>18</x:v>
      </x:c>
      <x:c r="D59" s="1" t="n">
        <x:v>1708</x:v>
      </x:c>
      <x:c r="E59" s="1" t="n">
        <x:v>1534</x:v>
      </x:c>
      <x:c r="F59" s="1" t="str">
        <x:f>A59&amp;"|"&amp;B59</x:f>
        <x:v>43953|Кемерово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1" customHeight="1">
      <x:c r="A60" s="5" t="n">
        <x:v>43953</x:v>
      </x:c>
      <x:c r="B60" s="1" t="str">
        <x:v>Краснодар</x:v>
      </x:c>
      <x:c r="C60" s="1" t="n">
        <x:v>19</x:v>
      </x:c>
      <x:c r="D60" s="1" t="n">
        <x:v>1206</x:v>
      </x:c>
      <x:c r="E60" s="1" t="n">
        <x:v>1080</x:v>
      </x:c>
      <x:c r="F60" s="1" t="str">
        <x:f>A60&amp;"|"&amp;B60</x:f>
        <x:v>43953|Краснодар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1" customHeight="1">
      <x:c r="A61" s="5" t="n">
        <x:v>43953</x:v>
      </x:c>
      <x:c r="B61" s="1" t="str">
        <x:v>Москва Восток</x:v>
      </x:c>
      <x:c r="C61" s="1" t="n">
        <x:v>54</x:v>
      </x:c>
      <x:c r="D61" s="1" t="n">
        <x:v>11622</x:v>
      </x:c>
      <x:c r="E61" s="1" t="n">
        <x:v>10754</x:v>
      </x:c>
      <x:c r="F61" s="1" t="str">
        <x:f>A61&amp;"|"&amp;B61</x:f>
        <x:v>43953|Москва Восток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1" customHeight="1">
      <x:c r="A62" s="5" t="n">
        <x:v>43953</x:v>
      </x:c>
      <x:c r="B62" s="1" t="str">
        <x:v>Москва Запад</x:v>
      </x:c>
      <x:c r="C62" s="1" t="n">
        <x:v>59</x:v>
      </x:c>
      <x:c r="D62" s="1" t="n">
        <x:v>12429</x:v>
      </x:c>
      <x:c r="E62" s="1" t="n">
        <x:v>11477</x:v>
      </x:c>
      <x:c r="F62" s="1" t="str">
        <x:f>A62&amp;"|"&amp;B62</x:f>
        <x:v>43953|Москва Запад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1" customHeight="1">
      <x:c r="A63" s="5" t="n">
        <x:v>43953</x:v>
      </x:c>
      <x:c r="B63" s="1" t="str">
        <x:v>Нижний Новгород</x:v>
      </x:c>
      <x:c r="C63" s="1" t="n">
        <x:v>19</x:v>
      </x:c>
      <x:c r="D63" s="1" t="n">
        <x:v>1217</x:v>
      </x:c>
      <x:c r="E63" s="1" t="n">
        <x:v>1048</x:v>
      </x:c>
      <x:c r="F63" s="1" t="str">
        <x:f>A63&amp;"|"&amp;B63</x:f>
        <x:v>43953|Нижний Новгород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1" customHeight="1">
      <x:c r="A64" s="5" t="n">
        <x:v>43953</x:v>
      </x:c>
      <x:c r="B64" s="1" t="str">
        <x:v>Новосибирск</x:v>
      </x:c>
      <x:c r="C64" s="1" t="n">
        <x:v>15</x:v>
      </x:c>
      <x:c r="D64" s="1" t="n">
        <x:v>567</x:v>
      </x:c>
      <x:c r="E64" s="1" t="n">
        <x:v>493</x:v>
      </x:c>
      <x:c r="F64" s="1" t="str">
        <x:f>A64&amp;"|"&amp;B64</x:f>
        <x:v>43953|Новосибирск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1" customHeight="1">
      <x:c r="A65" s="5" t="n">
        <x:v>43953</x:v>
      </x:c>
      <x:c r="B65" s="1" t="str">
        <x:v>Пермь</x:v>
      </x:c>
      <x:c r="C65" s="1" t="n">
        <x:v>15</x:v>
      </x:c>
      <x:c r="D65" s="1" t="n">
        <x:v>751</x:v>
      </x:c>
      <x:c r="E65" s="1" t="n">
        <x:v>651</x:v>
      </x:c>
      <x:c r="F65" s="1" t="str">
        <x:f>A65&amp;"|"&amp;B65</x:f>
        <x:v>43953|Пермь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1" customHeight="1">
      <x:c r="A66" s="5" t="n">
        <x:v>43953</x:v>
      </x:c>
      <x:c r="B66" s="1" t="str">
        <x:v>Ростов-на-Дону</x:v>
      </x:c>
      <x:c r="C66" s="1" t="n">
        <x:v>15</x:v>
      </x:c>
      <x:c r="D66" s="1" t="n">
        <x:v>274</x:v>
      </x:c>
      <x:c r="E66" s="1" t="n">
        <x:v>203</x:v>
      </x:c>
      <x:c r="F66" s="1" t="str">
        <x:f>A66&amp;"|"&amp;B66</x:f>
        <x:v>43953|Ростов-на-Дону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1" customHeight="1">
      <x:c r="A67" s="5" t="n">
        <x:v>43953</x:v>
      </x:c>
      <x:c r="B67" s="1" t="str">
        <x:v>Санкт-Петербург Север</x:v>
      </x:c>
      <x:c r="C67" s="1" t="n">
        <x:v>125</x:v>
      </x:c>
      <x:c r="D67" s="1" t="n">
        <x:v>16932</x:v>
      </x:c>
      <x:c r="E67" s="1" t="n">
        <x:v>15601</x:v>
      </x:c>
      <x:c r="F67" s="1" t="str">
        <x:f>A67&amp;"|"&amp;B67</x:f>
        <x:v>43953|Санкт-Петербург Север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1" customHeight="1">
      <x:c r="A68" s="5" t="n">
        <x:v>43953</x:v>
      </x:c>
      <x:c r="B68" s="1" t="str">
        <x:v>Санкт-Петербург Юг</x:v>
      </x:c>
      <x:c r="C68" s="1" t="n">
        <x:v>129</x:v>
      </x:c>
      <x:c r="D68" s="1" t="n">
        <x:v>14009</x:v>
      </x:c>
      <x:c r="E68" s="1" t="n">
        <x:v>12920</x:v>
      </x:c>
      <x:c r="F68" s="1" t="str">
        <x:f>A68&amp;"|"&amp;B68</x:f>
        <x:v>43953|Санкт-Петербург Юг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1" customHeight="1">
      <x:c r="A69" s="5" t="n">
        <x:v>43953</x:v>
      </x:c>
      <x:c r="B69" s="1" t="str">
        <x:v>Тольятти</x:v>
      </x:c>
      <x:c r="C69" s="1" t="n">
        <x:v>10</x:v>
      </x:c>
      <x:c r="D69" s="1" t="n">
        <x:v>416</x:v>
      </x:c>
      <x:c r="E69" s="1" t="n">
        <x:v>341</x:v>
      </x:c>
      <x:c r="F69" s="1" t="str">
        <x:f>A69&amp;"|"&amp;B69</x:f>
        <x:v>43953|Тольятти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1" customHeight="1">
      <x:c r="A70" s="5" t="n">
        <x:v>43954</x:v>
      </x:c>
      <x:c r="B70" s="1" t="str">
        <x:v>Волгоград</x:v>
      </x:c>
      <x:c r="C70" s="1" t="n">
        <x:v>36</x:v>
      </x:c>
      <x:c r="D70" s="1" t="n">
        <x:v>4751</x:v>
      </x:c>
      <x:c r="E70" s="1" t="n">
        <x:v>4370</x:v>
      </x:c>
      <x:c r="F70" s="1" t="str">
        <x:f>A70&amp;"|"&amp;B70</x:f>
        <x:v>43954|Волгоград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1" customHeight="1">
      <x:c r="A71" s="5" t="n">
        <x:v>43954</x:v>
      </x:c>
      <x:c r="B71" s="1" t="str">
        <x:v>Екатеринбург</x:v>
      </x:c>
      <x:c r="C71" s="1" t="n">
        <x:v>31</x:v>
      </x:c>
      <x:c r="D71" s="1" t="n">
        <x:v>5155</x:v>
      </x:c>
      <x:c r="E71" s="1" t="n">
        <x:v>4762</x:v>
      </x:c>
      <x:c r="F71" s="1" t="str">
        <x:f>A71&amp;"|"&amp;B71</x:f>
        <x:v>43954|Екатеринбург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1" customHeight="1">
      <x:c r="A72" s="5" t="n">
        <x:v>43954</x:v>
      </x:c>
      <x:c r="B72" s="1" t="str">
        <x:v>Казань</x:v>
      </x:c>
      <x:c r="C72" s="1" t="n">
        <x:v>20</x:v>
      </x:c>
      <x:c r="D72" s="1" t="n">
        <x:v>1716</x:v>
      </x:c>
      <x:c r="E72" s="1" t="n">
        <x:v>1561</x:v>
      </x:c>
      <x:c r="F72" s="1" t="str">
        <x:f>A72&amp;"|"&amp;B72</x:f>
        <x:v>43954|Казань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1" customHeight="1">
      <x:c r="A73" s="5" t="n">
        <x:v>43954</x:v>
      </x:c>
      <x:c r="B73" s="1" t="str">
        <x:v>Кемерово</x:v>
      </x:c>
      <x:c r="C73" s="1" t="n">
        <x:v>20</x:v>
      </x:c>
      <x:c r="D73" s="1" t="n">
        <x:v>1520</x:v>
      </x:c>
      <x:c r="E73" s="1" t="n">
        <x:v>1373</x:v>
      </x:c>
      <x:c r="F73" s="1" t="str">
        <x:f>A73&amp;"|"&amp;B73</x:f>
        <x:v>43954|Кемерово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1" customHeight="1">
      <x:c r="A74" s="5" t="n">
        <x:v>43954</x:v>
      </x:c>
      <x:c r="B74" s="1" t="str">
        <x:v>Краснодар</x:v>
      </x:c>
      <x:c r="C74" s="1" t="n">
        <x:v>19</x:v>
      </x:c>
      <x:c r="D74" s="1" t="n">
        <x:v>1314</x:v>
      </x:c>
      <x:c r="E74" s="1" t="n">
        <x:v>1192</x:v>
      </x:c>
      <x:c r="F74" s="1" t="str">
        <x:f>A74&amp;"|"&amp;B74</x:f>
        <x:v>43954|Краснодар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1" customHeight="1">
      <x:c r="A75" s="5" t="n">
        <x:v>43954</x:v>
      </x:c>
      <x:c r="B75" s="1" t="str">
        <x:v>Москва Восток</x:v>
      </x:c>
      <x:c r="C75" s="1" t="n">
        <x:v>54</x:v>
      </x:c>
      <x:c r="D75" s="1" t="n">
        <x:v>14823</x:v>
      </x:c>
      <x:c r="E75" s="1" t="n">
        <x:v>13751</x:v>
      </x:c>
      <x:c r="F75" s="1" t="str">
        <x:f>A75&amp;"|"&amp;B75</x:f>
        <x:v>43954|Москва Восток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1" customHeight="1">
      <x:c r="A76" s="5" t="n">
        <x:v>43954</x:v>
      </x:c>
      <x:c r="B76" s="1" t="str">
        <x:v>Москва Запад</x:v>
      </x:c>
      <x:c r="C76" s="1" t="n">
        <x:v>59</x:v>
      </x:c>
      <x:c r="D76" s="1" t="n">
        <x:v>15277</x:v>
      </x:c>
      <x:c r="E76" s="1" t="n">
        <x:v>14163</x:v>
      </x:c>
      <x:c r="F76" s="1" t="str">
        <x:f>A76&amp;"|"&amp;B76</x:f>
        <x:v>43954|Москва Запад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1" customHeight="1">
      <x:c r="A77" s="5" t="n">
        <x:v>43954</x:v>
      </x:c>
      <x:c r="B77" s="1" t="str">
        <x:v>Нижний Новгород</x:v>
      </x:c>
      <x:c r="C77" s="1" t="n">
        <x:v>19</x:v>
      </x:c>
      <x:c r="D77" s="1" t="n">
        <x:v>1402</x:v>
      </x:c>
      <x:c r="E77" s="1" t="n">
        <x:v>1234</x:v>
      </x:c>
      <x:c r="F77" s="1" t="str">
        <x:f>A77&amp;"|"&amp;B77</x:f>
        <x:v>43954|Нижний Новгород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1" customHeight="1">
      <x:c r="A78" s="5" t="n">
        <x:v>43954</x:v>
      </x:c>
      <x:c r="B78" s="1" t="str">
        <x:v>Новосибирск</x:v>
      </x:c>
      <x:c r="C78" s="1" t="n">
        <x:v>15</x:v>
      </x:c>
      <x:c r="D78" s="1" t="n">
        <x:v>585</x:v>
      </x:c>
      <x:c r="E78" s="1" t="n">
        <x:v>502</x:v>
      </x:c>
      <x:c r="F78" s="1" t="str">
        <x:f>A78&amp;"|"&amp;B78</x:f>
        <x:v>43954|Новосибирск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1" customHeight="1">
      <x:c r="A79" s="5" t="n">
        <x:v>43954</x:v>
      </x:c>
      <x:c r="B79" s="1" t="str">
        <x:v>Пермь</x:v>
      </x:c>
      <x:c r="C79" s="1" t="n">
        <x:v>15</x:v>
      </x:c>
      <x:c r="D79" s="1" t="n">
        <x:v>784</x:v>
      </x:c>
      <x:c r="E79" s="1" t="n">
        <x:v>696</x:v>
      </x:c>
      <x:c r="F79" s="1" t="str">
        <x:f>A79&amp;"|"&amp;B79</x:f>
        <x:v>43954|Пермь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1" customHeight="1">
      <x:c r="A80" s="5" t="n">
        <x:v>43954</x:v>
      </x:c>
      <x:c r="B80" s="1" t="str">
        <x:v>Ростов-на-Дону</x:v>
      </x:c>
      <x:c r="C80" s="1" t="n">
        <x:v>15</x:v>
      </x:c>
      <x:c r="D80" s="1" t="n">
        <x:v>455</x:v>
      </x:c>
      <x:c r="E80" s="1" t="n">
        <x:v>384</x:v>
      </x:c>
      <x:c r="F80" s="1" t="str">
        <x:f>A80&amp;"|"&amp;B80</x:f>
        <x:v>43954|Ростов-на-Дону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1" customHeight="1">
      <x:c r="A81" s="5" t="n">
        <x:v>43954</x:v>
      </x:c>
      <x:c r="B81" s="1" t="str">
        <x:v>Санкт-Петербург Север</x:v>
      </x:c>
      <x:c r="C81" s="1" t="n">
        <x:v>125</x:v>
      </x:c>
      <x:c r="D81" s="1" t="n">
        <x:v>18861</x:v>
      </x:c>
      <x:c r="E81" s="1" t="n">
        <x:v>17420</x:v>
      </x:c>
      <x:c r="F81" s="1" t="str">
        <x:f>A81&amp;"|"&amp;B81</x:f>
        <x:v>43954|Санкт-Петербург Север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1" customHeight="1">
      <x:c r="A82" s="5" t="n">
        <x:v>43954</x:v>
      </x:c>
      <x:c r="B82" s="1" t="str">
        <x:v>Санкт-Петербург Юг</x:v>
      </x:c>
      <x:c r="C82" s="1" t="n">
        <x:v>129</x:v>
      </x:c>
      <x:c r="D82" s="1" t="n">
        <x:v>15778</x:v>
      </x:c>
      <x:c r="E82" s="1" t="n">
        <x:v>14624</x:v>
      </x:c>
      <x:c r="F82" s="1" t="str">
        <x:f>A82&amp;"|"&amp;B82</x:f>
        <x:v>43954|Санкт-Петербург Юг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1" customHeight="1">
      <x:c r="A83" s="5" t="n">
        <x:v>43954</x:v>
      </x:c>
      <x:c r="B83" s="1" t="str">
        <x:v>Тольятти</x:v>
      </x:c>
      <x:c r="C83" s="1" t="n">
        <x:v>10</x:v>
      </x:c>
      <x:c r="D83" s="1" t="n">
        <x:v>402</x:v>
      </x:c>
      <x:c r="E83" s="1" t="n">
        <x:v>333</x:v>
      </x:c>
      <x:c r="F83" s="1" t="str">
        <x:f>A83&amp;"|"&amp;B83</x:f>
        <x:v>43954|Тольятти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1" customHeight="1">
      <x:c r="A84" s="5" t="n">
        <x:v>43955</x:v>
      </x:c>
      <x:c r="B84" s="1" t="str">
        <x:v>Волгоград</x:v>
      </x:c>
      <x:c r="C84" s="1" t="n">
        <x:v>36</x:v>
      </x:c>
      <x:c r="D84" s="1" t="n">
        <x:v>4508</x:v>
      </x:c>
      <x:c r="E84" s="1" t="n">
        <x:v>4149</x:v>
      </x:c>
      <x:c r="F84" s="1" t="str">
        <x:f>A84&amp;"|"&amp;B84</x:f>
        <x:v>43955|Волгоград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1" customHeight="1">
      <x:c r="A85" s="5" t="n">
        <x:v>43955</x:v>
      </x:c>
      <x:c r="B85" s="1" t="str">
        <x:v>Екатеринбург</x:v>
      </x:c>
      <x:c r="C85" s="1" t="n">
        <x:v>31</x:v>
      </x:c>
      <x:c r="D85" s="1" t="n">
        <x:v>4968</x:v>
      </x:c>
      <x:c r="E85" s="1" t="n">
        <x:v>4596</x:v>
      </x:c>
      <x:c r="F85" s="1" t="str">
        <x:f>A85&amp;"|"&amp;B85</x:f>
        <x:v>43955|Екатеринбург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1" customHeight="1">
      <x:c r="A86" s="5" t="n">
        <x:v>43955</x:v>
      </x:c>
      <x:c r="B86" s="1" t="str">
        <x:v>Казань</x:v>
      </x:c>
      <x:c r="C86" s="1" t="n">
        <x:v>20</x:v>
      </x:c>
      <x:c r="D86" s="1" t="n">
        <x:v>1804</x:v>
      </x:c>
      <x:c r="E86" s="1" t="n">
        <x:v>1638</x:v>
      </x:c>
      <x:c r="F86" s="1" t="str">
        <x:f>A86&amp;"|"&amp;B86</x:f>
        <x:v>43955|Казань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1" customHeight="1">
      <x:c r="A87" s="5" t="n">
        <x:v>43955</x:v>
      </x:c>
      <x:c r="B87" s="1" t="str">
        <x:v>Кемерово</x:v>
      </x:c>
      <x:c r="C87" s="1" t="n">
        <x:v>20</x:v>
      </x:c>
      <x:c r="D87" s="1" t="n">
        <x:v>1519</x:v>
      </x:c>
      <x:c r="E87" s="1" t="n">
        <x:v>1372</x:v>
      </x:c>
      <x:c r="F87" s="1" t="str">
        <x:f>A87&amp;"|"&amp;B87</x:f>
        <x:v>43955|Кемерово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1" customHeight="1">
      <x:c r="A88" s="5" t="n">
        <x:v>43955</x:v>
      </x:c>
      <x:c r="B88" s="1" t="str">
        <x:v>Краснодар</x:v>
      </x:c>
      <x:c r="C88" s="1" t="n">
        <x:v>19</x:v>
      </x:c>
      <x:c r="D88" s="1" t="n">
        <x:v>1479</x:v>
      </x:c>
      <x:c r="E88" s="1" t="n">
        <x:v>1346</x:v>
      </x:c>
      <x:c r="F88" s="1" t="str">
        <x:f>A88&amp;"|"&amp;B88</x:f>
        <x:v>43955|Краснодар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1" customHeight="1">
      <x:c r="A89" s="5" t="n">
        <x:v>43955</x:v>
      </x:c>
      <x:c r="B89" s="1" t="str">
        <x:v>Москва Восток</x:v>
      </x:c>
      <x:c r="C89" s="1" t="n">
        <x:v>54</x:v>
      </x:c>
      <x:c r="D89" s="1" t="n">
        <x:v>13606</x:v>
      </x:c>
      <x:c r="E89" s="1" t="n">
        <x:v>12697</x:v>
      </x:c>
      <x:c r="F89" s="1" t="str">
        <x:f>A89&amp;"|"&amp;B89</x:f>
        <x:v>43955|Москва Восток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1" customHeight="1">
      <x:c r="A90" s="5" t="n">
        <x:v>43955</x:v>
      </x:c>
      <x:c r="B90" s="1" t="str">
        <x:v>Москва Запад</x:v>
      </x:c>
      <x:c r="C90" s="1" t="n">
        <x:v>59</x:v>
      </x:c>
      <x:c r="D90" s="1" t="n">
        <x:v>14423</x:v>
      </x:c>
      <x:c r="E90" s="1" t="n">
        <x:v>13432</x:v>
      </x:c>
      <x:c r="F90" s="1" t="str">
        <x:f>A90&amp;"|"&amp;B90</x:f>
        <x:v>43955|Москва Запад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1" customHeight="1">
      <x:c r="A91" s="5" t="n">
        <x:v>43955</x:v>
      </x:c>
      <x:c r="B91" s="1" t="str">
        <x:v>Нижний Новгород</x:v>
      </x:c>
      <x:c r="C91" s="1" t="n">
        <x:v>19</x:v>
      </x:c>
      <x:c r="D91" s="1" t="n">
        <x:v>1582</x:v>
      </x:c>
      <x:c r="E91" s="1" t="n">
        <x:v>1403</x:v>
      </x:c>
      <x:c r="F91" s="1" t="str">
        <x:f>A91&amp;"|"&amp;B91</x:f>
        <x:v>43955|Нижний Новгород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1" customHeight="1">
      <x:c r="A92" s="5" t="n">
        <x:v>43955</x:v>
      </x:c>
      <x:c r="B92" s="1" t="str">
        <x:v>Новосибирск</x:v>
      </x:c>
      <x:c r="C92" s="1" t="n">
        <x:v>15</x:v>
      </x:c>
      <x:c r="D92" s="1" t="n">
        <x:v>622</x:v>
      </x:c>
      <x:c r="E92" s="1" t="n">
        <x:v>538</x:v>
      </x:c>
      <x:c r="F92" s="1" t="str">
        <x:f>A92&amp;"|"&amp;B92</x:f>
        <x:v>43955|Новосибирск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1" customHeight="1">
      <x:c r="A93" s="5" t="n">
        <x:v>43955</x:v>
      </x:c>
      <x:c r="B93" s="1" t="str">
        <x:v>Пермь</x:v>
      </x:c>
      <x:c r="C93" s="1" t="n">
        <x:v>15</x:v>
      </x:c>
      <x:c r="D93" s="1" t="n">
        <x:v>750</x:v>
      </x:c>
      <x:c r="E93" s="1" t="n">
        <x:v>647</x:v>
      </x:c>
      <x:c r="F93" s="1" t="str">
        <x:f>A93&amp;"|"&amp;B93</x:f>
        <x:v>43955|Пермь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1" customHeight="1">
      <x:c r="A94" s="5" t="n">
        <x:v>43955</x:v>
      </x:c>
      <x:c r="B94" s="1" t="str">
        <x:v>Ростов-на-Дону</x:v>
      </x:c>
      <x:c r="C94" s="1" t="n">
        <x:v>15</x:v>
      </x:c>
      <x:c r="D94" s="1" t="n">
        <x:v>390</x:v>
      </x:c>
      <x:c r="E94" s="1" t="n">
        <x:v>315</x:v>
      </x:c>
      <x:c r="F94" s="1" t="str">
        <x:f>A94&amp;"|"&amp;B94</x:f>
        <x:v>43955|Ростов-на-Дону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1" customHeight="1">
      <x:c r="A95" s="5" t="n">
        <x:v>43955</x:v>
      </x:c>
      <x:c r="B95" s="1" t="str">
        <x:v>Санкт-Петербург Север</x:v>
      </x:c>
      <x:c r="C95" s="1" t="n">
        <x:v>125</x:v>
      </x:c>
      <x:c r="D95" s="1" t="n">
        <x:v>20495</x:v>
      </x:c>
      <x:c r="E95" s="1" t="n">
        <x:v>18964</x:v>
      </x:c>
      <x:c r="F95" s="1" t="str">
        <x:f>A95&amp;"|"&amp;B95</x:f>
        <x:v>43955|Санкт-Петербург Север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1" customHeight="1">
      <x:c r="A96" s="5" t="n">
        <x:v>43955</x:v>
      </x:c>
      <x:c r="B96" s="1" t="str">
        <x:v>Санкт-Петербург Юг</x:v>
      </x:c>
      <x:c r="C96" s="1" t="n">
        <x:v>129</x:v>
      </x:c>
      <x:c r="D96" s="1" t="n">
        <x:v>16525</x:v>
      </x:c>
      <x:c r="E96" s="1" t="n">
        <x:v>15310</x:v>
      </x:c>
      <x:c r="F96" s="1" t="str">
        <x:f>A96&amp;"|"&amp;B96</x:f>
        <x:v>43955|Санкт-Петербург Юг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1" customHeight="1">
      <x:c r="A97" s="5" t="n">
        <x:v>43955</x:v>
      </x:c>
      <x:c r="B97" s="1" t="str">
        <x:v>Тольятти</x:v>
      </x:c>
      <x:c r="C97" s="1" t="n">
        <x:v>10</x:v>
      </x:c>
      <x:c r="D97" s="1" t="n">
        <x:v>462</x:v>
      </x:c>
      <x:c r="E97" s="1" t="n">
        <x:v>396</x:v>
      </x:c>
      <x:c r="F97" s="1" t="str">
        <x:f>A97&amp;"|"&amp;B97</x:f>
        <x:v>43955|Тольятти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1" customHeight="1">
      <x:c r="A98" s="5" t="n">
        <x:v>43956</x:v>
      </x:c>
      <x:c r="B98" s="1" t="str">
        <x:v>Волгоград</x:v>
      </x:c>
      <x:c r="C98" s="1" t="n">
        <x:v>36</x:v>
      </x:c>
      <x:c r="D98" s="1" t="n">
        <x:v>4575</x:v>
      </x:c>
      <x:c r="E98" s="1" t="n">
        <x:v>4206</x:v>
      </x:c>
      <x:c r="F98" s="1" t="str">
        <x:f>A98&amp;"|"&amp;B98</x:f>
        <x:v>43956|Волгоград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1" customHeight="1">
      <x:c r="A99" s="5" t="n">
        <x:v>43956</x:v>
      </x:c>
      <x:c r="B99" s="1" t="str">
        <x:v>Екатеринбург</x:v>
      </x:c>
      <x:c r="C99" s="1" t="n">
        <x:v>31</x:v>
      </x:c>
      <x:c r="D99" s="1" t="n">
        <x:v>5188</x:v>
      </x:c>
      <x:c r="E99" s="1" t="n">
        <x:v>4800</x:v>
      </x:c>
      <x:c r="F99" s="1" t="str">
        <x:f>A99&amp;"|"&amp;B99</x:f>
        <x:v>43956|Екатеринбург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1" customHeight="1">
      <x:c r="A100" s="5" t="n">
        <x:v>43956</x:v>
      </x:c>
      <x:c r="B100" s="1" t="str">
        <x:v>Казань</x:v>
      </x:c>
      <x:c r="C100" s="1" t="n">
        <x:v>20</x:v>
      </x:c>
      <x:c r="D100" s="1" t="n">
        <x:v>1757</x:v>
      </x:c>
      <x:c r="E100" s="1" t="n">
        <x:v>1596</x:v>
      </x:c>
      <x:c r="F100" s="1" t="str">
        <x:f>A100&amp;"|"&amp;B100</x:f>
        <x:v>43956|Казань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1" customHeight="1">
      <x:c r="A101" s="5" t="n">
        <x:v>43956</x:v>
      </x:c>
      <x:c r="B101" s="1" t="str">
        <x:v>Кемерово</x:v>
      </x:c>
      <x:c r="C101" s="1" t="n">
        <x:v>20</x:v>
      </x:c>
      <x:c r="D101" s="1" t="n">
        <x:v>1773</x:v>
      </x:c>
      <x:c r="E101" s="1" t="n">
        <x:v>1604</x:v>
      </x:c>
      <x:c r="F101" s="1" t="str">
        <x:f>A101&amp;"|"&amp;B101</x:f>
        <x:v>43956|Кемерово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1" customHeight="1">
      <x:c r="A102" s="5" t="n">
        <x:v>43956</x:v>
      </x:c>
      <x:c r="B102" s="1" t="str">
        <x:v>Краснодар</x:v>
      </x:c>
      <x:c r="C102" s="1" t="n">
        <x:v>19</x:v>
      </x:c>
      <x:c r="D102" s="1" t="n">
        <x:v>1622</x:v>
      </x:c>
      <x:c r="E102" s="1" t="n">
        <x:v>1482</x:v>
      </x:c>
      <x:c r="F102" s="1" t="str">
        <x:f>A102&amp;"|"&amp;B102</x:f>
        <x:v>43956|Краснодар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1" customHeight="1">
      <x:c r="A103" s="5" t="n">
        <x:v>43956</x:v>
      </x:c>
      <x:c r="B103" s="1" t="str">
        <x:v>Москва Восток</x:v>
      </x:c>
      <x:c r="C103" s="1" t="n">
        <x:v>54</x:v>
      </x:c>
      <x:c r="D103" s="1" t="n">
        <x:v>12775</x:v>
      </x:c>
      <x:c r="E103" s="1" t="n">
        <x:v>11887</x:v>
      </x:c>
      <x:c r="F103" s="1" t="str">
        <x:f>A103&amp;"|"&amp;B103</x:f>
        <x:v>43956|Москва Восток</x:v>
      </x:c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1" customHeight="1">
      <x:c r="A104" s="5" t="n">
        <x:v>43956</x:v>
      </x:c>
      <x:c r="B104" s="1" t="str">
        <x:v>Москва Запад</x:v>
      </x:c>
      <x:c r="C104" s="1" t="n">
        <x:v>59</x:v>
      </x:c>
      <x:c r="D104" s="1" t="n">
        <x:v>13469</x:v>
      </x:c>
      <x:c r="E104" s="1" t="n">
        <x:v>12486</x:v>
      </x:c>
      <x:c r="F104" s="1" t="str">
        <x:f>A104&amp;"|"&amp;B104</x:f>
        <x:v>43956|Москва Запад</x:v>
      </x:c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1" customHeight="1">
      <x:c r="A105" s="5" t="n">
        <x:v>43956</x:v>
      </x:c>
      <x:c r="B105" s="1" t="str">
        <x:v>Нижний Новгород</x:v>
      </x:c>
      <x:c r="C105" s="1" t="n">
        <x:v>19</x:v>
      </x:c>
      <x:c r="D105" s="1" t="n">
        <x:v>1417</x:v>
      </x:c>
      <x:c r="E105" s="1" t="n">
        <x:v>1245</x:v>
      </x:c>
      <x:c r="F105" s="1" t="str">
        <x:f>A105&amp;"|"&amp;B105</x:f>
        <x:v>43956|Нижний Новгород</x:v>
      </x:c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1" customHeight="1">
      <x:c r="A106" s="5" t="n">
        <x:v>43956</x:v>
      </x:c>
      <x:c r="B106" s="1" t="str">
        <x:v>Новосибирск</x:v>
      </x:c>
      <x:c r="C106" s="1" t="n">
        <x:v>15</x:v>
      </x:c>
      <x:c r="D106" s="1" t="n">
        <x:v>750</x:v>
      </x:c>
      <x:c r="E106" s="1" t="n">
        <x:v>658</x:v>
      </x:c>
      <x:c r="F106" s="1" t="str">
        <x:f>A106&amp;"|"&amp;B106</x:f>
        <x:v>43956|Новосибирск</x:v>
      </x:c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1" customHeight="1">
      <x:c r="A107" s="5" t="n">
        <x:v>43956</x:v>
      </x:c>
      <x:c r="B107" s="1" t="str">
        <x:v>Пермь</x:v>
      </x:c>
      <x:c r="C107" s="1" t="n">
        <x:v>15</x:v>
      </x:c>
      <x:c r="D107" s="1" t="n">
        <x:v>922</x:v>
      </x:c>
      <x:c r="E107" s="1" t="n">
        <x:v>823</x:v>
      </x:c>
      <x:c r="F107" s="1" t="str">
        <x:f>A107&amp;"|"&amp;B107</x:f>
        <x:v>43956|Пермь</x:v>
      </x:c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1" customHeight="1">
      <x:c r="A108" s="5" t="n">
        <x:v>43956</x:v>
      </x:c>
      <x:c r="B108" s="1" t="str">
        <x:v>Ростов-на-Дону</x:v>
      </x:c>
      <x:c r="C108" s="1" t="n">
        <x:v>15</x:v>
      </x:c>
      <x:c r="D108" s="1" t="n">
        <x:v>455</x:v>
      </x:c>
      <x:c r="E108" s="1" t="n">
        <x:v>381</x:v>
      </x:c>
      <x:c r="F108" s="1" t="str">
        <x:f>A108&amp;"|"&amp;B108</x:f>
        <x:v>43956|Ростов-на-Дону</x:v>
      </x:c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1" customHeight="1">
      <x:c r="A109" s="5" t="n">
        <x:v>43956</x:v>
      </x:c>
      <x:c r="B109" s="1" t="str">
        <x:v>Санкт-Петербург Север</x:v>
      </x:c>
      <x:c r="C109" s="1" t="n">
        <x:v>125</x:v>
      </x:c>
      <x:c r="D109" s="1" t="n">
        <x:v>18944</x:v>
      </x:c>
      <x:c r="E109" s="1" t="n">
        <x:v>17541</x:v>
      </x:c>
      <x:c r="F109" s="1" t="str">
        <x:f>A109&amp;"|"&amp;B109</x:f>
        <x:v>43956|Санкт-Петербург Север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1" customHeight="1">
      <x:c r="A110" s="5" t="n">
        <x:v>43956</x:v>
      </x:c>
      <x:c r="B110" s="1" t="str">
        <x:v>Санкт-Петербург Юг</x:v>
      </x:c>
      <x:c r="C110" s="1" t="n">
        <x:v>129</x:v>
      </x:c>
      <x:c r="D110" s="1" t="n">
        <x:v>15665</x:v>
      </x:c>
      <x:c r="E110" s="1" t="n">
        <x:v>14501</x:v>
      </x:c>
      <x:c r="F110" s="1" t="str">
        <x:f>A110&amp;"|"&amp;B110</x:f>
        <x:v>43956|Санкт-Петербург Юг</x:v>
      </x:c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1" customHeight="1">
      <x:c r="A111" s="5" t="n">
        <x:v>43956</x:v>
      </x:c>
      <x:c r="B111" s="1" t="str">
        <x:v>Тольятти</x:v>
      </x:c>
      <x:c r="C111" s="1" t="n">
        <x:v>10</x:v>
      </x:c>
      <x:c r="D111" s="1" t="n">
        <x:v>511</x:v>
      </x:c>
      <x:c r="E111" s="1" t="n">
        <x:v>437</x:v>
      </x:c>
      <x:c r="F111" s="1" t="str">
        <x:f>A111&amp;"|"&amp;B111</x:f>
        <x:v>43956|Тольятти</x:v>
      </x:c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1" customHeight="1">
      <x:c r="A112" s="5" t="n">
        <x:v>43957</x:v>
      </x:c>
      <x:c r="B112" s="1" t="str">
        <x:v>Волгоград</x:v>
      </x:c>
      <x:c r="C112" s="1" t="n">
        <x:v>36</x:v>
      </x:c>
      <x:c r="D112" s="1" t="n">
        <x:v>4384</x:v>
      </x:c>
      <x:c r="E112" s="1" t="n">
        <x:v>4025</x:v>
      </x:c>
      <x:c r="F112" s="1" t="str">
        <x:f>A112&amp;"|"&amp;B112</x:f>
        <x:v>43957|Волгоград</x:v>
      </x:c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1" customHeight="1">
      <x:c r="A113" s="5" t="n">
        <x:v>43957</x:v>
      </x:c>
      <x:c r="B113" s="1" t="str">
        <x:v>Екатеринбург</x:v>
      </x:c>
      <x:c r="C113" s="1" t="n">
        <x:v>31</x:v>
      </x:c>
      <x:c r="D113" s="1" t="n">
        <x:v>4709</x:v>
      </x:c>
      <x:c r="E113" s="1" t="n">
        <x:v>4348</x:v>
      </x:c>
      <x:c r="F113" s="1" t="str">
        <x:f>A113&amp;"|"&amp;B113</x:f>
        <x:v>43957|Екатеринбург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1" customHeight="1">
      <x:c r="A114" s="5" t="n">
        <x:v>43957</x:v>
      </x:c>
      <x:c r="B114" s="1" t="str">
        <x:v>Казань</x:v>
      </x:c>
      <x:c r="C114" s="1" t="n">
        <x:v>20</x:v>
      </x:c>
      <x:c r="D114" s="1" t="n">
        <x:v>1747</x:v>
      </x:c>
      <x:c r="E114" s="1" t="n">
        <x:v>1570</x:v>
      </x:c>
      <x:c r="F114" s="1" t="str">
        <x:f>A114&amp;"|"&amp;B114</x:f>
        <x:v>43957|Казань</x:v>
      </x:c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1" customHeight="1">
      <x:c r="A115" s="5" t="n">
        <x:v>43957</x:v>
      </x:c>
      <x:c r="B115" s="1" t="str">
        <x:v>Кемерово</x:v>
      </x:c>
      <x:c r="C115" s="1" t="n">
        <x:v>20</x:v>
      </x:c>
      <x:c r="D115" s="1" t="n">
        <x:v>1784</x:v>
      </x:c>
      <x:c r="E115" s="1" t="n">
        <x:v>1632</x:v>
      </x:c>
      <x:c r="F115" s="1" t="str">
        <x:f>A115&amp;"|"&amp;B115</x:f>
        <x:v>43957|Кемерово</x:v>
      </x:c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1" customHeight="1">
      <x:c r="A116" s="5" t="n">
        <x:v>43957</x:v>
      </x:c>
      <x:c r="B116" s="1" t="str">
        <x:v>Краснодар</x:v>
      </x:c>
      <x:c r="C116" s="1" t="n">
        <x:v>19</x:v>
      </x:c>
      <x:c r="D116" s="1" t="n">
        <x:v>1509</x:v>
      </x:c>
      <x:c r="E116" s="1" t="n">
        <x:v>1374</x:v>
      </x:c>
      <x:c r="F116" s="1" t="str">
        <x:f>A116&amp;"|"&amp;B116</x:f>
        <x:v>43957|Краснодар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1" customHeight="1">
      <x:c r="A117" s="5" t="n">
        <x:v>43957</x:v>
      </x:c>
      <x:c r="B117" s="1" t="str">
        <x:v>Москва Восток</x:v>
      </x:c>
      <x:c r="C117" s="1" t="n">
        <x:v>54</x:v>
      </x:c>
      <x:c r="D117" s="1" t="n">
        <x:v>13406</x:v>
      </x:c>
      <x:c r="E117" s="1" t="n">
        <x:v>12518</x:v>
      </x:c>
      <x:c r="F117" s="1" t="str">
        <x:f>A117&amp;"|"&amp;B117</x:f>
        <x:v>43957|Москва Восток</x:v>
      </x:c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1" customHeight="1">
      <x:c r="A118" s="5" t="n">
        <x:v>43957</x:v>
      </x:c>
      <x:c r="B118" s="1" t="str">
        <x:v>Москва Запад</x:v>
      </x:c>
      <x:c r="C118" s="1" t="n">
        <x:v>59</x:v>
      </x:c>
      <x:c r="D118" s="1" t="n">
        <x:v>14103</x:v>
      </x:c>
      <x:c r="E118" s="1" t="n">
        <x:v>13118</x:v>
      </x:c>
      <x:c r="F118" s="1" t="str">
        <x:f>A118&amp;"|"&amp;B118</x:f>
        <x:v>43957|Москва Запад</x:v>
      </x:c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1" customHeight="1">
      <x:c r="A119" s="5" t="n">
        <x:v>43957</x:v>
      </x:c>
      <x:c r="B119" s="1" t="str">
        <x:v>Нижний Новгород</x:v>
      </x:c>
      <x:c r="C119" s="1" t="n">
        <x:v>19</x:v>
      </x:c>
      <x:c r="D119" s="1" t="n">
        <x:v>1499</x:v>
      </x:c>
      <x:c r="E119" s="1" t="n">
        <x:v>1323</x:v>
      </x:c>
      <x:c r="F119" s="1" t="str">
        <x:f>A119&amp;"|"&amp;B119</x:f>
        <x:v>43957|Нижний Новгород</x:v>
      </x:c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1" customHeight="1">
      <x:c r="A120" s="5" t="n">
        <x:v>43957</x:v>
      </x:c>
      <x:c r="B120" s="1" t="str">
        <x:v>Новосибирск</x:v>
      </x:c>
      <x:c r="C120" s="1" t="n">
        <x:v>15</x:v>
      </x:c>
      <x:c r="D120" s="1" t="n">
        <x:v>701</x:v>
      </x:c>
      <x:c r="E120" s="1" t="n">
        <x:v>611</x:v>
      </x:c>
      <x:c r="F120" s="1" t="str">
        <x:f>A120&amp;"|"&amp;B120</x:f>
        <x:v>43957|Новосибирск</x:v>
      </x:c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1" customHeight="1">
      <x:c r="A121" s="5" t="n">
        <x:v>43957</x:v>
      </x:c>
      <x:c r="B121" s="1" t="str">
        <x:v>Пермь</x:v>
      </x:c>
      <x:c r="C121" s="1" t="n">
        <x:v>15</x:v>
      </x:c>
      <x:c r="D121" s="1" t="n">
        <x:v>839</x:v>
      </x:c>
      <x:c r="E121" s="1" t="n">
        <x:v>733</x:v>
      </x:c>
      <x:c r="F121" s="1" t="str">
        <x:f>A121&amp;"|"&amp;B121</x:f>
        <x:v>43957|Пермь</x:v>
      </x:c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1" customHeight="1">
      <x:c r="A122" s="5" t="n">
        <x:v>43957</x:v>
      </x:c>
      <x:c r="B122" s="1" t="str">
        <x:v>Ростов-на-Дону</x:v>
      </x:c>
      <x:c r="C122" s="1" t="n">
        <x:v>15</x:v>
      </x:c>
      <x:c r="D122" s="1" t="n">
        <x:v>467</x:v>
      </x:c>
      <x:c r="E122" s="1" t="n">
        <x:v>389</x:v>
      </x:c>
      <x:c r="F122" s="1" t="str">
        <x:f>A122&amp;"|"&amp;B122</x:f>
        <x:v>43957|Ростов-на-Дону</x:v>
      </x:c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1" customHeight="1">
      <x:c r="A123" s="5" t="n">
        <x:v>43957</x:v>
      </x:c>
      <x:c r="B123" s="1" t="str">
        <x:v>Санкт-Петербург Север</x:v>
      </x:c>
      <x:c r="C123" s="1" t="n">
        <x:v>125</x:v>
      </x:c>
      <x:c r="D123" s="1" t="n">
        <x:v>20218</x:v>
      </x:c>
      <x:c r="E123" s="1" t="n">
        <x:v>18647</x:v>
      </x:c>
      <x:c r="F123" s="1" t="str">
        <x:f>A123&amp;"|"&amp;B123</x:f>
        <x:v>43957|Санкт-Петербург Север</x:v>
      </x:c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1" customHeight="1">
      <x:c r="A124" s="5" t="n">
        <x:v>43957</x:v>
      </x:c>
      <x:c r="B124" s="1" t="str">
        <x:v>Санкт-Петербург Юг</x:v>
      </x:c>
      <x:c r="C124" s="1" t="n">
        <x:v>129</x:v>
      </x:c>
      <x:c r="D124" s="1" t="n">
        <x:v>16376</x:v>
      </x:c>
      <x:c r="E124" s="1" t="n">
        <x:v>15197</x:v>
      </x:c>
      <x:c r="F124" s="1" t="str">
        <x:f>A124&amp;"|"&amp;B124</x:f>
        <x:v>43957|Санкт-Петербург Юг</x:v>
      </x:c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1" customHeight="1">
      <x:c r="A125" s="5" t="n">
        <x:v>43957</x:v>
      </x:c>
      <x:c r="B125" s="1" t="str">
        <x:v>Тольятти</x:v>
      </x:c>
      <x:c r="C125" s="1" t="n">
        <x:v>10</x:v>
      </x:c>
      <x:c r="D125" s="1" t="n">
        <x:v>465</x:v>
      </x:c>
      <x:c r="E125" s="1" t="n">
        <x:v>390</x:v>
      </x:c>
      <x:c r="F125" s="1" t="str">
        <x:f>A125&amp;"|"&amp;B125</x:f>
        <x:v>43957|Тольятти</x:v>
      </x:c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1" customHeight="1">
      <x:c r="A126" s="5" t="n">
        <x:v>43958</x:v>
      </x:c>
      <x:c r="B126" s="1" t="str">
        <x:v>Волгоград</x:v>
      </x:c>
      <x:c r="C126" s="1" t="n">
        <x:v>36</x:v>
      </x:c>
      <x:c r="D126" s="1" t="n">
        <x:v>4826</x:v>
      </x:c>
      <x:c r="E126" s="1" t="n">
        <x:v>4426</x:v>
      </x:c>
      <x:c r="F126" s="1" t="str">
        <x:f>A126&amp;"|"&amp;B126</x:f>
        <x:v>43958|Волгоград</x:v>
      </x:c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1" customHeight="1">
      <x:c r="A127" s="5" t="n">
        <x:v>43958</x:v>
      </x:c>
      <x:c r="B127" s="1" t="str">
        <x:v>Екатеринбург</x:v>
      </x:c>
      <x:c r="C127" s="1" t="n">
        <x:v>31</x:v>
      </x:c>
      <x:c r="D127" s="1" t="n">
        <x:v>4903</x:v>
      </x:c>
      <x:c r="E127" s="1" t="n">
        <x:v>4527</x:v>
      </x:c>
      <x:c r="F127" s="1" t="str">
        <x:f>A127&amp;"|"&amp;B127</x:f>
        <x:v>43958|Екатеринбург</x:v>
      </x:c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1" customHeight="1">
      <x:c r="A128" s="5" t="n">
        <x:v>43958</x:v>
      </x:c>
      <x:c r="B128" s="1" t="str">
        <x:v>Казань</x:v>
      </x:c>
      <x:c r="C128" s="1" t="n">
        <x:v>21</x:v>
      </x:c>
      <x:c r="D128" s="1" t="n">
        <x:v>1879</x:v>
      </x:c>
      <x:c r="E128" s="1" t="n">
        <x:v>1695</x:v>
      </x:c>
      <x:c r="F128" s="1" t="str">
        <x:f>A128&amp;"|"&amp;B128</x:f>
        <x:v>43958|Казань</x:v>
      </x:c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1" customHeight="1">
      <x:c r="A129" s="5" t="n">
        <x:v>43958</x:v>
      </x:c>
      <x:c r="B129" s="1" t="str">
        <x:v>Кемерово</x:v>
      </x:c>
      <x:c r="C129" s="1" t="n">
        <x:v>21</x:v>
      </x:c>
      <x:c r="D129" s="1" t="n">
        <x:v>1542</x:v>
      </x:c>
      <x:c r="E129" s="1" t="n">
        <x:v>1405</x:v>
      </x:c>
      <x:c r="F129" s="1" t="str">
        <x:f>A129&amp;"|"&amp;B129</x:f>
        <x:v>43958|Кемерово</x:v>
      </x:c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1" customHeight="1">
      <x:c r="A130" s="5" t="n">
        <x:v>43958</x:v>
      </x:c>
      <x:c r="B130" s="1" t="str">
        <x:v>Краснодар</x:v>
      </x:c>
      <x:c r="C130" s="1" t="n">
        <x:v>19</x:v>
      </x:c>
      <x:c r="D130" s="1" t="n">
        <x:v>1580</x:v>
      </x:c>
      <x:c r="E130" s="1" t="n">
        <x:v>1435</x:v>
      </x:c>
      <x:c r="F130" s="1" t="str">
        <x:f>A130&amp;"|"&amp;B130</x:f>
        <x:v>43958|Краснодар</x:v>
      </x:c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1" customHeight="1">
      <x:c r="A131" s="5" t="n">
        <x:v>43958</x:v>
      </x:c>
      <x:c r="B131" s="1" t="str">
        <x:v>Москва Восток</x:v>
      </x:c>
      <x:c r="C131" s="1" t="n">
        <x:v>54</x:v>
      </x:c>
      <x:c r="D131" s="1" t="n">
        <x:v>12743</x:v>
      </x:c>
      <x:c r="E131" s="1" t="n">
        <x:v>11858</x:v>
      </x:c>
      <x:c r="F131" s="1" t="str">
        <x:f>A131&amp;"|"&amp;B131</x:f>
        <x:v>43958|Москва Восток</x:v>
      </x:c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1" customHeight="1">
      <x:c r="A132" s="5" t="n">
        <x:v>43958</x:v>
      </x:c>
      <x:c r="B132" s="1" t="str">
        <x:v>Москва Запад</x:v>
      </x:c>
      <x:c r="C132" s="1" t="n">
        <x:v>59</x:v>
      </x:c>
      <x:c r="D132" s="1" t="n">
        <x:v>13495</x:v>
      </x:c>
      <x:c r="E132" s="1" t="n">
        <x:v>12517</x:v>
      </x:c>
      <x:c r="F132" s="1" t="str">
        <x:f>A132&amp;"|"&amp;B132</x:f>
        <x:v>43958|Москва Запад</x:v>
      </x:c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1" customHeight="1">
      <x:c r="A133" s="5" t="n">
        <x:v>43958</x:v>
      </x:c>
      <x:c r="B133" s="1" t="str">
        <x:v>Нижний Новгород</x:v>
      </x:c>
      <x:c r="C133" s="1" t="n">
        <x:v>19</x:v>
      </x:c>
      <x:c r="D133" s="1" t="n">
        <x:v>1530</x:v>
      </x:c>
      <x:c r="E133" s="1" t="n">
        <x:v>1338</x:v>
      </x:c>
      <x:c r="F133" s="1" t="str">
        <x:f>A133&amp;"|"&amp;B133</x:f>
        <x:v>43958|Нижний Новгород</x:v>
      </x:c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1" customHeight="1">
      <x:c r="A134" s="5" t="n">
        <x:v>43958</x:v>
      </x:c>
      <x:c r="B134" s="1" t="str">
        <x:v>Новосибирск</x:v>
      </x:c>
      <x:c r="C134" s="1" t="n">
        <x:v>15</x:v>
      </x:c>
      <x:c r="D134" s="1" t="n">
        <x:v>676</x:v>
      </x:c>
      <x:c r="E134" s="1" t="n">
        <x:v>591</x:v>
      </x:c>
      <x:c r="F134" s="1" t="str">
        <x:f>A134&amp;"|"&amp;B134</x:f>
        <x:v>43958|Новосибирск</x:v>
      </x:c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1" customHeight="1">
      <x:c r="A135" s="5" t="n">
        <x:v>43958</x:v>
      </x:c>
      <x:c r="B135" s="1" t="str">
        <x:v>Пермь</x:v>
      </x:c>
      <x:c r="C135" s="1" t="n">
        <x:v>15</x:v>
      </x:c>
      <x:c r="D135" s="1" t="n">
        <x:v>805</x:v>
      </x:c>
      <x:c r="E135" s="1" t="n">
        <x:v>703</x:v>
      </x:c>
      <x:c r="F135" s="1" t="str">
        <x:f>A135&amp;"|"&amp;B135</x:f>
        <x:v>43958|Пермь</x:v>
      </x:c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1" customHeight="1">
      <x:c r="A136" s="5" t="n">
        <x:v>43958</x:v>
      </x:c>
      <x:c r="B136" s="1" t="str">
        <x:v>Ростов-на-Дону</x:v>
      </x:c>
      <x:c r="C136" s="1" t="n">
        <x:v>15</x:v>
      </x:c>
      <x:c r="D136" s="1" t="n">
        <x:v>480</x:v>
      </x:c>
      <x:c r="E136" s="1" t="n">
        <x:v>398</x:v>
      </x:c>
      <x:c r="F136" s="1" t="str">
        <x:f>A136&amp;"|"&amp;B136</x:f>
        <x:v>43958|Ростов-на-Дону</x:v>
      </x:c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1" customHeight="1">
      <x:c r="A137" s="5" t="n">
        <x:v>43958</x:v>
      </x:c>
      <x:c r="B137" s="1" t="str">
        <x:v>Санкт-Петербург Север</x:v>
      </x:c>
      <x:c r="C137" s="1" t="n">
        <x:v>125</x:v>
      </x:c>
      <x:c r="D137" s="1" t="n">
        <x:v>18014</x:v>
      </x:c>
      <x:c r="E137" s="1" t="n">
        <x:v>16675</x:v>
      </x:c>
      <x:c r="F137" s="1" t="str">
        <x:f>A137&amp;"|"&amp;B137</x:f>
        <x:v>43958|Санкт-Петербург Север</x:v>
      </x:c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1" customHeight="1">
      <x:c r="A138" s="5" t="n">
        <x:v>43958</x:v>
      </x:c>
      <x:c r="B138" s="1" t="str">
        <x:v>Санкт-Петербург Юг</x:v>
      </x:c>
      <x:c r="C138" s="1" t="n">
        <x:v>129</x:v>
      </x:c>
      <x:c r="D138" s="1" t="n">
        <x:v>14582</x:v>
      </x:c>
      <x:c r="E138" s="1" t="n">
        <x:v>13512</x:v>
      </x:c>
      <x:c r="F138" s="1" t="str">
        <x:f>A138&amp;"|"&amp;B138</x:f>
        <x:v>43958|Санкт-Петербург Юг</x:v>
      </x:c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1" customHeight="1">
      <x:c r="A139" s="5" t="n">
        <x:v>43958</x:v>
      </x:c>
      <x:c r="B139" s="1" t="str">
        <x:v>Тольятти</x:v>
      </x:c>
      <x:c r="C139" s="1" t="n">
        <x:v>10</x:v>
      </x:c>
      <x:c r="D139" s="1" t="n">
        <x:v>563</x:v>
      </x:c>
      <x:c r="E139" s="1" t="n">
        <x:v>486</x:v>
      </x:c>
      <x:c r="F139" s="1" t="str">
        <x:f>A139&amp;"|"&amp;B139</x:f>
        <x:v>43958|Тольятти</x:v>
      </x:c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1" customHeight="1">
      <x:c r="A140" s="5" t="n">
        <x:v>43959</x:v>
      </x:c>
      <x:c r="B140" s="1" t="str">
        <x:v>Волгоград</x:v>
      </x:c>
      <x:c r="C140" s="1" t="n">
        <x:v>36</x:v>
      </x:c>
      <x:c r="D140" s="1" t="n">
        <x:v>4199</x:v>
      </x:c>
      <x:c r="E140" s="1" t="n">
        <x:v>3867</x:v>
      </x:c>
      <x:c r="F140" s="1" t="str">
        <x:f>A140&amp;"|"&amp;B140</x:f>
        <x:v>43959|Волгоград</x:v>
      </x:c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1" customHeight="1">
      <x:c r="A141" s="5" t="n">
        <x:v>43959</x:v>
      </x:c>
      <x:c r="B141" s="1" t="str">
        <x:v>Екатеринбург</x:v>
      </x:c>
      <x:c r="C141" s="1" t="n">
        <x:v>31</x:v>
      </x:c>
      <x:c r="D141" s="1" t="n">
        <x:v>4635</x:v>
      </x:c>
      <x:c r="E141" s="1" t="n">
        <x:v>4266</x:v>
      </x:c>
      <x:c r="F141" s="1" t="str">
        <x:f>A141&amp;"|"&amp;B141</x:f>
        <x:v>43959|Екатеринбург</x:v>
      </x:c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1" customHeight="1">
      <x:c r="A142" s="5" t="n">
        <x:v>43959</x:v>
      </x:c>
      <x:c r="B142" s="1" t="str">
        <x:v>Казань</x:v>
      </x:c>
      <x:c r="C142" s="1" t="n">
        <x:v>21</x:v>
      </x:c>
      <x:c r="D142" s="1" t="n">
        <x:v>1957</x:v>
      </x:c>
      <x:c r="E142" s="1" t="n">
        <x:v>1755</x:v>
      </x:c>
      <x:c r="F142" s="1" t="str">
        <x:f>A142&amp;"|"&amp;B142</x:f>
        <x:v>43959|Казань</x:v>
      </x:c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1" customHeight="1">
      <x:c r="A143" s="5" t="n">
        <x:v>43959</x:v>
      </x:c>
      <x:c r="B143" s="1" t="str">
        <x:v>Кемерово</x:v>
      </x:c>
      <x:c r="C143" s="1" t="n">
        <x:v>21</x:v>
      </x:c>
      <x:c r="D143" s="1" t="n">
        <x:v>1646</x:v>
      </x:c>
      <x:c r="E143" s="1" t="n">
        <x:v>1492</x:v>
      </x:c>
      <x:c r="F143" s="1" t="str">
        <x:f>A143&amp;"|"&amp;B143</x:f>
        <x:v>43959|Кемерово</x:v>
      </x:c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1" customHeight="1">
      <x:c r="A144" s="5" t="n">
        <x:v>43959</x:v>
      </x:c>
      <x:c r="B144" s="1" t="str">
        <x:v>Краснодар</x:v>
      </x:c>
      <x:c r="C144" s="1" t="n">
        <x:v>19</x:v>
      </x:c>
      <x:c r="D144" s="1" t="n">
        <x:v>1520</x:v>
      </x:c>
      <x:c r="E144" s="1" t="n">
        <x:v>1380</x:v>
      </x:c>
      <x:c r="F144" s="1" t="str">
        <x:f>A144&amp;"|"&amp;B144</x:f>
        <x:v>43959|Краснодар</x:v>
      </x:c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1" customHeight="1">
      <x:c r="A145" s="5" t="n">
        <x:v>43959</x:v>
      </x:c>
      <x:c r="B145" s="1" t="str">
        <x:v>Москва Восток</x:v>
      </x:c>
      <x:c r="C145" s="1" t="n">
        <x:v>54</x:v>
      </x:c>
      <x:c r="D145" s="1" t="n">
        <x:v>13563</x:v>
      </x:c>
      <x:c r="E145" s="1" t="n">
        <x:v>12604</x:v>
      </x:c>
      <x:c r="F145" s="1" t="str">
        <x:f>A145&amp;"|"&amp;B145</x:f>
        <x:v>43959|Москва Восток</x:v>
      </x:c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1" customHeight="1">
      <x:c r="A146" s="5" t="n">
        <x:v>43959</x:v>
      </x:c>
      <x:c r="B146" s="1" t="str">
        <x:v>Москва Запад</x:v>
      </x:c>
      <x:c r="C146" s="1" t="n">
        <x:v>59</x:v>
      </x:c>
      <x:c r="D146" s="1" t="n">
        <x:v>14098</x:v>
      </x:c>
      <x:c r="E146" s="1" t="n">
        <x:v>13106</x:v>
      </x:c>
      <x:c r="F146" s="1" t="str">
        <x:f>A146&amp;"|"&amp;B146</x:f>
        <x:v>43959|Москва Запад</x:v>
      </x:c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1" customHeight="1">
      <x:c r="A147" s="5" t="n">
        <x:v>43959</x:v>
      </x:c>
      <x:c r="B147" s="1" t="str">
        <x:v>Нижний Новгород</x:v>
      </x:c>
      <x:c r="C147" s="1" t="n">
        <x:v>19</x:v>
      </x:c>
      <x:c r="D147" s="1" t="n">
        <x:v>1522</x:v>
      </x:c>
      <x:c r="E147" s="1" t="n">
        <x:v>1340</x:v>
      </x:c>
      <x:c r="F147" s="1" t="str">
        <x:f>A147&amp;"|"&amp;B147</x:f>
        <x:v>43959|Нижний Новгород</x:v>
      </x:c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1" customHeight="1">
      <x:c r="A148" s="5" t="n">
        <x:v>43959</x:v>
      </x:c>
      <x:c r="B148" s="1" t="str">
        <x:v>Новосибирск</x:v>
      </x:c>
      <x:c r="C148" s="1" t="n">
        <x:v>15</x:v>
      </x:c>
      <x:c r="D148" s="1" t="n">
        <x:v>703</x:v>
      </x:c>
      <x:c r="E148" s="1" t="n">
        <x:v>609</x:v>
      </x:c>
      <x:c r="F148" s="1" t="str">
        <x:f>A148&amp;"|"&amp;B148</x:f>
        <x:v>43959|Новосибирск</x:v>
      </x:c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1" customHeight="1">
      <x:c r="A149" s="5" t="n">
        <x:v>43959</x:v>
      </x:c>
      <x:c r="B149" s="1" t="str">
        <x:v>Пермь</x:v>
      </x:c>
      <x:c r="C149" s="1" t="n">
        <x:v>15</x:v>
      </x:c>
      <x:c r="D149" s="1" t="n">
        <x:v>879</x:v>
      </x:c>
      <x:c r="E149" s="1" t="n">
        <x:v>768</x:v>
      </x:c>
      <x:c r="F149" s="1" t="str">
        <x:f>A149&amp;"|"&amp;B149</x:f>
        <x:v>43959|Пермь</x:v>
      </x:c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1" customHeight="1">
      <x:c r="A150" s="5" t="n">
        <x:v>43959</x:v>
      </x:c>
      <x:c r="B150" s="1" t="str">
        <x:v>Ростов-на-Дону</x:v>
      </x:c>
      <x:c r="C150" s="1" t="n">
        <x:v>15</x:v>
      </x:c>
      <x:c r="D150" s="1" t="n">
        <x:v>492</x:v>
      </x:c>
      <x:c r="E150" s="1" t="n">
        <x:v>412</x:v>
      </x:c>
      <x:c r="F150" s="1" t="str">
        <x:f>A150&amp;"|"&amp;B150</x:f>
        <x:v>43959|Ростов-на-Дону</x:v>
      </x:c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1" customHeight="1">
      <x:c r="A151" s="5" t="n">
        <x:v>43959</x:v>
      </x:c>
      <x:c r="B151" s="1" t="str">
        <x:v>Санкт-Петербург Север</x:v>
      </x:c>
      <x:c r="C151" s="1" t="n">
        <x:v>125</x:v>
      </x:c>
      <x:c r="D151" s="1" t="n">
        <x:v>24620</x:v>
      </x:c>
      <x:c r="E151" s="1" t="n">
        <x:v>22641</x:v>
      </x:c>
      <x:c r="F151" s="1" t="str">
        <x:f>A151&amp;"|"&amp;B151</x:f>
        <x:v>43959|Санкт-Петербург Север</x:v>
      </x:c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1" customHeight="1">
      <x:c r="A152" s="5" t="n">
        <x:v>43959</x:v>
      </x:c>
      <x:c r="B152" s="1" t="str">
        <x:v>Санкт-Петербург Юг</x:v>
      </x:c>
      <x:c r="C152" s="1" t="n">
        <x:v>129</x:v>
      </x:c>
      <x:c r="D152" s="1" t="n">
        <x:v>20452</x:v>
      </x:c>
      <x:c r="E152" s="1" t="n">
        <x:v>18857</x:v>
      </x:c>
      <x:c r="F152" s="1" t="str">
        <x:f>A152&amp;"|"&amp;B152</x:f>
        <x:v>43959|Санкт-Петербург Юг</x:v>
      </x:c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1" customHeight="1">
      <x:c r="A153" s="5" t="n">
        <x:v>43959</x:v>
      </x:c>
      <x:c r="B153" s="1" t="str">
        <x:v>Тольятти</x:v>
      </x:c>
      <x:c r="C153" s="1" t="n">
        <x:v>10</x:v>
      </x:c>
      <x:c r="D153" s="1" t="n">
        <x:v>638</x:v>
      </x:c>
      <x:c r="E153" s="1" t="n">
        <x:v>547</x:v>
      </x:c>
      <x:c r="F153" s="1" t="str">
        <x:f>A153&amp;"|"&amp;B153</x:f>
        <x:v>43959|Тольятти</x:v>
      </x:c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1" customHeight="1">
      <x:c r="A154" s="5" t="n">
        <x:v>43960</x:v>
      </x:c>
      <x:c r="B154" s="1" t="str">
        <x:v>Волгоград</x:v>
      </x:c>
      <x:c r="C154" s="1" t="n">
        <x:v>36</x:v>
      </x:c>
      <x:c r="D154" s="1" t="n">
        <x:v>5413</x:v>
      </x:c>
      <x:c r="E154" s="1" t="n">
        <x:v>4959</x:v>
      </x:c>
      <x:c r="F154" s="1" t="str">
        <x:f>A154&amp;"|"&amp;B154</x:f>
        <x:v>43960|Волгоград</x:v>
      </x:c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1" customHeight="1">
      <x:c r="A155" s="5" t="n">
        <x:v>43960</x:v>
      </x:c>
      <x:c r="B155" s="1" t="str">
        <x:v>Екатеринбург</x:v>
      </x:c>
      <x:c r="C155" s="1" t="n">
        <x:v>31</x:v>
      </x:c>
      <x:c r="D155" s="1" t="n">
        <x:v>4556</x:v>
      </x:c>
      <x:c r="E155" s="1" t="n">
        <x:v>4220</x:v>
      </x:c>
      <x:c r="F155" s="1" t="str">
        <x:f>A155&amp;"|"&amp;B155</x:f>
        <x:v>43960|Екатеринбург</x:v>
      </x:c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1" customHeight="1">
      <x:c r="A156" s="5" t="n">
        <x:v>43960</x:v>
      </x:c>
      <x:c r="B156" s="1" t="str">
        <x:v>Казань</x:v>
      </x:c>
      <x:c r="C156" s="1" t="n">
        <x:v>21</x:v>
      </x:c>
      <x:c r="D156" s="1" t="n">
        <x:v>1891</x:v>
      </x:c>
      <x:c r="E156" s="1" t="n">
        <x:v>1709</x:v>
      </x:c>
      <x:c r="F156" s="1" t="str">
        <x:f>A156&amp;"|"&amp;B156</x:f>
        <x:v>43960|Казань</x:v>
      </x:c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1" customHeight="1">
      <x:c r="A157" s="5" t="n">
        <x:v>43960</x:v>
      </x:c>
      <x:c r="B157" s="1" t="str">
        <x:v>Кемерово</x:v>
      </x:c>
      <x:c r="C157" s="1" t="n">
        <x:v>21</x:v>
      </x:c>
      <x:c r="D157" s="1" t="n">
        <x:v>1735</x:v>
      </x:c>
      <x:c r="E157" s="1" t="n">
        <x:v>1568</x:v>
      </x:c>
      <x:c r="F157" s="1" t="str">
        <x:f>A157&amp;"|"&amp;B157</x:f>
        <x:v>43960|Кемерово</x:v>
      </x:c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1" customHeight="1">
      <x:c r="A158" s="5" t="n">
        <x:v>43960</x:v>
      </x:c>
      <x:c r="B158" s="1" t="str">
        <x:v>Краснодар</x:v>
      </x:c>
      <x:c r="C158" s="1" t="n">
        <x:v>19</x:v>
      </x:c>
      <x:c r="D158" s="1" t="n">
        <x:v>1542</x:v>
      </x:c>
      <x:c r="E158" s="1" t="n">
        <x:v>1412</x:v>
      </x:c>
      <x:c r="F158" s="1" t="str">
        <x:f>A158&amp;"|"&amp;B158</x:f>
        <x:v>43960|Краснодар</x:v>
      </x:c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1" customHeight="1">
      <x:c r="A159" s="5" t="n">
        <x:v>43960</x:v>
      </x:c>
      <x:c r="B159" s="1" t="str">
        <x:v>Москва Восток</x:v>
      </x:c>
      <x:c r="C159" s="1" t="n">
        <x:v>54</x:v>
      </x:c>
      <x:c r="D159" s="1" t="n">
        <x:v>11288</x:v>
      </x:c>
      <x:c r="E159" s="1" t="n">
        <x:v>10492</x:v>
      </x:c>
      <x:c r="F159" s="1" t="str">
        <x:f>A159&amp;"|"&amp;B159</x:f>
        <x:v>43960|Москва Восток</x:v>
      </x:c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1" customHeight="1">
      <x:c r="A160" s="5" t="n">
        <x:v>43960</x:v>
      </x:c>
      <x:c r="B160" s="1" t="str">
        <x:v>Москва Запад</x:v>
      </x:c>
      <x:c r="C160" s="1" t="n">
        <x:v>59</x:v>
      </x:c>
      <x:c r="D160" s="1" t="n">
        <x:v>12016</x:v>
      </x:c>
      <x:c r="E160" s="1" t="n">
        <x:v>11137</x:v>
      </x:c>
      <x:c r="F160" s="1" t="str">
        <x:f>A160&amp;"|"&amp;B160</x:f>
        <x:v>43960|Москва Запад</x:v>
      </x:c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1" customHeight="1">
      <x:c r="A161" s="5" t="n">
        <x:v>43960</x:v>
      </x:c>
      <x:c r="B161" s="1" t="str">
        <x:v>Нижний Новгород</x:v>
      </x:c>
      <x:c r="C161" s="1" t="n">
        <x:v>19</x:v>
      </x:c>
      <x:c r="D161" s="1" t="n">
        <x:v>1851</x:v>
      </x:c>
      <x:c r="E161" s="1" t="n">
        <x:v>1635</x:v>
      </x:c>
      <x:c r="F161" s="1" t="str">
        <x:f>A161&amp;"|"&amp;B161</x:f>
        <x:v>43960|Нижний Новгород</x:v>
      </x:c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1" customHeight="1">
      <x:c r="A162" s="5" t="n">
        <x:v>43960</x:v>
      </x:c>
      <x:c r="B162" s="1" t="str">
        <x:v>Новосибирск</x:v>
      </x:c>
      <x:c r="C162" s="1" t="n">
        <x:v>15</x:v>
      </x:c>
      <x:c r="D162" s="1" t="n">
        <x:v>654</x:v>
      </x:c>
      <x:c r="E162" s="1" t="n">
        <x:v>570</x:v>
      </x:c>
      <x:c r="F162" s="1" t="str">
        <x:f>A162&amp;"|"&amp;B162</x:f>
        <x:v>43960|Новосибирск</x:v>
      </x:c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1" customHeight="1">
      <x:c r="A163" s="5" t="n">
        <x:v>43960</x:v>
      </x:c>
      <x:c r="B163" s="1" t="str">
        <x:v>Пермь</x:v>
      </x:c>
      <x:c r="C163" s="1" t="n">
        <x:v>15</x:v>
      </x:c>
      <x:c r="D163" s="1" t="n">
        <x:v>849</x:v>
      </x:c>
      <x:c r="E163" s="1" t="n">
        <x:v>740</x:v>
      </x:c>
      <x:c r="F163" s="1" t="str">
        <x:f>A163&amp;"|"&amp;B163</x:f>
        <x:v>43960|Пермь</x:v>
      </x:c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1" customHeight="1">
      <x:c r="A164" s="5" t="n">
        <x:v>43960</x:v>
      </x:c>
      <x:c r="B164" s="1" t="str">
        <x:v>Ростов-на-Дону</x:v>
      </x:c>
      <x:c r="C164" s="1" t="n">
        <x:v>15</x:v>
      </x:c>
      <x:c r="D164" s="1" t="n">
        <x:v>623</x:v>
      </x:c>
      <x:c r="E164" s="1" t="n">
        <x:v>535</x:v>
      </x:c>
      <x:c r="F164" s="1" t="str">
        <x:f>A164&amp;"|"&amp;B164</x:f>
        <x:v>43960|Ростов-на-Дону</x:v>
      </x:c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1" customHeight="1">
      <x:c r="A165" s="5" t="n">
        <x:v>43960</x:v>
      </x:c>
      <x:c r="B165" s="1" t="str">
        <x:v>Санкт-Петербург Север</x:v>
      </x:c>
      <x:c r="C165" s="1" t="n">
        <x:v>125</x:v>
      </x:c>
      <x:c r="D165" s="1" t="n">
        <x:v>20132</x:v>
      </x:c>
      <x:c r="E165" s="1" t="n">
        <x:v>18617</x:v>
      </x:c>
      <x:c r="F165" s="1" t="str">
        <x:f>A165&amp;"|"&amp;B165</x:f>
        <x:v>43960|Санкт-Петербург Север</x:v>
      </x:c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1" customHeight="1">
      <x:c r="A166" s="5" t="n">
        <x:v>43960</x:v>
      </x:c>
      <x:c r="B166" s="1" t="str">
        <x:v>Санкт-Петербург Юг</x:v>
      </x:c>
      <x:c r="C166" s="1" t="n">
        <x:v>129</x:v>
      </x:c>
      <x:c r="D166" s="1" t="n">
        <x:v>16420</x:v>
      </x:c>
      <x:c r="E166" s="1" t="n">
        <x:v>15169</x:v>
      </x:c>
      <x:c r="F166" s="1" t="str">
        <x:f>A166&amp;"|"&amp;B166</x:f>
        <x:v>43960|Санкт-Петербург Юг</x:v>
      </x:c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1" customHeight="1">
      <x:c r="A167" s="5" t="n">
        <x:v>43960</x:v>
      </x:c>
      <x:c r="B167" s="1" t="str">
        <x:v>Тольятти</x:v>
      </x:c>
      <x:c r="C167" s="1" t="n">
        <x:v>10</x:v>
      </x:c>
      <x:c r="D167" s="1" t="n">
        <x:v>644</x:v>
      </x:c>
      <x:c r="E167" s="1" t="n">
        <x:v>559</x:v>
      </x:c>
      <x:c r="F167" s="1" t="str">
        <x:f>A167&amp;"|"&amp;B167</x:f>
        <x:v>43960|Тольятти</x:v>
      </x:c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1" customHeight="1">
      <x:c r="A168" s="5" t="n">
        <x:v>43961</x:v>
      </x:c>
      <x:c r="B168" s="1" t="str">
        <x:v>Волгоград</x:v>
      </x:c>
      <x:c r="C168" s="1" t="n">
        <x:v>36</x:v>
      </x:c>
      <x:c r="D168" s="1" t="n">
        <x:v>5746</x:v>
      </x:c>
      <x:c r="E168" s="1" t="n">
        <x:v>5277</x:v>
      </x:c>
      <x:c r="F168" s="1" t="str">
        <x:f>A168&amp;"|"&amp;B168</x:f>
        <x:v>43961|Волгоград</x:v>
      </x:c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1" customHeight="1">
      <x:c r="A169" s="5" t="n">
        <x:v>43961</x:v>
      </x:c>
      <x:c r="B169" s="1" t="str">
        <x:v>Екатеринбург</x:v>
      </x:c>
      <x:c r="C169" s="1" t="n">
        <x:v>31</x:v>
      </x:c>
      <x:c r="D169" s="1" t="n">
        <x:v>5495</x:v>
      </x:c>
      <x:c r="E169" s="1" t="n">
        <x:v>5093</x:v>
      </x:c>
      <x:c r="F169" s="1" t="str">
        <x:f>A169&amp;"|"&amp;B169</x:f>
        <x:v>43961|Екатеринбург</x:v>
      </x:c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1" customHeight="1">
      <x:c r="A170" s="5" t="n">
        <x:v>43961</x:v>
      </x:c>
      <x:c r="B170" s="1" t="str">
        <x:v>Казань</x:v>
      </x:c>
      <x:c r="C170" s="1" t="n">
        <x:v>21</x:v>
      </x:c>
      <x:c r="D170" s="1" t="n">
        <x:v>2120</x:v>
      </x:c>
      <x:c r="E170" s="1" t="n">
        <x:v>1921</x:v>
      </x:c>
      <x:c r="F170" s="1" t="str">
        <x:f>A170&amp;"|"&amp;B170</x:f>
        <x:v>43961|Казань</x:v>
      </x:c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1" customHeight="1">
      <x:c r="A171" s="5" t="n">
        <x:v>43961</x:v>
      </x:c>
      <x:c r="B171" s="1" t="str">
        <x:v>Кемерово</x:v>
      </x:c>
      <x:c r="C171" s="1" t="n">
        <x:v>21</x:v>
      </x:c>
      <x:c r="D171" s="1" t="n">
        <x:v>2016</x:v>
      </x:c>
      <x:c r="E171" s="1" t="n">
        <x:v>1846</x:v>
      </x:c>
      <x:c r="F171" s="1" t="str">
        <x:f>A171&amp;"|"&amp;B171</x:f>
        <x:v>43961|Кемерово</x:v>
      </x:c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1" customHeight="1">
      <x:c r="A172" s="5" t="n">
        <x:v>43961</x:v>
      </x:c>
      <x:c r="B172" s="1" t="str">
        <x:v>Краснодар</x:v>
      </x:c>
      <x:c r="C172" s="1" t="n">
        <x:v>19</x:v>
      </x:c>
      <x:c r="D172" s="1" t="n">
        <x:v>1836</x:v>
      </x:c>
      <x:c r="E172" s="1" t="n">
        <x:v>1680</x:v>
      </x:c>
      <x:c r="F172" s="1" t="str">
        <x:f>A172&amp;"|"&amp;B172</x:f>
        <x:v>43961|Краснодар</x:v>
      </x:c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1" customHeight="1">
      <x:c r="A173" s="5" t="n">
        <x:v>43961</x:v>
      </x:c>
      <x:c r="B173" s="1" t="str">
        <x:v>Москва Восток</x:v>
      </x:c>
      <x:c r="C173" s="1" t="n">
        <x:v>54</x:v>
      </x:c>
      <x:c r="D173" s="1" t="n">
        <x:v>13832</x:v>
      </x:c>
      <x:c r="E173" s="1" t="n">
        <x:v>12864</x:v>
      </x:c>
      <x:c r="F173" s="1" t="str">
        <x:f>A173&amp;"|"&amp;B173</x:f>
        <x:v>43961|Москва Восток</x:v>
      </x:c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1" customHeight="1">
      <x:c r="A174" s="5" t="n">
        <x:v>43961</x:v>
      </x:c>
      <x:c r="B174" s="1" t="str">
        <x:v>Москва Запад</x:v>
      </x:c>
      <x:c r="C174" s="1" t="n">
        <x:v>59</x:v>
      </x:c>
      <x:c r="D174" s="1" t="n">
        <x:v>14569</x:v>
      </x:c>
      <x:c r="E174" s="1" t="n">
        <x:v>13566</x:v>
      </x:c>
      <x:c r="F174" s="1" t="str">
        <x:f>A174&amp;"|"&amp;B174</x:f>
        <x:v>43961|Москва Запад</x:v>
      </x:c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1" customHeight="1">
      <x:c r="A175" s="5" t="n">
        <x:v>43961</x:v>
      </x:c>
      <x:c r="B175" s="1" t="str">
        <x:v>Нижний Новгород</x:v>
      </x:c>
      <x:c r="C175" s="1" t="n">
        <x:v>19</x:v>
      </x:c>
      <x:c r="D175" s="1" t="n">
        <x:v>1848</x:v>
      </x:c>
      <x:c r="E175" s="1" t="n">
        <x:v>1649</x:v>
      </x:c>
      <x:c r="F175" s="1" t="str">
        <x:f>A175&amp;"|"&amp;B175</x:f>
        <x:v>43961|Нижний Новгород</x:v>
      </x:c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1" customHeight="1">
      <x:c r="A176" s="5" t="n">
        <x:v>43961</x:v>
      </x:c>
      <x:c r="B176" s="1" t="str">
        <x:v>Новосибирск</x:v>
      </x:c>
      <x:c r="C176" s="1" t="n">
        <x:v>15</x:v>
      </x:c>
      <x:c r="D176" s="1" t="n">
        <x:v>792</x:v>
      </x:c>
      <x:c r="E176" s="1" t="n">
        <x:v>695</x:v>
      </x:c>
      <x:c r="F176" s="1" t="str">
        <x:f>A176&amp;"|"&amp;B176</x:f>
        <x:v>43961|Новосибирск</x:v>
      </x:c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1" customHeight="1">
      <x:c r="A177" s="5" t="n">
        <x:v>43961</x:v>
      </x:c>
      <x:c r="B177" s="1" t="str">
        <x:v>Пермь</x:v>
      </x:c>
      <x:c r="C177" s="1" t="n">
        <x:v>15</x:v>
      </x:c>
      <x:c r="D177" s="1" t="n">
        <x:v>950</x:v>
      </x:c>
      <x:c r="E177" s="1" t="n">
        <x:v>848</x:v>
      </x:c>
      <x:c r="F177" s="1" t="str">
        <x:f>A177&amp;"|"&amp;B177</x:f>
        <x:v>43961|Пермь</x:v>
      </x:c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1" customHeight="1">
      <x:c r="A178" s="5" t="n">
        <x:v>43961</x:v>
      </x:c>
      <x:c r="B178" s="1" t="str">
        <x:v>Ростов-на-Дону</x:v>
      </x:c>
      <x:c r="C178" s="1" t="n">
        <x:v>15</x:v>
      </x:c>
      <x:c r="D178" s="1" t="n">
        <x:v>706</x:v>
      </x:c>
      <x:c r="E178" s="1" t="n">
        <x:v>608</x:v>
      </x:c>
      <x:c r="F178" s="1" t="str">
        <x:f>A178&amp;"|"&amp;B178</x:f>
        <x:v>43961|Ростов-на-Дону</x:v>
      </x:c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1" customHeight="1">
      <x:c r="A179" s="5" t="n">
        <x:v>43961</x:v>
      </x:c>
      <x:c r="B179" s="1" t="str">
        <x:v>Санкт-Петербург Север</x:v>
      </x:c>
      <x:c r="C179" s="1" t="n">
        <x:v>125</x:v>
      </x:c>
      <x:c r="D179" s="1" t="n">
        <x:v>20368</x:v>
      </x:c>
      <x:c r="E179" s="1" t="n">
        <x:v>18884</x:v>
      </x:c>
      <x:c r="F179" s="1" t="str">
        <x:f>A179&amp;"|"&amp;B179</x:f>
        <x:v>43961|Санкт-Петербург Север</x:v>
      </x:c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1" customHeight="1">
      <x:c r="A180" s="5" t="n">
        <x:v>43961</x:v>
      </x:c>
      <x:c r="B180" s="1" t="str">
        <x:v>Санкт-Петербург Юг</x:v>
      </x:c>
      <x:c r="C180" s="1" t="n">
        <x:v>129</x:v>
      </x:c>
      <x:c r="D180" s="1" t="n">
        <x:v>16437</x:v>
      </x:c>
      <x:c r="E180" s="1" t="n">
        <x:v>15285</x:v>
      </x:c>
      <x:c r="F180" s="1" t="str">
        <x:f>A180&amp;"|"&amp;B180</x:f>
        <x:v>43961|Санкт-Петербург Юг</x:v>
      </x:c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1" customHeight="1">
      <x:c r="A181" s="5" t="n">
        <x:v>43961</x:v>
      </x:c>
      <x:c r="B181" s="1" t="str">
        <x:v>Тольятти</x:v>
      </x:c>
      <x:c r="C181" s="1" t="n">
        <x:v>10</x:v>
      </x:c>
      <x:c r="D181" s="1" t="n">
        <x:v>642</x:v>
      </x:c>
      <x:c r="E181" s="1" t="n">
        <x:v>556</x:v>
      </x:c>
      <x:c r="F181" s="1" t="str">
        <x:f>A181&amp;"|"&amp;B181</x:f>
        <x:v>43961|Тольятти</x:v>
      </x:c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1" customHeight="1">
      <x:c r="A182" s="5" t="n">
        <x:v>43962</x:v>
      </x:c>
      <x:c r="B182" s="1" t="str">
        <x:v>Волгоград</x:v>
      </x:c>
      <x:c r="C182" s="1" t="n">
        <x:v>36</x:v>
      </x:c>
      <x:c r="D182" s="1" t="n">
        <x:v>4150</x:v>
      </x:c>
      <x:c r="E182" s="1" t="n">
        <x:v>3838</x:v>
      </x:c>
      <x:c r="F182" s="1" t="str">
        <x:f>A182&amp;"|"&amp;B182</x:f>
        <x:v>43962|Волгоград</x:v>
      </x:c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1" customHeight="1">
      <x:c r="A183" s="5" t="n">
        <x:v>43962</x:v>
      </x:c>
      <x:c r="B183" s="1" t="str">
        <x:v>Екатеринбург</x:v>
      </x:c>
      <x:c r="C183" s="1" t="n">
        <x:v>31</x:v>
      </x:c>
      <x:c r="D183" s="1" t="n">
        <x:v>4826</x:v>
      </x:c>
      <x:c r="E183" s="1" t="n">
        <x:v>4483</x:v>
      </x:c>
      <x:c r="F183" s="1" t="str">
        <x:f>A183&amp;"|"&amp;B183</x:f>
        <x:v>43962|Екатеринбург</x:v>
      </x:c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1" customHeight="1">
      <x:c r="A184" s="5" t="n">
        <x:v>43962</x:v>
      </x:c>
      <x:c r="B184" s="1" t="str">
        <x:v>Казань</x:v>
      </x:c>
      <x:c r="C184" s="1" t="n">
        <x:v>21</x:v>
      </x:c>
      <x:c r="D184" s="1" t="n">
        <x:v>1916</x:v>
      </x:c>
      <x:c r="E184" s="1" t="n">
        <x:v>1733</x:v>
      </x:c>
      <x:c r="F184" s="1" t="str">
        <x:f>A184&amp;"|"&amp;B184</x:f>
        <x:v>43962|Казань</x:v>
      </x:c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1" customHeight="1">
      <x:c r="A185" s="5" t="n">
        <x:v>43962</x:v>
      </x:c>
      <x:c r="B185" s="1" t="str">
        <x:v>Кемерово</x:v>
      </x:c>
      <x:c r="C185" s="1" t="n">
        <x:v>21</x:v>
      </x:c>
      <x:c r="D185" s="1" t="n">
        <x:v>1597</x:v>
      </x:c>
      <x:c r="E185" s="1" t="n">
        <x:v>1457</x:v>
      </x:c>
      <x:c r="F185" s="1" t="str">
        <x:f>A185&amp;"|"&amp;B185</x:f>
        <x:v>43962|Кемерово</x:v>
      </x:c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1" customHeight="1">
      <x:c r="A186" s="5" t="n">
        <x:v>43962</x:v>
      </x:c>
      <x:c r="B186" s="1" t="str">
        <x:v>Краснодар</x:v>
      </x:c>
      <x:c r="C186" s="1" t="n">
        <x:v>19</x:v>
      </x:c>
      <x:c r="D186" s="1" t="n">
        <x:v>1527</x:v>
      </x:c>
      <x:c r="E186" s="1" t="n">
        <x:v>1389</x:v>
      </x:c>
      <x:c r="F186" s="1" t="str">
        <x:f>A186&amp;"|"&amp;B186</x:f>
        <x:v>43962|Краснодар</x:v>
      </x:c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1" customHeight="1">
      <x:c r="A187" s="5" t="n">
        <x:v>43962</x:v>
      </x:c>
      <x:c r="B187" s="1" t="str">
        <x:v>Москва Восток</x:v>
      </x:c>
      <x:c r="C187" s="1" t="n">
        <x:v>54</x:v>
      </x:c>
      <x:c r="D187" s="1" t="n">
        <x:v>10570</x:v>
      </x:c>
      <x:c r="E187" s="1" t="n">
        <x:v>9926</x:v>
      </x:c>
      <x:c r="F187" s="1" t="str">
        <x:f>A187&amp;"|"&amp;B187</x:f>
        <x:v>43962|Москва Восток</x:v>
      </x:c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1" customHeight="1">
      <x:c r="A188" s="5" t="n">
        <x:v>43962</x:v>
      </x:c>
      <x:c r="B188" s="1" t="str">
        <x:v>Москва Запад</x:v>
      </x:c>
      <x:c r="C188" s="1" t="n">
        <x:v>60</x:v>
      </x:c>
      <x:c r="D188" s="1" t="n">
        <x:v>11100</x:v>
      </x:c>
      <x:c r="E188" s="1" t="n">
        <x:v>10407</x:v>
      </x:c>
      <x:c r="F188" s="1" t="str">
        <x:f>A188&amp;"|"&amp;B188</x:f>
        <x:v>43962|Москва Запад</x:v>
      </x:c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1" customHeight="1">
      <x:c r="A189" s="5" t="n">
        <x:v>43962</x:v>
      </x:c>
      <x:c r="B189" s="1" t="str">
        <x:v>Нижний Новгород</x:v>
      </x:c>
      <x:c r="C189" s="1" t="n">
        <x:v>19</x:v>
      </x:c>
      <x:c r="D189" s="1" t="n">
        <x:v>2530</x:v>
      </x:c>
      <x:c r="E189" s="1" t="n">
        <x:v>2270</x:v>
      </x:c>
      <x:c r="F189" s="1" t="str">
        <x:f>A189&amp;"|"&amp;B189</x:f>
        <x:v>43962|Нижний Новгород</x:v>
      </x:c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1" customHeight="1">
      <x:c r="A190" s="5" t="n">
        <x:v>43962</x:v>
      </x:c>
      <x:c r="B190" s="1" t="str">
        <x:v>Новосибирск</x:v>
      </x:c>
      <x:c r="C190" s="1" t="n">
        <x:v>15</x:v>
      </x:c>
      <x:c r="D190" s="1" t="n">
        <x:v>654</x:v>
      </x:c>
      <x:c r="E190" s="1" t="n">
        <x:v>564</x:v>
      </x:c>
      <x:c r="F190" s="1" t="str">
        <x:f>A190&amp;"|"&amp;B190</x:f>
        <x:v>43962|Новосибирск</x:v>
      </x:c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1" customHeight="1">
      <x:c r="A191" s="5" t="n">
        <x:v>43962</x:v>
      </x:c>
      <x:c r="B191" s="1" t="str">
        <x:v>Пермь</x:v>
      </x:c>
      <x:c r="C191" s="1" t="n">
        <x:v>15</x:v>
      </x:c>
      <x:c r="D191" s="1" t="n">
        <x:v>812</x:v>
      </x:c>
      <x:c r="E191" s="1" t="n">
        <x:v>714</x:v>
      </x:c>
      <x:c r="F191" s="1" t="str">
        <x:f>A191&amp;"|"&amp;B191</x:f>
        <x:v>43962|Пермь</x:v>
      </x:c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1" customHeight="1">
      <x:c r="A192" s="5" t="n">
        <x:v>43962</x:v>
      </x:c>
      <x:c r="B192" s="1" t="str">
        <x:v>Ростов-на-Дону</x:v>
      </x:c>
      <x:c r="C192" s="1" t="n">
        <x:v>15</x:v>
      </x:c>
      <x:c r="D192" s="1" t="n">
        <x:v>684</x:v>
      </x:c>
      <x:c r="E192" s="1" t="n">
        <x:v>585</x:v>
      </x:c>
      <x:c r="F192" s="1" t="str">
        <x:f>A192&amp;"|"&amp;B192</x:f>
        <x:v>43962|Ростов-на-Дону</x:v>
      </x:c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1" customHeight="1">
      <x:c r="A193" s="5" t="n">
        <x:v>43962</x:v>
      </x:c>
      <x:c r="B193" s="1" t="str">
        <x:v>Санкт-Петербург Север</x:v>
      </x:c>
      <x:c r="C193" s="1" t="n">
        <x:v>125</x:v>
      </x:c>
      <x:c r="D193" s="1" t="n">
        <x:v>18066</x:v>
      </x:c>
      <x:c r="E193" s="1" t="n">
        <x:v>16883</x:v>
      </x:c>
      <x:c r="F193" s="1" t="str">
        <x:f>A193&amp;"|"&amp;B193</x:f>
        <x:v>43962|Санкт-Петербург Север</x:v>
      </x:c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1" customHeight="1">
      <x:c r="A194" s="5" t="n">
        <x:v>43962</x:v>
      </x:c>
      <x:c r="B194" s="1" t="str">
        <x:v>Санкт-Петербург Юг</x:v>
      </x:c>
      <x:c r="C194" s="1" t="n">
        <x:v>129</x:v>
      </x:c>
      <x:c r="D194" s="1" t="n">
        <x:v>14043</x:v>
      </x:c>
      <x:c r="E194" s="1" t="n">
        <x:v>13167</x:v>
      </x:c>
      <x:c r="F194" s="1" t="str">
        <x:f>A194&amp;"|"&amp;B194</x:f>
        <x:v>43962|Санкт-Петербург Юг</x:v>
      </x:c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1" customHeight="1">
      <x:c r="A195" s="5" t="n">
        <x:v>43962</x:v>
      </x:c>
      <x:c r="B195" s="1" t="str">
        <x:v>Тольятти</x:v>
      </x:c>
      <x:c r="C195" s="1" t="n">
        <x:v>10</x:v>
      </x:c>
      <x:c r="D195" s="1" t="n">
        <x:v>494</x:v>
      </x:c>
      <x:c r="E195" s="1" t="n">
        <x:v>421</x:v>
      </x:c>
      <x:c r="F195" s="1" t="str">
        <x:f>A195&amp;"|"&amp;B195</x:f>
        <x:v>43962|Тольятти</x:v>
      </x:c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1" customHeight="1">
      <x:c r="A196" s="5" t="n">
        <x:v>43963</x:v>
      </x:c>
      <x:c r="B196" s="1" t="str">
        <x:v>Волгоград</x:v>
      </x:c>
      <x:c r="C196" s="1" t="n">
        <x:v>36</x:v>
      </x:c>
      <x:c r="D196" s="1" t="n">
        <x:v>4418</x:v>
      </x:c>
      <x:c r="E196" s="1" t="n">
        <x:v>4088</x:v>
      </x:c>
      <x:c r="F196" s="1" t="str">
        <x:f>A196&amp;"|"&amp;B196</x:f>
        <x:v>43963|Волгоград</x:v>
      </x:c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1" customHeight="1">
      <x:c r="A197" s="5" t="n">
        <x:v>43963</x:v>
      </x:c>
      <x:c r="B197" s="1" t="str">
        <x:v>Екатеринбург</x:v>
      </x:c>
      <x:c r="C197" s="1" t="n">
        <x:v>31</x:v>
      </x:c>
      <x:c r="D197" s="1" t="n">
        <x:v>4800</x:v>
      </x:c>
      <x:c r="E197" s="1" t="n">
        <x:v>4470</x:v>
      </x:c>
      <x:c r="F197" s="1" t="str">
        <x:f>A197&amp;"|"&amp;B197</x:f>
        <x:v>43963|Екатеринбург</x:v>
      </x:c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1" customHeight="1">
      <x:c r="A198" s="5" t="n">
        <x:v>43963</x:v>
      </x:c>
      <x:c r="B198" s="1" t="str">
        <x:v>Казань</x:v>
      </x:c>
      <x:c r="C198" s="1" t="n">
        <x:v>21</x:v>
      </x:c>
      <x:c r="D198" s="1" t="n">
        <x:v>1926</x:v>
      </x:c>
      <x:c r="E198" s="1" t="n">
        <x:v>1745</x:v>
      </x:c>
      <x:c r="F198" s="1" t="str">
        <x:f>A198&amp;"|"&amp;B198</x:f>
        <x:v>43963|Казань</x:v>
      </x:c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1" customHeight="1">
      <x:c r="A199" s="5" t="n">
        <x:v>43963</x:v>
      </x:c>
      <x:c r="B199" s="1" t="str">
        <x:v>Кемерово</x:v>
      </x:c>
      <x:c r="C199" s="1" t="n">
        <x:v>21</x:v>
      </x:c>
      <x:c r="D199" s="1" t="n">
        <x:v>1656</x:v>
      </x:c>
      <x:c r="E199" s="1" t="n">
        <x:v>1516</x:v>
      </x:c>
      <x:c r="F199" s="1" t="str">
        <x:f>A199&amp;"|"&amp;B199</x:f>
        <x:v>43963|Кемерово</x:v>
      </x:c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1" customHeight="1">
      <x:c r="A200" s="5" t="n">
        <x:v>43963</x:v>
      </x:c>
      <x:c r="B200" s="1" t="str">
        <x:v>Краснодар</x:v>
      </x:c>
      <x:c r="C200" s="1" t="n">
        <x:v>19</x:v>
      </x:c>
      <x:c r="D200" s="1" t="n">
        <x:v>1598</x:v>
      </x:c>
      <x:c r="E200" s="1" t="n">
        <x:v>1454</x:v>
      </x:c>
      <x:c r="F200" s="1" t="str">
        <x:f>A200&amp;"|"&amp;B200</x:f>
        <x:v>43963|Краснодар</x:v>
      </x:c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1" customHeight="1">
      <x:c r="A201" s="5" t="n">
        <x:v>43963</x:v>
      </x:c>
      <x:c r="B201" s="1" t="str">
        <x:v>Москва Восток</x:v>
      </x:c>
      <x:c r="C201" s="1" t="n">
        <x:v>54</x:v>
      </x:c>
      <x:c r="D201" s="1" t="n">
        <x:v>11614</x:v>
      </x:c>
      <x:c r="E201" s="1" t="n">
        <x:v>10862</x:v>
      </x:c>
      <x:c r="F201" s="1" t="str">
        <x:f>A201&amp;"|"&amp;B201</x:f>
        <x:v>43963|Москва Восток</x:v>
      </x:c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1" customHeight="1">
      <x:c r="A202" s="5" t="n">
        <x:v>43963</x:v>
      </x:c>
      <x:c r="B202" s="1" t="str">
        <x:v>Москва Запад</x:v>
      </x:c>
      <x:c r="C202" s="1" t="n">
        <x:v>60</x:v>
      </x:c>
      <x:c r="D202" s="1" t="n">
        <x:v>12000</x:v>
      </x:c>
      <x:c r="E202" s="1" t="n">
        <x:v>11194</x:v>
      </x:c>
      <x:c r="F202" s="1" t="str">
        <x:f>A202&amp;"|"&amp;B202</x:f>
        <x:v>43963|Москва Запад</x:v>
      </x:c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1" customHeight="1">
      <x:c r="A203" s="5" t="n">
        <x:v>43963</x:v>
      </x:c>
      <x:c r="B203" s="1" t="str">
        <x:v>Нижний Новгород</x:v>
      </x:c>
      <x:c r="C203" s="1" t="n">
        <x:v>19</x:v>
      </x:c>
      <x:c r="D203" s="1" t="n">
        <x:v>1649</x:v>
      </x:c>
      <x:c r="E203" s="1" t="n">
        <x:v>1460</x:v>
      </x:c>
      <x:c r="F203" s="1" t="str">
        <x:f>A203&amp;"|"&amp;B203</x:f>
        <x:v>43963|Нижний Новгород</x:v>
      </x:c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1" customHeight="1">
      <x:c r="A204" s="5" t="n">
        <x:v>43963</x:v>
      </x:c>
      <x:c r="B204" s="1" t="str">
        <x:v>Новосибирск</x:v>
      </x:c>
      <x:c r="C204" s="1" t="n">
        <x:v>15</x:v>
      </x:c>
      <x:c r="D204" s="1" t="n">
        <x:v>750</x:v>
      </x:c>
      <x:c r="E204" s="1" t="n">
        <x:v>659</x:v>
      </x:c>
      <x:c r="F204" s="1" t="str">
        <x:f>A204&amp;"|"&amp;B204</x:f>
        <x:v>43963|Новосибирск</x:v>
      </x:c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1" customHeight="1">
      <x:c r="A205" s="5" t="n">
        <x:v>43963</x:v>
      </x:c>
      <x:c r="B205" s="1" t="str">
        <x:v>Пермь</x:v>
      </x:c>
      <x:c r="C205" s="1" t="n">
        <x:v>15</x:v>
      </x:c>
      <x:c r="D205" s="1" t="n">
        <x:v>845</x:v>
      </x:c>
      <x:c r="E205" s="1" t="n">
        <x:v>743</x:v>
      </x:c>
      <x:c r="F205" s="1" t="str">
        <x:f>A205&amp;"|"&amp;B205</x:f>
        <x:v>43963|Пермь</x:v>
      </x:c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1" customHeight="1">
      <x:c r="A206" s="5" t="n">
        <x:v>43963</x:v>
      </x:c>
      <x:c r="B206" s="1" t="str">
        <x:v>Ростов-на-Дону</x:v>
      </x:c>
      <x:c r="C206" s="1" t="n">
        <x:v>15</x:v>
      </x:c>
      <x:c r="D206" s="1" t="n">
        <x:v>624</x:v>
      </x:c>
      <x:c r="E206" s="1" t="n">
        <x:v>538</x:v>
      </x:c>
      <x:c r="F206" s="1" t="str">
        <x:f>A206&amp;"|"&amp;B206</x:f>
        <x:v>43963|Ростов-на-Дону</x:v>
      </x:c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1" customHeight="1">
      <x:c r="A207" s="5" t="n">
        <x:v>43963</x:v>
      </x:c>
      <x:c r="B207" s="1" t="str">
        <x:v>Санкт-Петербург Север</x:v>
      </x:c>
      <x:c r="C207" s="1" t="n">
        <x:v>125</x:v>
      </x:c>
      <x:c r="D207" s="1" t="n">
        <x:v>21106</x:v>
      </x:c>
      <x:c r="E207" s="1" t="n">
        <x:v>19651</x:v>
      </x:c>
      <x:c r="F207" s="1" t="str">
        <x:f>A207&amp;"|"&amp;B207</x:f>
        <x:v>43963|Санкт-Петербург Север</x:v>
      </x:c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1" customHeight="1">
      <x:c r="A208" s="5" t="n">
        <x:v>43963</x:v>
      </x:c>
      <x:c r="B208" s="1" t="str">
        <x:v>Санкт-Петербург Юг</x:v>
      </x:c>
      <x:c r="C208" s="1" t="n">
        <x:v>129</x:v>
      </x:c>
      <x:c r="D208" s="1" t="n">
        <x:v>16387</x:v>
      </x:c>
      <x:c r="E208" s="1" t="n">
        <x:v>15322</x:v>
      </x:c>
      <x:c r="F208" s="1" t="str">
        <x:f>A208&amp;"|"&amp;B208</x:f>
        <x:v>43963|Санкт-Петербург Юг</x:v>
      </x:c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1" customHeight="1">
      <x:c r="A209" s="5" t="n">
        <x:v>43963</x:v>
      </x:c>
      <x:c r="B209" s="1" t="str">
        <x:v>Тольятти</x:v>
      </x:c>
      <x:c r="C209" s="1" t="n">
        <x:v>10</x:v>
      </x:c>
      <x:c r="D209" s="1" t="n">
        <x:v>526</x:v>
      </x:c>
      <x:c r="E209" s="1" t="n">
        <x:v>448</x:v>
      </x:c>
      <x:c r="F209" s="1" t="str">
        <x:f>A209&amp;"|"&amp;B209</x:f>
        <x:v>43963|Тольятти</x:v>
      </x:c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1" customHeight="1">
      <x:c r="A210" s="5" t="n">
        <x:v>43964</x:v>
      </x:c>
      <x:c r="B210" s="1" t="str">
        <x:v>Волгоград</x:v>
      </x:c>
      <x:c r="C210" s="1" t="n">
        <x:v>36</x:v>
      </x:c>
      <x:c r="D210" s="1" t="n">
        <x:v>4967</x:v>
      </x:c>
      <x:c r="E210" s="1" t="n">
        <x:v>4583</x:v>
      </x:c>
      <x:c r="F210" s="1" t="str">
        <x:f>A210&amp;"|"&amp;B210</x:f>
        <x:v>43964|Волгоград</x:v>
      </x:c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1" customHeight="1">
      <x:c r="A211" s="5" t="n">
        <x:v>43964</x:v>
      </x:c>
      <x:c r="B211" s="1" t="str">
        <x:v>Екатеринбург</x:v>
      </x:c>
      <x:c r="C211" s="1" t="n">
        <x:v>31</x:v>
      </x:c>
      <x:c r="D211" s="1" t="n">
        <x:v>5251</x:v>
      </x:c>
      <x:c r="E211" s="1" t="n">
        <x:v>4853</x:v>
      </x:c>
      <x:c r="F211" s="1" t="str">
        <x:f>A211&amp;"|"&amp;B211</x:f>
        <x:v>43964|Екатеринбург</x:v>
      </x:c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1" customHeight="1">
      <x:c r="A212" s="5" t="n">
        <x:v>43964</x:v>
      </x:c>
      <x:c r="B212" s="1" t="str">
        <x:v>Казань</x:v>
      </x:c>
      <x:c r="C212" s="1" t="n">
        <x:v>21</x:v>
      </x:c>
      <x:c r="D212" s="1" t="n">
        <x:v>2061</x:v>
      </x:c>
      <x:c r="E212" s="1" t="n">
        <x:v>1876</x:v>
      </x:c>
      <x:c r="F212" s="1" t="str">
        <x:f>A212&amp;"|"&amp;B212</x:f>
        <x:v>43964|Казань</x:v>
      </x:c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1" customHeight="1">
      <x:c r="A213" s="5" t="n">
        <x:v>43964</x:v>
      </x:c>
      <x:c r="B213" s="1" t="str">
        <x:v>Кемерово</x:v>
      </x:c>
      <x:c r="C213" s="1" t="n">
        <x:v>21</x:v>
      </x:c>
      <x:c r="D213" s="1" t="n">
        <x:v>1698</x:v>
      </x:c>
      <x:c r="E213" s="1" t="n">
        <x:v>1554</x:v>
      </x:c>
      <x:c r="F213" s="1" t="str">
        <x:f>A213&amp;"|"&amp;B213</x:f>
        <x:v>43964|Кемерово</x:v>
      </x:c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1" customHeight="1">
      <x:c r="A214" s="5" t="n">
        <x:v>43964</x:v>
      </x:c>
      <x:c r="B214" s="1" t="str">
        <x:v>Краснодар</x:v>
      </x:c>
      <x:c r="C214" s="1" t="n">
        <x:v>19</x:v>
      </x:c>
      <x:c r="D214" s="1" t="n">
        <x:v>1605</x:v>
      </x:c>
      <x:c r="E214" s="1" t="n">
        <x:v>1447</x:v>
      </x:c>
      <x:c r="F214" s="1" t="str">
        <x:f>A214&amp;"|"&amp;B214</x:f>
        <x:v>43964|Краснодар</x:v>
      </x:c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1" customHeight="1">
      <x:c r="A215" s="5" t="n">
        <x:v>43964</x:v>
      </x:c>
      <x:c r="B215" s="1" t="str">
        <x:v>Москва Восток</x:v>
      </x:c>
      <x:c r="C215" s="1" t="n">
        <x:v>54</x:v>
      </x:c>
      <x:c r="D215" s="1" t="n">
        <x:v>11522</x:v>
      </x:c>
      <x:c r="E215" s="1" t="n">
        <x:v>10803</x:v>
      </x:c>
      <x:c r="F215" s="1" t="str">
        <x:f>A215&amp;"|"&amp;B215</x:f>
        <x:v>43964|Москва Восток</x:v>
      </x:c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1" customHeight="1">
      <x:c r="A216" s="5" t="n">
        <x:v>43964</x:v>
      </x:c>
      <x:c r="B216" s="1" t="str">
        <x:v>Москва Запад</x:v>
      </x:c>
      <x:c r="C216" s="1" t="n">
        <x:v>60</x:v>
      </x:c>
      <x:c r="D216" s="1" t="n">
        <x:v>12007</x:v>
      </x:c>
      <x:c r="E216" s="1" t="n">
        <x:v>11245</x:v>
      </x:c>
      <x:c r="F216" s="1" t="str">
        <x:f>A216&amp;"|"&amp;B216</x:f>
        <x:v>43964|Москва Запад</x:v>
      </x:c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1" customHeight="1">
      <x:c r="A217" s="5" t="n">
        <x:v>43964</x:v>
      </x:c>
      <x:c r="B217" s="1" t="str">
        <x:v>Нижний Новгород</x:v>
      </x:c>
      <x:c r="C217" s="1" t="n">
        <x:v>19</x:v>
      </x:c>
      <x:c r="D217" s="1" t="n">
        <x:v>1625</x:v>
      </x:c>
      <x:c r="E217" s="1" t="n">
        <x:v>1444</x:v>
      </x:c>
      <x:c r="F217" s="1" t="str">
        <x:f>A217&amp;"|"&amp;B217</x:f>
        <x:v>43964|Нижний Новгород</x:v>
      </x:c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1" customHeight="1">
      <x:c r="A218" s="5" t="n">
        <x:v>43964</x:v>
      </x:c>
      <x:c r="B218" s="1" t="str">
        <x:v>Новосибирск</x:v>
      </x:c>
      <x:c r="C218" s="1" t="n">
        <x:v>15</x:v>
      </x:c>
      <x:c r="D218" s="1" t="n">
        <x:v>854</x:v>
      </x:c>
      <x:c r="E218" s="1" t="n">
        <x:v>756</x:v>
      </x:c>
      <x:c r="F218" s="1" t="str">
        <x:f>A218&amp;"|"&amp;B218</x:f>
        <x:v>43964|Новосибирск</x:v>
      </x:c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1" customHeight="1">
      <x:c r="A219" s="5" t="n">
        <x:v>43964</x:v>
      </x:c>
      <x:c r="B219" s="1" t="str">
        <x:v>Пермь</x:v>
      </x:c>
      <x:c r="C219" s="1" t="n">
        <x:v>15</x:v>
      </x:c>
      <x:c r="D219" s="1" t="n">
        <x:v>898</x:v>
      </x:c>
      <x:c r="E219" s="1" t="n">
        <x:v>795</x:v>
      </x:c>
      <x:c r="F219" s="1" t="str">
        <x:f>A219&amp;"|"&amp;B219</x:f>
        <x:v>43964|Пермь</x:v>
      </x:c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1" customHeight="1">
      <x:c r="A220" s="5" t="n">
        <x:v>43964</x:v>
      </x:c>
      <x:c r="B220" s="1" t="str">
        <x:v>Ростов-на-Дону</x:v>
      </x:c>
      <x:c r="C220" s="1" t="n">
        <x:v>15</x:v>
      </x:c>
      <x:c r="D220" s="1" t="n">
        <x:v>599</x:v>
      </x:c>
      <x:c r="E220" s="1" t="n">
        <x:v>515</x:v>
      </x:c>
      <x:c r="F220" s="1" t="str">
        <x:f>A220&amp;"|"&amp;B220</x:f>
        <x:v>43964|Ростов-на-Дону</x:v>
      </x:c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1" customHeight="1">
      <x:c r="A221" s="5" t="n">
        <x:v>43964</x:v>
      </x:c>
      <x:c r="B221" s="1" t="str">
        <x:v>Санкт-Петербург Север</x:v>
      </x:c>
      <x:c r="C221" s="1" t="n">
        <x:v>125</x:v>
      </x:c>
      <x:c r="D221" s="1" t="n">
        <x:v>19965</x:v>
      </x:c>
      <x:c r="E221" s="1" t="n">
        <x:v>18573</x:v>
      </x:c>
      <x:c r="F221" s="1" t="str">
        <x:f>A221&amp;"|"&amp;B221</x:f>
        <x:v>43964|Санкт-Петербург Север</x:v>
      </x:c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1" customHeight="1">
      <x:c r="A222" s="5" t="n">
        <x:v>43964</x:v>
      </x:c>
      <x:c r="B222" s="1" t="str">
        <x:v>Санкт-Петербург Юг</x:v>
      </x:c>
      <x:c r="C222" s="1" t="n">
        <x:v>129</x:v>
      </x:c>
      <x:c r="D222" s="1" t="n">
        <x:v>15304</x:v>
      </x:c>
      <x:c r="E222" s="1" t="n">
        <x:v>14315</x:v>
      </x:c>
      <x:c r="F222" s="1" t="str">
        <x:f>A222&amp;"|"&amp;B222</x:f>
        <x:v>43964|Санкт-Петербург Юг</x:v>
      </x:c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1" customHeight="1">
      <x:c r="A223" s="5" t="n">
        <x:v>43964</x:v>
      </x:c>
      <x:c r="B223" s="1" t="str">
        <x:v>Тольятти</x:v>
      </x:c>
      <x:c r="C223" s="1" t="n">
        <x:v>10</x:v>
      </x:c>
      <x:c r="D223" s="1" t="n">
        <x:v>612</x:v>
      </x:c>
      <x:c r="E223" s="1" t="n">
        <x:v>530</x:v>
      </x:c>
      <x:c r="F223" s="1" t="str">
        <x:f>A223&amp;"|"&amp;B223</x:f>
        <x:v>43964|Тольятти</x:v>
      </x:c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1" customHeight="1">
      <x:c r="A224" s="5" t="n">
        <x:v>43965</x:v>
      </x:c>
      <x:c r="B224" s="1" t="str">
        <x:v>Волгоград</x:v>
      </x:c>
      <x:c r="C224" s="1" t="n">
        <x:v>36</x:v>
      </x:c>
      <x:c r="D224" s="1" t="n">
        <x:v>4285</x:v>
      </x:c>
      <x:c r="E224" s="1" t="n">
        <x:v>3950</x:v>
      </x:c>
      <x:c r="F224" s="1" t="str">
        <x:f>A224&amp;"|"&amp;B224</x:f>
        <x:v>43965|Волгоград</x:v>
      </x:c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1" customHeight="1">
      <x:c r="A225" s="5" t="n">
        <x:v>43965</x:v>
      </x:c>
      <x:c r="B225" s="1" t="str">
        <x:v>Екатеринбург</x:v>
      </x:c>
      <x:c r="C225" s="1" t="n">
        <x:v>31</x:v>
      </x:c>
      <x:c r="D225" s="1" t="n">
        <x:v>4695</x:v>
      </x:c>
      <x:c r="E225" s="1" t="n">
        <x:v>4372</x:v>
      </x:c>
      <x:c r="F225" s="1" t="str">
        <x:f>A225&amp;"|"&amp;B225</x:f>
        <x:v>43965|Екатеринбург</x:v>
      </x:c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1" customHeight="1">
      <x:c r="A226" s="5" t="n">
        <x:v>43965</x:v>
      </x:c>
      <x:c r="B226" s="1" t="str">
        <x:v>Казань</x:v>
      </x:c>
      <x:c r="C226" s="1" t="n">
        <x:v>21</x:v>
      </x:c>
      <x:c r="D226" s="1" t="n">
        <x:v>1993</x:v>
      </x:c>
      <x:c r="E226" s="1" t="n">
        <x:v>1796</x:v>
      </x:c>
      <x:c r="F226" s="1" t="str">
        <x:f>A226&amp;"|"&amp;B226</x:f>
        <x:v>43965|Казань</x:v>
      </x:c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1" customHeight="1">
      <x:c r="A227" s="5" t="n">
        <x:v>43965</x:v>
      </x:c>
      <x:c r="B227" s="1" t="str">
        <x:v>Кемерово</x:v>
      </x:c>
      <x:c r="C227" s="1" t="n">
        <x:v>21</x:v>
      </x:c>
      <x:c r="D227" s="1" t="n">
        <x:v>1706</x:v>
      </x:c>
      <x:c r="E227" s="1" t="n">
        <x:v>1548</x:v>
      </x:c>
      <x:c r="F227" s="1" t="str">
        <x:f>A227&amp;"|"&amp;B227</x:f>
        <x:v>43965|Кемерово</x:v>
      </x:c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1" customHeight="1">
      <x:c r="A228" s="5" t="n">
        <x:v>43965</x:v>
      </x:c>
      <x:c r="B228" s="1" t="str">
        <x:v>Краснодар</x:v>
      </x:c>
      <x:c r="C228" s="1" t="n">
        <x:v>19</x:v>
      </x:c>
      <x:c r="D228" s="1" t="n">
        <x:v>1635</x:v>
      </x:c>
      <x:c r="E228" s="1" t="n">
        <x:v>1487</x:v>
      </x:c>
      <x:c r="F228" s="1" t="str">
        <x:f>A228&amp;"|"&amp;B228</x:f>
        <x:v>43965|Краснодар</x:v>
      </x:c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1" customHeight="1">
      <x:c r="A229" s="5" t="n">
        <x:v>43965</x:v>
      </x:c>
      <x:c r="B229" s="1" t="str">
        <x:v>Москва Восток</x:v>
      </x:c>
      <x:c r="C229" s="1" t="n">
        <x:v>54</x:v>
      </x:c>
      <x:c r="D229" s="1" t="n">
        <x:v>11194</x:v>
      </x:c>
      <x:c r="E229" s="1" t="n">
        <x:v>10554</x:v>
      </x:c>
      <x:c r="F229" s="1" t="str">
        <x:f>A229&amp;"|"&amp;B229</x:f>
        <x:v>43965|Москва Восток</x:v>
      </x:c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1" customHeight="1">
      <x:c r="A230" s="5" t="n">
        <x:v>43965</x:v>
      </x:c>
      <x:c r="B230" s="1" t="str">
        <x:v>Москва Запад</x:v>
      </x:c>
      <x:c r="C230" s="1" t="n">
        <x:v>60</x:v>
      </x:c>
      <x:c r="D230" s="1" t="n">
        <x:v>11935</x:v>
      </x:c>
      <x:c r="E230" s="1" t="n">
        <x:v>11178</x:v>
      </x:c>
      <x:c r="F230" s="1" t="str">
        <x:f>A230&amp;"|"&amp;B230</x:f>
        <x:v>43965|Москва Запад</x:v>
      </x:c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1" customHeight="1">
      <x:c r="A231" s="5" t="n">
        <x:v>43965</x:v>
      </x:c>
      <x:c r="B231" s="1" t="str">
        <x:v>Нижний Новгород</x:v>
      </x:c>
      <x:c r="C231" s="1" t="n">
        <x:v>19</x:v>
      </x:c>
      <x:c r="D231" s="1" t="n">
        <x:v>1675</x:v>
      </x:c>
      <x:c r="E231" s="1" t="n">
        <x:v>1475</x:v>
      </x:c>
      <x:c r="F231" s="1" t="str">
        <x:f>A231&amp;"|"&amp;B231</x:f>
        <x:v>43965|Нижний Новгород</x:v>
      </x:c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1" customHeight="1">
      <x:c r="A232" s="5" t="n">
        <x:v>43965</x:v>
      </x:c>
      <x:c r="B232" s="1" t="str">
        <x:v>Новосибирск</x:v>
      </x:c>
      <x:c r="C232" s="1" t="n">
        <x:v>16</x:v>
      </x:c>
      <x:c r="D232" s="1" t="n">
        <x:v>834</x:v>
      </x:c>
      <x:c r="E232" s="1" t="n">
        <x:v>735</x:v>
      </x:c>
      <x:c r="F232" s="1" t="str">
        <x:f>A232&amp;"|"&amp;B232</x:f>
        <x:v>43965|Новосибирск</x:v>
      </x:c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1" customHeight="1">
      <x:c r="A233" s="5" t="n">
        <x:v>43965</x:v>
      </x:c>
      <x:c r="B233" s="1" t="str">
        <x:v>Пермь</x:v>
      </x:c>
      <x:c r="C233" s="1" t="n">
        <x:v>15</x:v>
      </x:c>
      <x:c r="D233" s="1" t="n">
        <x:v>890</x:v>
      </x:c>
      <x:c r="E233" s="1" t="n">
        <x:v>777</x:v>
      </x:c>
      <x:c r="F233" s="1" t="str">
        <x:f>A233&amp;"|"&amp;B233</x:f>
        <x:v>43965|Пермь</x:v>
      </x:c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1" customHeight="1">
      <x:c r="A234" s="5" t="n">
        <x:v>43965</x:v>
      </x:c>
      <x:c r="B234" s="1" t="str">
        <x:v>Ростов-на-Дону</x:v>
      </x:c>
      <x:c r="C234" s="1" t="n">
        <x:v>15</x:v>
      </x:c>
      <x:c r="D234" s="1" t="n">
        <x:v>638</x:v>
      </x:c>
      <x:c r="E234" s="1" t="n">
        <x:v>548</x:v>
      </x:c>
      <x:c r="F234" s="1" t="str">
        <x:f>A234&amp;"|"&amp;B234</x:f>
        <x:v>43965|Ростов-на-Дону</x:v>
      </x:c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1" customHeight="1">
      <x:c r="A235" s="5" t="n">
        <x:v>43965</x:v>
      </x:c>
      <x:c r="B235" s="1" t="str">
        <x:v>Санкт-Петербург Север</x:v>
      </x:c>
      <x:c r="C235" s="1" t="n">
        <x:v>125</x:v>
      </x:c>
      <x:c r="D235" s="1" t="n">
        <x:v>20247</x:v>
      </x:c>
      <x:c r="E235" s="1" t="n">
        <x:v>18812</x:v>
      </x:c>
      <x:c r="F235" s="1" t="str">
        <x:f>A235&amp;"|"&amp;B235</x:f>
        <x:v>43965|Санкт-Петербург Север</x:v>
      </x:c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1" customHeight="1">
      <x:c r="A236" s="5" t="n">
        <x:v>43965</x:v>
      </x:c>
      <x:c r="B236" s="1" t="str">
        <x:v>Санкт-Петербург Юг</x:v>
      </x:c>
      <x:c r="C236" s="1" t="n">
        <x:v>129</x:v>
      </x:c>
      <x:c r="D236" s="1" t="n">
        <x:v>15804</x:v>
      </x:c>
      <x:c r="E236" s="1" t="n">
        <x:v>14738</x:v>
      </x:c>
      <x:c r="F236" s="1" t="str">
        <x:f>A236&amp;"|"&amp;B236</x:f>
        <x:v>43965|Санкт-Петербург Юг</x:v>
      </x:c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1" customHeight="1">
      <x:c r="A237" s="5" t="n">
        <x:v>43965</x:v>
      </x:c>
      <x:c r="B237" s="1" t="str">
        <x:v>Тольятти</x:v>
      </x:c>
      <x:c r="C237" s="1" t="n">
        <x:v>10</x:v>
      </x:c>
      <x:c r="D237" s="1" t="n">
        <x:v>627</x:v>
      </x:c>
      <x:c r="E237" s="1" t="n">
        <x:v>545</x:v>
      </x:c>
      <x:c r="F237" s="1" t="str">
        <x:f>A237&amp;"|"&amp;B237</x:f>
        <x:v>43965|Тольятти</x:v>
      </x:c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1" customHeight="1">
      <x:c r="A238" s="5" t="n">
        <x:v>43966</x:v>
      </x:c>
      <x:c r="B238" s="1" t="str">
        <x:v>Волгоград</x:v>
      </x:c>
      <x:c r="C238" s="1" t="n">
        <x:v>36</x:v>
      </x:c>
      <x:c r="D238" s="1" t="n">
        <x:v>4862</x:v>
      </x:c>
      <x:c r="E238" s="1" t="n">
        <x:v>4476</x:v>
      </x:c>
      <x:c r="F238" s="1" t="str">
        <x:f>A238&amp;"|"&amp;B238</x:f>
        <x:v>43966|Волгоград</x:v>
      </x:c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1" customHeight="1">
      <x:c r="A239" s="5" t="n">
        <x:v>43966</x:v>
      </x:c>
      <x:c r="B239" s="1" t="str">
        <x:v>Екатеринбург</x:v>
      </x:c>
      <x:c r="C239" s="1" t="n">
        <x:v>31</x:v>
      </x:c>
      <x:c r="D239" s="1" t="n">
        <x:v>5184</x:v>
      </x:c>
      <x:c r="E239" s="1" t="n">
        <x:v>4778</x:v>
      </x:c>
      <x:c r="F239" s="1" t="str">
        <x:f>A239&amp;"|"&amp;B239</x:f>
        <x:v>43966|Екатеринбург</x:v>
      </x:c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1" customHeight="1">
      <x:c r="A240" s="5" t="n">
        <x:v>43966</x:v>
      </x:c>
      <x:c r="B240" s="1" t="str">
        <x:v>Казань</x:v>
      </x:c>
      <x:c r="C240" s="1" t="n">
        <x:v>21</x:v>
      </x:c>
      <x:c r="D240" s="1" t="n">
        <x:v>2255</x:v>
      </x:c>
      <x:c r="E240" s="1" t="n">
        <x:v>2045</x:v>
      </x:c>
      <x:c r="F240" s="1" t="str">
        <x:f>A240&amp;"|"&amp;B240</x:f>
        <x:v>43966|Казань</x:v>
      </x:c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1" customHeight="1">
      <x:c r="A241" s="5" t="n">
        <x:v>43966</x:v>
      </x:c>
      <x:c r="B241" s="1" t="str">
        <x:v>Кемерово</x:v>
      </x:c>
      <x:c r="C241" s="1" t="n">
        <x:v>21</x:v>
      </x:c>
      <x:c r="D241" s="1" t="n">
        <x:v>1926</x:v>
      </x:c>
      <x:c r="E241" s="1" t="n">
        <x:v>1742</x:v>
      </x:c>
      <x:c r="F241" s="1" t="str">
        <x:f>A241&amp;"|"&amp;B241</x:f>
        <x:v>43966|Кемерово</x:v>
      </x:c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1" customHeight="1">
      <x:c r="A242" s="5" t="n">
        <x:v>43966</x:v>
      </x:c>
      <x:c r="B242" s="1" t="str">
        <x:v>Краснодар</x:v>
      </x:c>
      <x:c r="C242" s="1" t="n">
        <x:v>19</x:v>
      </x:c>
      <x:c r="D242" s="1" t="n">
        <x:v>1780</x:v>
      </x:c>
      <x:c r="E242" s="1" t="n">
        <x:v>1615</x:v>
      </x:c>
      <x:c r="F242" s="1" t="str">
        <x:f>A242&amp;"|"&amp;B242</x:f>
        <x:v>43966|Краснодар</x:v>
      </x:c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1" customHeight="1">
      <x:c r="A243" s="5" t="n">
        <x:v>43966</x:v>
      </x:c>
      <x:c r="B243" s="1" t="str">
        <x:v>Москва Восток</x:v>
      </x:c>
      <x:c r="C243" s="1" t="n">
        <x:v>54</x:v>
      </x:c>
      <x:c r="D243" s="1" t="n">
        <x:v>12791</x:v>
      </x:c>
      <x:c r="E243" s="1" t="n">
        <x:v>11950</x:v>
      </x:c>
      <x:c r="F243" s="1" t="str">
        <x:f>A243&amp;"|"&amp;B243</x:f>
        <x:v>43966|Москва Восток</x:v>
      </x:c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1" customHeight="1">
      <x:c r="A244" s="5" t="n">
        <x:v>43966</x:v>
      </x:c>
      <x:c r="B244" s="1" t="str">
        <x:v>Москва Запад</x:v>
      </x:c>
      <x:c r="C244" s="1" t="n">
        <x:v>60</x:v>
      </x:c>
      <x:c r="D244" s="1" t="n">
        <x:v>13544</x:v>
      </x:c>
      <x:c r="E244" s="1" t="n">
        <x:v>12643</x:v>
      </x:c>
      <x:c r="F244" s="1" t="str">
        <x:f>A244&amp;"|"&amp;B244</x:f>
        <x:v>43966|Москва Запад</x:v>
      </x:c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1" customHeight="1">
      <x:c r="A245" s="5" t="n">
        <x:v>43966</x:v>
      </x:c>
      <x:c r="B245" s="1" t="str">
        <x:v>Нижний Новгород</x:v>
      </x:c>
      <x:c r="C245" s="1" t="n">
        <x:v>19</x:v>
      </x:c>
      <x:c r="D245" s="1" t="n">
        <x:v>1940</x:v>
      </x:c>
      <x:c r="E245" s="1" t="n">
        <x:v>1715</x:v>
      </x:c>
      <x:c r="F245" s="1" t="str">
        <x:f>A245&amp;"|"&amp;B245</x:f>
        <x:v>43966|Нижний Новгород</x:v>
      </x:c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1" customHeight="1">
      <x:c r="A246" s="5" t="n">
        <x:v>43966</x:v>
      </x:c>
      <x:c r="B246" s="1" t="str">
        <x:v>Новосибирск</x:v>
      </x:c>
      <x:c r="C246" s="1" t="n">
        <x:v>16</x:v>
      </x:c>
      <x:c r="D246" s="1" t="n">
        <x:v>817</x:v>
      </x:c>
      <x:c r="E246" s="1" t="n">
        <x:v>718</x:v>
      </x:c>
      <x:c r="F246" s="1" t="str">
        <x:f>A246&amp;"|"&amp;B246</x:f>
        <x:v>43966|Новосибирск</x:v>
      </x:c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1" customHeight="1">
      <x:c r="A247" s="5" t="n">
        <x:v>43966</x:v>
      </x:c>
      <x:c r="B247" s="1" t="str">
        <x:v>Пермь</x:v>
      </x:c>
      <x:c r="C247" s="1" t="n">
        <x:v>15</x:v>
      </x:c>
      <x:c r="D247" s="1" t="n">
        <x:v>980</x:v>
      </x:c>
      <x:c r="E247" s="1" t="n">
        <x:v>867</x:v>
      </x:c>
      <x:c r="F247" s="1" t="str">
        <x:f>A247&amp;"|"&amp;B247</x:f>
        <x:v>43966|Пермь</x:v>
      </x:c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1" customHeight="1">
      <x:c r="A248" s="5" t="n">
        <x:v>43966</x:v>
      </x:c>
      <x:c r="B248" s="1" t="str">
        <x:v>Ростов-на-Дону</x:v>
      </x:c>
      <x:c r="C248" s="1" t="n">
        <x:v>15</x:v>
      </x:c>
      <x:c r="D248" s="1" t="n">
        <x:v>688</x:v>
      </x:c>
      <x:c r="E248" s="1" t="n">
        <x:v>598</x:v>
      </x:c>
      <x:c r="F248" s="1" t="str">
        <x:f>A248&amp;"|"&amp;B248</x:f>
        <x:v>43966|Ростов-на-Дону</x:v>
      </x:c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1" customHeight="1">
      <x:c r="A249" s="5" t="n">
        <x:v>43966</x:v>
      </x:c>
      <x:c r="B249" s="1" t="str">
        <x:v>Санкт-Петербург Север</x:v>
      </x:c>
      <x:c r="C249" s="1" t="n">
        <x:v>125</x:v>
      </x:c>
      <x:c r="D249" s="1" t="n">
        <x:v>21862</x:v>
      </x:c>
      <x:c r="E249" s="1" t="n">
        <x:v>20235</x:v>
      </x:c>
      <x:c r="F249" s="1" t="str">
        <x:f>A249&amp;"|"&amp;B249</x:f>
        <x:v>43966|Санкт-Петербург Север</x:v>
      </x:c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1" customHeight="1">
      <x:c r="A250" s="5" t="n">
        <x:v>43966</x:v>
      </x:c>
      <x:c r="B250" s="1" t="str">
        <x:v>Санкт-Петербург Юг</x:v>
      </x:c>
      <x:c r="C250" s="1" t="n">
        <x:v>129</x:v>
      </x:c>
      <x:c r="D250" s="1" t="n">
        <x:v>17808</x:v>
      </x:c>
      <x:c r="E250" s="1" t="n">
        <x:v>16486</x:v>
      </x:c>
      <x:c r="F250" s="1" t="str">
        <x:f>A250&amp;"|"&amp;B250</x:f>
        <x:v>43966|Санкт-Петербург Юг</x:v>
      </x:c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1" customHeight="1">
      <x:c r="A251" s="5" t="n">
        <x:v>43966</x:v>
      </x:c>
      <x:c r="B251" s="1" t="str">
        <x:v>Тольятти</x:v>
      </x:c>
      <x:c r="C251" s="1" t="n">
        <x:v>10</x:v>
      </x:c>
      <x:c r="D251" s="1" t="n">
        <x:v>743</x:v>
      </x:c>
      <x:c r="E251" s="1" t="n">
        <x:v>652</x:v>
      </x:c>
      <x:c r="F251" s="1" t="str">
        <x:f>A251&amp;"|"&amp;B251</x:f>
        <x:v>43966|Тольятти</x:v>
      </x:c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1" customHeight="1">
      <x:c r="A252" s="5" t="n">
        <x:v>43967</x:v>
      </x:c>
      <x:c r="B252" s="1" t="str">
        <x:v>Волгоград</x:v>
      </x:c>
      <x:c r="C252" s="1" t="n">
        <x:v>36</x:v>
      </x:c>
      <x:c r="D252" s="1" t="n">
        <x:v>5286</x:v>
      </x:c>
      <x:c r="E252" s="1" t="n">
        <x:v>4867</x:v>
      </x:c>
      <x:c r="F252" s="1" t="str">
        <x:f>A252&amp;"|"&amp;B252</x:f>
        <x:v>43967|Волгоград</x:v>
      </x:c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1" customHeight="1">
      <x:c r="A253" s="5" t="n">
        <x:v>43967</x:v>
      </x:c>
      <x:c r="B253" s="1" t="str">
        <x:v>Екатеринбург</x:v>
      </x:c>
      <x:c r="C253" s="1" t="n">
        <x:v>31</x:v>
      </x:c>
      <x:c r="D253" s="1" t="n">
        <x:v>5593</x:v>
      </x:c>
      <x:c r="E253" s="1" t="n">
        <x:v>5177</x:v>
      </x:c>
      <x:c r="F253" s="1" t="str">
        <x:f>A253&amp;"|"&amp;B253</x:f>
        <x:v>43967|Екатеринбург</x:v>
      </x:c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1" customHeight="1">
      <x:c r="A254" s="5" t="n">
        <x:v>43967</x:v>
      </x:c>
      <x:c r="B254" s="1" t="str">
        <x:v>Казань</x:v>
      </x:c>
      <x:c r="C254" s="1" t="n">
        <x:v>21</x:v>
      </x:c>
      <x:c r="D254" s="1" t="n">
        <x:v>2427</x:v>
      </x:c>
      <x:c r="E254" s="1" t="n">
        <x:v>2213</x:v>
      </x:c>
      <x:c r="F254" s="1" t="str">
        <x:f>A254&amp;"|"&amp;B254</x:f>
        <x:v>43967|Казань</x:v>
      </x:c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1" customHeight="1">
      <x:c r="A255" s="5" t="n">
        <x:v>43967</x:v>
      </x:c>
      <x:c r="B255" s="1" t="str">
        <x:v>Кемерово</x:v>
      </x:c>
      <x:c r="C255" s="1" t="n">
        <x:v>21</x:v>
      </x:c>
      <x:c r="D255" s="1" t="n">
        <x:v>2145</x:v>
      </x:c>
      <x:c r="E255" s="1" t="n">
        <x:v>1947</x:v>
      </x:c>
      <x:c r="F255" s="1" t="str">
        <x:f>A255&amp;"|"&amp;B255</x:f>
        <x:v>43967|Кемерово</x:v>
      </x:c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1" customHeight="1">
      <x:c r="A256" s="5" t="n">
        <x:v>43967</x:v>
      </x:c>
      <x:c r="B256" s="1" t="str">
        <x:v>Краснодар</x:v>
      </x:c>
      <x:c r="C256" s="1" t="n">
        <x:v>19</x:v>
      </x:c>
      <x:c r="D256" s="1" t="n">
        <x:v>2039</x:v>
      </x:c>
      <x:c r="E256" s="1" t="n">
        <x:v>1868</x:v>
      </x:c>
      <x:c r="F256" s="1" t="str">
        <x:f>A256&amp;"|"&amp;B256</x:f>
        <x:v>43967|Краснодар</x:v>
      </x:c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1" customHeight="1">
      <x:c r="A257" s="5" t="n">
        <x:v>43967</x:v>
      </x:c>
      <x:c r="B257" s="1" t="str">
        <x:v>Москва Восток</x:v>
      </x:c>
      <x:c r="C257" s="1" t="n">
        <x:v>54</x:v>
      </x:c>
      <x:c r="D257" s="1" t="n">
        <x:v>13170</x:v>
      </x:c>
      <x:c r="E257" s="1" t="n">
        <x:v>12299</x:v>
      </x:c>
      <x:c r="F257" s="1" t="str">
        <x:f>A257&amp;"|"&amp;B257</x:f>
        <x:v>43967|Москва Восток</x:v>
      </x:c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1" customHeight="1">
      <x:c r="A258" s="5" t="n">
        <x:v>43967</x:v>
      </x:c>
      <x:c r="B258" s="1" t="str">
        <x:v>Москва Запад</x:v>
      </x:c>
      <x:c r="C258" s="1" t="n">
        <x:v>60</x:v>
      </x:c>
      <x:c r="D258" s="1" t="n">
        <x:v>14049</x:v>
      </x:c>
      <x:c r="E258" s="1" t="n">
        <x:v>13118</x:v>
      </x:c>
      <x:c r="F258" s="1" t="str">
        <x:f>A258&amp;"|"&amp;B258</x:f>
        <x:v>43967|Москва Запад</x:v>
      </x:c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1" customHeight="1">
      <x:c r="A259" s="5" t="n">
        <x:v>43967</x:v>
      </x:c>
      <x:c r="B259" s="1" t="str">
        <x:v>Нижний Новгород</x:v>
      </x:c>
      <x:c r="C259" s="1" t="n">
        <x:v>19</x:v>
      </x:c>
      <x:c r="D259" s="1" t="n">
        <x:v>2080</x:v>
      </x:c>
      <x:c r="E259" s="1" t="n">
        <x:v>1844</x:v>
      </x:c>
      <x:c r="F259" s="1" t="str">
        <x:f>A259&amp;"|"&amp;B259</x:f>
        <x:v>43967|Нижний Новгород</x:v>
      </x:c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1" customHeight="1">
      <x:c r="A260" s="5" t="n">
        <x:v>43967</x:v>
      </x:c>
      <x:c r="B260" s="1" t="str">
        <x:v>Новосибирск</x:v>
      </x:c>
      <x:c r="C260" s="1" t="n">
        <x:v>16</x:v>
      </x:c>
      <x:c r="D260" s="1" t="n">
        <x:v>920</x:v>
      </x:c>
      <x:c r="E260" s="1" t="n">
        <x:v>818</x:v>
      </x:c>
      <x:c r="F260" s="1" t="str">
        <x:f>A260&amp;"|"&amp;B260</x:f>
        <x:v>43967|Новосибирск</x:v>
      </x:c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1" customHeight="1">
      <x:c r="A261" s="5" t="n">
        <x:v>43967</x:v>
      </x:c>
      <x:c r="B261" s="1" t="str">
        <x:v>Пермь</x:v>
      </x:c>
      <x:c r="C261" s="1" t="n">
        <x:v>15</x:v>
      </x:c>
      <x:c r="D261" s="1" t="n">
        <x:v>1111</x:v>
      </x:c>
      <x:c r="E261" s="1" t="n">
        <x:v>992</x:v>
      </x:c>
      <x:c r="F261" s="1" t="str">
        <x:f>A261&amp;"|"&amp;B261</x:f>
        <x:v>43967|Пермь</x:v>
      </x:c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1" customHeight="1">
      <x:c r="A262" s="5" t="n">
        <x:v>43967</x:v>
      </x:c>
      <x:c r="B262" s="1" t="str">
        <x:v>Ростов-на-Дону</x:v>
      </x:c>
      <x:c r="C262" s="1" t="n">
        <x:v>15</x:v>
      </x:c>
      <x:c r="D262" s="1" t="n">
        <x:v>747</x:v>
      </x:c>
      <x:c r="E262" s="1" t="n">
        <x:v>647</x:v>
      </x:c>
      <x:c r="F262" s="1" t="str">
        <x:f>A262&amp;"|"&amp;B262</x:f>
        <x:v>43967|Ростов-на-Дону</x:v>
      </x:c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1" customHeight="1">
      <x:c r="A263" s="5" t="n">
        <x:v>43967</x:v>
      </x:c>
      <x:c r="B263" s="1" t="str">
        <x:v>Санкт-Петербург Север</x:v>
      </x:c>
      <x:c r="C263" s="1" t="n">
        <x:v>125</x:v>
      </x:c>
      <x:c r="D263" s="1" t="n">
        <x:v>22291</x:v>
      </x:c>
      <x:c r="E263" s="1" t="n">
        <x:v>20635</x:v>
      </x:c>
      <x:c r="F263" s="1" t="str">
        <x:f>A263&amp;"|"&amp;B263</x:f>
        <x:v>43967|Санкт-Петербург Север</x:v>
      </x:c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1" customHeight="1">
      <x:c r="A264" s="5" t="n">
        <x:v>43967</x:v>
      </x:c>
      <x:c r="B264" s="1" t="str">
        <x:v>Санкт-Петербург Юг</x:v>
      </x:c>
      <x:c r="C264" s="1" t="n">
        <x:v>129</x:v>
      </x:c>
      <x:c r="D264" s="1" t="n">
        <x:v>17914</x:v>
      </x:c>
      <x:c r="E264" s="1" t="n">
        <x:v>16631</x:v>
      </x:c>
      <x:c r="F264" s="1" t="str">
        <x:f>A264&amp;"|"&amp;B264</x:f>
        <x:v>43967|Санкт-Петербург Юг</x:v>
      </x:c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1" customHeight="1">
      <x:c r="A265" s="5" t="n">
        <x:v>43967</x:v>
      </x:c>
      <x:c r="B265" s="1" t="str">
        <x:v>Тольятти</x:v>
      </x:c>
      <x:c r="C265" s="1" t="n">
        <x:v>10</x:v>
      </x:c>
      <x:c r="D265" s="1" t="n">
        <x:v>760</x:v>
      </x:c>
      <x:c r="E265" s="1" t="n">
        <x:v>672</x:v>
      </x:c>
      <x:c r="F265" s="1" t="str">
        <x:f>A265&amp;"|"&amp;B265</x:f>
        <x:v>43967|Тольятти</x:v>
      </x:c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1" customHeight="1">
      <x:c r="A266" s="5" t="n">
        <x:v>43968</x:v>
      </x:c>
      <x:c r="B266" s="1" t="str">
        <x:v>Волгоград</x:v>
      </x:c>
      <x:c r="C266" s="1" t="n">
        <x:v>36</x:v>
      </x:c>
      <x:c r="D266" s="1" t="n">
        <x:v>4918</x:v>
      </x:c>
      <x:c r="E266" s="1" t="n">
        <x:v>4554</x:v>
      </x:c>
      <x:c r="F266" s="1" t="str">
        <x:f>A266&amp;"|"&amp;B266</x:f>
        <x:v>43968|Волгоград</x:v>
      </x:c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1" customHeight="1">
      <x:c r="A267" s="5" t="n">
        <x:v>43968</x:v>
      </x:c>
      <x:c r="B267" s="1" t="str">
        <x:v>Екатеринбург</x:v>
      </x:c>
      <x:c r="C267" s="1" t="n">
        <x:v>31</x:v>
      </x:c>
      <x:c r="D267" s="1" t="n">
        <x:v>5206</x:v>
      </x:c>
      <x:c r="E267" s="1" t="n">
        <x:v>4843</x:v>
      </x:c>
      <x:c r="F267" s="1" t="str">
        <x:f>A267&amp;"|"&amp;B267</x:f>
        <x:v>43968|Екатеринбург</x:v>
      </x:c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1" customHeight="1">
      <x:c r="A268" s="5" t="n">
        <x:v>43968</x:v>
      </x:c>
      <x:c r="B268" s="1" t="str">
        <x:v>Казань</x:v>
      </x:c>
      <x:c r="C268" s="1" t="n">
        <x:v>21</x:v>
      </x:c>
      <x:c r="D268" s="1" t="n">
        <x:v>2054</x:v>
      </x:c>
      <x:c r="E268" s="1" t="n">
        <x:v>1883</x:v>
      </x:c>
      <x:c r="F268" s="1" t="str">
        <x:f>A268&amp;"|"&amp;B268</x:f>
        <x:v>43968|Казань</x:v>
      </x:c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1" customHeight="1">
      <x:c r="A269" s="5" t="n">
        <x:v>43968</x:v>
      </x:c>
      <x:c r="B269" s="1" t="str">
        <x:v>Кемерово</x:v>
      </x:c>
      <x:c r="C269" s="1" t="n">
        <x:v>21</x:v>
      </x:c>
      <x:c r="D269" s="1" t="n">
        <x:v>1874</x:v>
      </x:c>
      <x:c r="E269" s="1" t="n">
        <x:v>1705</x:v>
      </x:c>
      <x:c r="F269" s="1" t="str">
        <x:f>A269&amp;"|"&amp;B269</x:f>
        <x:v>43968|Кемерово</x:v>
      </x:c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1" customHeight="1">
      <x:c r="A270" s="5" t="n">
        <x:v>43968</x:v>
      </x:c>
      <x:c r="B270" s="1" t="str">
        <x:v>Краснодар</x:v>
      </x:c>
      <x:c r="C270" s="1" t="n">
        <x:v>19</x:v>
      </x:c>
      <x:c r="D270" s="1" t="n">
        <x:v>1790</x:v>
      </x:c>
      <x:c r="E270" s="1" t="n">
        <x:v>1633</x:v>
      </x:c>
      <x:c r="F270" s="1" t="str">
        <x:f>A270&amp;"|"&amp;B270</x:f>
        <x:v>43968|Краснодар</x:v>
      </x:c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1" customHeight="1">
      <x:c r="A271" s="5" t="n">
        <x:v>43968</x:v>
      </x:c>
      <x:c r="B271" s="1" t="str">
        <x:v>Москва Восток</x:v>
      </x:c>
      <x:c r="C271" s="1" t="n">
        <x:v>54</x:v>
      </x:c>
      <x:c r="D271" s="1" t="n">
        <x:v>11128</x:v>
      </x:c>
      <x:c r="E271" s="1" t="n">
        <x:v>10467</x:v>
      </x:c>
      <x:c r="F271" s="1" t="str">
        <x:f>A271&amp;"|"&amp;B271</x:f>
        <x:v>43968|Москва Восток</x:v>
      </x:c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1" customHeight="1">
      <x:c r="A272" s="5" t="n">
        <x:v>43968</x:v>
      </x:c>
      <x:c r="B272" s="1" t="str">
        <x:v>Москва Запад</x:v>
      </x:c>
      <x:c r="C272" s="1" t="n">
        <x:v>60</x:v>
      </x:c>
      <x:c r="D272" s="1" t="n">
        <x:v>11698</x:v>
      </x:c>
      <x:c r="E272" s="1" t="n">
        <x:v>10989</x:v>
      </x:c>
      <x:c r="F272" s="1" t="str">
        <x:f>A272&amp;"|"&amp;B272</x:f>
        <x:v>43968|Москва Запад</x:v>
      </x:c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1" customHeight="1">
      <x:c r="A273" s="5" t="n">
        <x:v>43968</x:v>
      </x:c>
      <x:c r="B273" s="1" t="str">
        <x:v>Нижний Новгород</x:v>
      </x:c>
      <x:c r="C273" s="1" t="n">
        <x:v>19</x:v>
      </x:c>
      <x:c r="D273" s="1" t="n">
        <x:v>1871</x:v>
      </x:c>
      <x:c r="E273" s="1" t="n">
        <x:v>1660</x:v>
      </x:c>
      <x:c r="F273" s="1" t="str">
        <x:f>A273&amp;"|"&amp;B273</x:f>
        <x:v>43968|Нижний Новгород</x:v>
      </x:c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1" customHeight="1">
      <x:c r="A274" s="5" t="n">
        <x:v>43968</x:v>
      </x:c>
      <x:c r="B274" s="1" t="str">
        <x:v>Новосибирск</x:v>
      </x:c>
      <x:c r="C274" s="1" t="n">
        <x:v>16</x:v>
      </x:c>
      <x:c r="D274" s="1" t="n">
        <x:v>859</x:v>
      </x:c>
      <x:c r="E274" s="1" t="n">
        <x:v>746</x:v>
      </x:c>
      <x:c r="F274" s="1" t="str">
        <x:f>A274&amp;"|"&amp;B274</x:f>
        <x:v>43968|Новосибирск</x:v>
      </x:c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1" customHeight="1">
      <x:c r="A275" s="5" t="n">
        <x:v>43968</x:v>
      </x:c>
      <x:c r="B275" s="1" t="str">
        <x:v>Пермь</x:v>
      </x:c>
      <x:c r="C275" s="1" t="n">
        <x:v>15</x:v>
      </x:c>
      <x:c r="D275" s="1" t="n">
        <x:v>971</x:v>
      </x:c>
      <x:c r="E275" s="1" t="n">
        <x:v>856</x:v>
      </x:c>
      <x:c r="F275" s="1" t="str">
        <x:f>A275&amp;"|"&amp;B275</x:f>
        <x:v>43968|Пермь</x:v>
      </x:c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1" customHeight="1">
      <x:c r="A276" s="5" t="n">
        <x:v>43968</x:v>
      </x:c>
      <x:c r="B276" s="1" t="str">
        <x:v>Ростов-на-Дону</x:v>
      </x:c>
      <x:c r="C276" s="1" t="n">
        <x:v>15</x:v>
      </x:c>
      <x:c r="D276" s="1" t="n">
        <x:v>692</x:v>
      </x:c>
      <x:c r="E276" s="1" t="n">
        <x:v>591</x:v>
      </x:c>
      <x:c r="F276" s="1" t="str">
        <x:f>A276&amp;"|"&amp;B276</x:f>
        <x:v>43968|Ростов-на-Дону</x:v>
      </x:c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1" customHeight="1">
      <x:c r="A277" s="5" t="n">
        <x:v>43968</x:v>
      </x:c>
      <x:c r="B277" s="1" t="str">
        <x:v>Санкт-Петербург Север</x:v>
      </x:c>
      <x:c r="C277" s="1" t="n">
        <x:v>125</x:v>
      </x:c>
      <x:c r="D277" s="1" t="n">
        <x:v>20079</x:v>
      </x:c>
      <x:c r="E277" s="1" t="n">
        <x:v>18721</x:v>
      </x:c>
      <x:c r="F277" s="1" t="str">
        <x:f>A277&amp;"|"&amp;B277</x:f>
        <x:v>43968|Санкт-Петербург Север</x:v>
      </x:c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1" customHeight="1">
      <x:c r="A278" s="5" t="n">
        <x:v>43968</x:v>
      </x:c>
      <x:c r="B278" s="1" t="str">
        <x:v>Санкт-Петербург Юг</x:v>
      </x:c>
      <x:c r="C278" s="1" t="n">
        <x:v>129</x:v>
      </x:c>
      <x:c r="D278" s="1" t="n">
        <x:v>15744</x:v>
      </x:c>
      <x:c r="E278" s="1" t="n">
        <x:v>14685</x:v>
      </x:c>
      <x:c r="F278" s="1" t="str">
        <x:f>A278&amp;"|"&amp;B278</x:f>
        <x:v>43968|Санкт-Петербург Юг</x:v>
      </x:c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1" customHeight="1">
      <x:c r="A279" s="5" t="n">
        <x:v>43968</x:v>
      </x:c>
      <x:c r="B279" s="1" t="str">
        <x:v>Тольятти</x:v>
      </x:c>
      <x:c r="C279" s="1" t="n">
        <x:v>10</x:v>
      </x:c>
      <x:c r="D279" s="1" t="n">
        <x:v>591</x:v>
      </x:c>
      <x:c r="E279" s="1" t="n">
        <x:v>513</x:v>
      </x:c>
      <x:c r="F279" s="1" t="str">
        <x:f>A279&amp;"|"&amp;B279</x:f>
        <x:v>43968|Тольятти</x:v>
      </x:c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1" customHeight="1">
      <x:c r="A280" s="5" t="n">
        <x:v>43969</x:v>
      </x:c>
      <x:c r="B280" s="1" t="str">
        <x:v>Волгоград</x:v>
      </x:c>
      <x:c r="C280" s="1" t="n">
        <x:v>36</x:v>
      </x:c>
      <x:c r="D280" s="1" t="n">
        <x:v>4885</x:v>
      </x:c>
      <x:c r="E280" s="1" t="n">
        <x:v>4502</x:v>
      </x:c>
      <x:c r="F280" s="1" t="str">
        <x:f>A280&amp;"|"&amp;B280</x:f>
        <x:v>43969|Волгоград</x:v>
      </x:c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1" customHeight="1">
      <x:c r="A281" s="5" t="n">
        <x:v>43969</x:v>
      </x:c>
      <x:c r="B281" s="1" t="str">
        <x:v>Екатеринбург</x:v>
      </x:c>
      <x:c r="C281" s="1" t="n">
        <x:v>31</x:v>
      </x:c>
      <x:c r="D281" s="1" t="n">
        <x:v>5165</x:v>
      </x:c>
      <x:c r="E281" s="1" t="n">
        <x:v>4813</x:v>
      </x:c>
      <x:c r="F281" s="1" t="str">
        <x:f>A281&amp;"|"&amp;B281</x:f>
        <x:v>43969|Екатеринбург</x:v>
      </x:c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1" customHeight="1">
      <x:c r="A282" s="5" t="n">
        <x:v>43969</x:v>
      </x:c>
      <x:c r="B282" s="1" t="str">
        <x:v>Казань</x:v>
      </x:c>
      <x:c r="C282" s="1" t="n">
        <x:v>21</x:v>
      </x:c>
      <x:c r="D282" s="1" t="n">
        <x:v>2136</x:v>
      </x:c>
      <x:c r="E282" s="1" t="n">
        <x:v>1947</x:v>
      </x:c>
      <x:c r="F282" s="1" t="str">
        <x:f>A282&amp;"|"&amp;B282</x:f>
        <x:v>43969|Казань</x:v>
      </x:c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1" customHeight="1">
      <x:c r="A283" s="5" t="n">
        <x:v>43969</x:v>
      </x:c>
      <x:c r="B283" s="1" t="str">
        <x:v>Кемерово</x:v>
      </x:c>
      <x:c r="C283" s="1" t="n">
        <x:v>21</x:v>
      </x:c>
      <x:c r="D283" s="1" t="n">
        <x:v>1834</x:v>
      </x:c>
      <x:c r="E283" s="1" t="n">
        <x:v>1660</x:v>
      </x:c>
      <x:c r="F283" s="1" t="str">
        <x:f>A283&amp;"|"&amp;B283</x:f>
        <x:v>43969|Кемерово</x:v>
      </x:c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1" customHeight="1">
      <x:c r="A284" s="5" t="n">
        <x:v>43969</x:v>
      </x:c>
      <x:c r="B284" s="1" t="str">
        <x:v>Краснодар</x:v>
      </x:c>
      <x:c r="C284" s="1" t="n">
        <x:v>19</x:v>
      </x:c>
      <x:c r="D284" s="1" t="n">
        <x:v>1741</x:v>
      </x:c>
      <x:c r="E284" s="1" t="n">
        <x:v>1597</x:v>
      </x:c>
      <x:c r="F284" s="1" t="str">
        <x:f>A284&amp;"|"&amp;B284</x:f>
        <x:v>43969|Краснодар</x:v>
      </x:c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1" customHeight="1">
      <x:c r="A285" s="5" t="n">
        <x:v>43969</x:v>
      </x:c>
      <x:c r="B285" s="1" t="str">
        <x:v>Москва Восток</x:v>
      </x:c>
      <x:c r="C285" s="1" t="n">
        <x:v>54</x:v>
      </x:c>
      <x:c r="D285" s="1" t="n">
        <x:v>12012</x:v>
      </x:c>
      <x:c r="E285" s="1" t="n">
        <x:v>11308</x:v>
      </x:c>
      <x:c r="F285" s="1" t="str">
        <x:f>A285&amp;"|"&amp;B285</x:f>
        <x:v>43969|Москва Восток</x:v>
      </x:c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1" customHeight="1">
      <x:c r="A286" s="5" t="n">
        <x:v>43969</x:v>
      </x:c>
      <x:c r="B286" s="1" t="str">
        <x:v>Москва Запад</x:v>
      </x:c>
      <x:c r="C286" s="1" t="n">
        <x:v>60</x:v>
      </x:c>
      <x:c r="D286" s="1" t="n">
        <x:v>12460</x:v>
      </x:c>
      <x:c r="E286" s="1" t="n">
        <x:v>11665</x:v>
      </x:c>
      <x:c r="F286" s="1" t="str">
        <x:f>A286&amp;"|"&amp;B286</x:f>
        <x:v>43969|Москва Запад</x:v>
      </x:c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1" customHeight="1">
      <x:c r="A287" s="5" t="n">
        <x:v>43969</x:v>
      </x:c>
      <x:c r="B287" s="1" t="str">
        <x:v>Нижний Новгород</x:v>
      </x:c>
      <x:c r="C287" s="1" t="n">
        <x:v>19</x:v>
      </x:c>
      <x:c r="D287" s="1" t="n">
        <x:v>1858</x:v>
      </x:c>
      <x:c r="E287" s="1" t="n">
        <x:v>1648</x:v>
      </x:c>
      <x:c r="F287" s="1" t="str">
        <x:f>A287&amp;"|"&amp;B287</x:f>
        <x:v>43969|Нижний Новгород</x:v>
      </x:c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1" customHeight="1">
      <x:c r="A288" s="5" t="n">
        <x:v>43969</x:v>
      </x:c>
      <x:c r="B288" s="1" t="str">
        <x:v>Новосибирск</x:v>
      </x:c>
      <x:c r="C288" s="1" t="n">
        <x:v>16</x:v>
      </x:c>
      <x:c r="D288" s="1" t="n">
        <x:v>864</x:v>
      </x:c>
      <x:c r="E288" s="1" t="n">
        <x:v>765</x:v>
      </x:c>
      <x:c r="F288" s="1" t="str">
        <x:f>A288&amp;"|"&amp;B288</x:f>
        <x:v>43969|Новосибирск</x:v>
      </x:c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1" customHeight="1">
      <x:c r="A289" s="5" t="n">
        <x:v>43969</x:v>
      </x:c>
      <x:c r="B289" s="1" t="str">
        <x:v>Пермь</x:v>
      </x:c>
      <x:c r="C289" s="1" t="n">
        <x:v>16</x:v>
      </x:c>
      <x:c r="D289" s="1" t="n">
        <x:v>925</x:v>
      </x:c>
      <x:c r="E289" s="1" t="n">
        <x:v>816</x:v>
      </x:c>
      <x:c r="F289" s="1" t="str">
        <x:f>A289&amp;"|"&amp;B289</x:f>
        <x:v>43969|Пермь</x:v>
      </x:c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1" customHeight="1">
      <x:c r="A290" s="5" t="n">
        <x:v>43969</x:v>
      </x:c>
      <x:c r="B290" s="1" t="str">
        <x:v>Ростов-на-Дону</x:v>
      </x:c>
      <x:c r="C290" s="1" t="n">
        <x:v>15</x:v>
      </x:c>
      <x:c r="D290" s="1" t="n">
        <x:v>729</x:v>
      </x:c>
      <x:c r="E290" s="1" t="n">
        <x:v>636</x:v>
      </x:c>
      <x:c r="F290" s="1" t="str">
        <x:f>A290&amp;"|"&amp;B290</x:f>
        <x:v>43969|Ростов-на-Дону</x:v>
      </x:c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1" customHeight="1">
      <x:c r="A291" s="5" t="n">
        <x:v>43969</x:v>
      </x:c>
      <x:c r="B291" s="1" t="str">
        <x:v>Санкт-Петербург Север</x:v>
      </x:c>
      <x:c r="C291" s="1" t="n">
        <x:v>125</x:v>
      </x:c>
      <x:c r="D291" s="1" t="n">
        <x:v>20449</x:v>
      </x:c>
      <x:c r="E291" s="1" t="n">
        <x:v>19060</x:v>
      </x:c>
      <x:c r="F291" s="1" t="str">
        <x:f>A291&amp;"|"&amp;B291</x:f>
        <x:v>43969|Санкт-Петербург Север</x:v>
      </x:c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1" customHeight="1">
      <x:c r="A292" s="5" t="n">
        <x:v>43969</x:v>
      </x:c>
      <x:c r="B292" s="1" t="str">
        <x:v>Санкт-Петербург Юг</x:v>
      </x:c>
      <x:c r="C292" s="1" t="n">
        <x:v>129</x:v>
      </x:c>
      <x:c r="D292" s="1" t="n">
        <x:v>16110</x:v>
      </x:c>
      <x:c r="E292" s="1" t="n">
        <x:v>14992</x:v>
      </x:c>
      <x:c r="F292" s="1" t="str">
        <x:f>A292&amp;"|"&amp;B292</x:f>
        <x:v>43969|Санкт-Петербург Юг</x:v>
      </x:c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1" customHeight="1">
      <x:c r="A293" s="5" t="n">
        <x:v>43969</x:v>
      </x:c>
      <x:c r="B293" s="1" t="str">
        <x:v>Тольятти</x:v>
      </x:c>
      <x:c r="C293" s="1" t="n">
        <x:v>10</x:v>
      </x:c>
      <x:c r="D293" s="1" t="n">
        <x:v>645</x:v>
      </x:c>
      <x:c r="E293" s="1" t="n">
        <x:v>565</x:v>
      </x:c>
      <x:c r="F293" s="1" t="str">
        <x:f>A293&amp;"|"&amp;B293</x:f>
        <x:v>43969|Тольятти</x:v>
      </x:c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1" customHeight="1">
      <x:c r="A294" s="5" t="n">
        <x:v>43970</x:v>
      </x:c>
      <x:c r="B294" s="1" t="str">
        <x:v>Волгоград</x:v>
      </x:c>
      <x:c r="C294" s="1" t="n">
        <x:v>36</x:v>
      </x:c>
      <x:c r="D294" s="1" t="n">
        <x:v>5094</x:v>
      </x:c>
      <x:c r="E294" s="1" t="n">
        <x:v>4716</x:v>
      </x:c>
      <x:c r="F294" s="1" t="str">
        <x:f>A294&amp;"|"&amp;B294</x:f>
        <x:v>43970|Волгоград</x:v>
      </x:c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1" customHeight="1">
      <x:c r="A295" s="5" t="n">
        <x:v>43970</x:v>
      </x:c>
      <x:c r="B295" s="1" t="str">
        <x:v>Екатеринбург</x:v>
      </x:c>
      <x:c r="C295" s="1" t="n">
        <x:v>31</x:v>
      </x:c>
      <x:c r="D295" s="1" t="n">
        <x:v>5389</x:v>
      </x:c>
      <x:c r="E295" s="1" t="n">
        <x:v>5024</x:v>
      </x:c>
      <x:c r="F295" s="1" t="str">
        <x:f>A295&amp;"|"&amp;B295</x:f>
        <x:v>43970|Екатеринбург</x:v>
      </x:c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1" customHeight="1">
      <x:c r="A296" s="5" t="n">
        <x:v>43970</x:v>
      </x:c>
      <x:c r="B296" s="1" t="str">
        <x:v>Казань</x:v>
      </x:c>
      <x:c r="C296" s="1" t="n">
        <x:v>21</x:v>
      </x:c>
      <x:c r="D296" s="1" t="n">
        <x:v>2245</x:v>
      </x:c>
      <x:c r="E296" s="1" t="n">
        <x:v>2053</x:v>
      </x:c>
      <x:c r="F296" s="1" t="str">
        <x:f>A296&amp;"|"&amp;B296</x:f>
        <x:v>43970|Казань</x:v>
      </x:c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1" customHeight="1">
      <x:c r="A297" s="5" t="n">
        <x:v>43970</x:v>
      </x:c>
      <x:c r="B297" s="1" t="str">
        <x:v>Кемерово</x:v>
      </x:c>
      <x:c r="C297" s="1" t="n">
        <x:v>21</x:v>
      </x:c>
      <x:c r="D297" s="1" t="n">
        <x:v>1860</x:v>
      </x:c>
      <x:c r="E297" s="1" t="n">
        <x:v>1704</x:v>
      </x:c>
      <x:c r="F297" s="1" t="str">
        <x:f>A297&amp;"|"&amp;B297</x:f>
        <x:v>43970|Кемерово</x:v>
      </x:c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1" customHeight="1">
      <x:c r="A298" s="5" t="n">
        <x:v>43970</x:v>
      </x:c>
      <x:c r="B298" s="1" t="str">
        <x:v>Краснодар</x:v>
      </x:c>
      <x:c r="C298" s="1" t="n">
        <x:v>19</x:v>
      </x:c>
      <x:c r="D298" s="1" t="n">
        <x:v>1831</x:v>
      </x:c>
      <x:c r="E298" s="1" t="n">
        <x:v>1667</x:v>
      </x:c>
      <x:c r="F298" s="1" t="str">
        <x:f>A298&amp;"|"&amp;B298</x:f>
        <x:v>43970|Краснодар</x:v>
      </x:c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1" customHeight="1">
      <x:c r="A299" s="5" t="n">
        <x:v>43970</x:v>
      </x:c>
      <x:c r="B299" s="1" t="str">
        <x:v>Москва Восток</x:v>
      </x:c>
      <x:c r="C299" s="1" t="n">
        <x:v>54</x:v>
      </x:c>
      <x:c r="D299" s="1" t="n">
        <x:v>13070</x:v>
      </x:c>
      <x:c r="E299" s="1" t="n">
        <x:v>12244</x:v>
      </x:c>
      <x:c r="F299" s="1" t="str">
        <x:f>A299&amp;"|"&amp;B299</x:f>
        <x:v>43970|Москва Восток</x:v>
      </x:c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1" customHeight="1">
      <x:c r="A300" s="5" t="n">
        <x:v>43970</x:v>
      </x:c>
      <x:c r="B300" s="1" t="str">
        <x:v>Москва Запад</x:v>
      </x:c>
      <x:c r="C300" s="1" t="n">
        <x:v>60</x:v>
      </x:c>
      <x:c r="D300" s="1" t="n">
        <x:v>13867</x:v>
      </x:c>
      <x:c r="E300" s="1" t="n">
        <x:v>12987</x:v>
      </x:c>
      <x:c r="F300" s="1" t="str">
        <x:f>A300&amp;"|"&amp;B300</x:f>
        <x:v>43970|Москва Запад</x:v>
      </x:c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1" customHeight="1">
      <x:c r="A301" s="5" t="n">
        <x:v>43970</x:v>
      </x:c>
      <x:c r="B301" s="1" t="str">
        <x:v>Нижний Новгород</x:v>
      </x:c>
      <x:c r="C301" s="1" t="n">
        <x:v>19</x:v>
      </x:c>
      <x:c r="D301" s="1" t="n">
        <x:v>1999</x:v>
      </x:c>
      <x:c r="E301" s="1" t="n">
        <x:v>1799</x:v>
      </x:c>
      <x:c r="F301" s="1" t="str">
        <x:f>A301&amp;"|"&amp;B301</x:f>
        <x:v>43970|Нижний Новгород</x:v>
      </x:c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1" customHeight="1">
      <x:c r="A302" s="5" t="n">
        <x:v>43970</x:v>
      </x:c>
      <x:c r="B302" s="1" t="str">
        <x:v>Новосибирск</x:v>
      </x:c>
      <x:c r="C302" s="1" t="n">
        <x:v>17</x:v>
      </x:c>
      <x:c r="D302" s="1" t="n">
        <x:v>857</x:v>
      </x:c>
      <x:c r="E302" s="1" t="n">
        <x:v>757</x:v>
      </x:c>
      <x:c r="F302" s="1" t="str">
        <x:f>A302&amp;"|"&amp;B302</x:f>
        <x:v>43970|Новосибирск</x:v>
      </x:c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1" customHeight="1">
      <x:c r="A303" s="5" t="n">
        <x:v>43970</x:v>
      </x:c>
      <x:c r="B303" s="1" t="str">
        <x:v>Пермь</x:v>
      </x:c>
      <x:c r="C303" s="1" t="n">
        <x:v>16</x:v>
      </x:c>
      <x:c r="D303" s="1" t="n">
        <x:v>1012</x:v>
      </x:c>
      <x:c r="E303" s="1" t="n">
        <x:v>900</x:v>
      </x:c>
      <x:c r="F303" s="1" t="str">
        <x:f>A303&amp;"|"&amp;B303</x:f>
        <x:v>43970|Пермь</x:v>
      </x:c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1" customHeight="1">
      <x:c r="A304" s="5" t="n">
        <x:v>43970</x:v>
      </x:c>
      <x:c r="B304" s="1" t="str">
        <x:v>Ростов-на-Дону</x:v>
      </x:c>
      <x:c r="C304" s="1" t="n">
        <x:v>15</x:v>
      </x:c>
      <x:c r="D304" s="1" t="n">
        <x:v>930</x:v>
      </x:c>
      <x:c r="E304" s="1" t="n">
        <x:v>827</x:v>
      </x:c>
      <x:c r="F304" s="1" t="str">
        <x:f>A304&amp;"|"&amp;B304</x:f>
        <x:v>43970|Ростов-на-Дону</x:v>
      </x:c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1" customHeight="1">
      <x:c r="A305" s="5" t="n">
        <x:v>43970</x:v>
      </x:c>
      <x:c r="B305" s="1" t="str">
        <x:v>Санкт-Петербург Север</x:v>
      </x:c>
      <x:c r="C305" s="1" t="n">
        <x:v>125</x:v>
      </x:c>
      <x:c r="D305" s="1" t="n">
        <x:v>20771</x:v>
      </x:c>
      <x:c r="E305" s="1" t="n">
        <x:v>19338</x:v>
      </x:c>
      <x:c r="F305" s="1" t="str">
        <x:f>A305&amp;"|"&amp;B305</x:f>
        <x:v>43970|Санкт-Петербург Север</x:v>
      </x:c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1" customHeight="1">
      <x:c r="A306" s="5" t="n">
        <x:v>43970</x:v>
      </x:c>
      <x:c r="B306" s="1" t="str">
        <x:v>Санкт-Петербург Юг</x:v>
      </x:c>
      <x:c r="C306" s="1" t="n">
        <x:v>129</x:v>
      </x:c>
      <x:c r="D306" s="1" t="n">
        <x:v>16191</x:v>
      </x:c>
      <x:c r="E306" s="1" t="n">
        <x:v>15102</x:v>
      </x:c>
      <x:c r="F306" s="1" t="str">
        <x:f>A306&amp;"|"&amp;B306</x:f>
        <x:v>43970|Санкт-Петербург Юг</x:v>
      </x:c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1" customHeight="1">
      <x:c r="A307" s="5" t="n">
        <x:v>43970</x:v>
      </x:c>
      <x:c r="B307" s="1" t="str">
        <x:v>Тольятти</x:v>
      </x:c>
      <x:c r="C307" s="1" t="n">
        <x:v>10</x:v>
      </x:c>
      <x:c r="D307" s="1" t="n">
        <x:v>649</x:v>
      </x:c>
      <x:c r="E307" s="1" t="n">
        <x:v>568</x:v>
      </x:c>
      <x:c r="F307" s="1" t="str">
        <x:f>A307&amp;"|"&amp;B307</x:f>
        <x:v>43970|Тольятти</x:v>
      </x:c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1" customHeight="1">
      <x:c r="A308" s="5" t="n">
        <x:v>43971</x:v>
      </x:c>
      <x:c r="B308" s="1" t="str">
        <x:v>Волгоград</x:v>
      </x:c>
      <x:c r="C308" s="1" t="n">
        <x:v>36</x:v>
      </x:c>
      <x:c r="D308" s="1" t="n">
        <x:v>5914</x:v>
      </x:c>
      <x:c r="E308" s="1" t="n">
        <x:v>5384</x:v>
      </x:c>
      <x:c r="F308" s="1" t="str">
        <x:f>A308&amp;"|"&amp;B308</x:f>
        <x:v>43971|Волгоград</x:v>
      </x:c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1" customHeight="1">
      <x:c r="A309" s="5" t="n">
        <x:v>43971</x:v>
      </x:c>
      <x:c r="B309" s="1" t="str">
        <x:v>Екатеринбург</x:v>
      </x:c>
      <x:c r="C309" s="1" t="n">
        <x:v>31</x:v>
      </x:c>
      <x:c r="D309" s="1" t="n">
        <x:v>5698</x:v>
      </x:c>
      <x:c r="E309" s="1" t="n">
        <x:v>5258</x:v>
      </x:c>
      <x:c r="F309" s="1" t="str">
        <x:f>A309&amp;"|"&amp;B309</x:f>
        <x:v>43971|Екатеринбург</x:v>
      </x:c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1" customHeight="1">
      <x:c r="A310" s="5" t="n">
        <x:v>43971</x:v>
      </x:c>
      <x:c r="B310" s="1" t="str">
        <x:v>Казань</x:v>
      </x:c>
      <x:c r="C310" s="1" t="n">
        <x:v>21</x:v>
      </x:c>
      <x:c r="D310" s="1" t="n">
        <x:v>2410</x:v>
      </x:c>
      <x:c r="E310" s="1" t="n">
        <x:v>2202</x:v>
      </x:c>
      <x:c r="F310" s="1" t="str">
        <x:f>A310&amp;"|"&amp;B310</x:f>
        <x:v>43971|Казань</x:v>
      </x:c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1" customHeight="1">
      <x:c r="A311" s="5" t="n">
        <x:v>43971</x:v>
      </x:c>
      <x:c r="B311" s="1" t="str">
        <x:v>Кемерово</x:v>
      </x:c>
      <x:c r="C311" s="1" t="n">
        <x:v>21</x:v>
      </x:c>
      <x:c r="D311" s="1" t="n">
        <x:v>1921</x:v>
      </x:c>
      <x:c r="E311" s="1" t="n">
        <x:v>1767</x:v>
      </x:c>
      <x:c r="F311" s="1" t="str">
        <x:f>A311&amp;"|"&amp;B311</x:f>
        <x:v>43971|Кемерово</x:v>
      </x:c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1" customHeight="1">
      <x:c r="A312" s="5" t="n">
        <x:v>43971</x:v>
      </x:c>
      <x:c r="B312" s="1" t="str">
        <x:v>Краснодар</x:v>
      </x:c>
      <x:c r="C312" s="1" t="n">
        <x:v>19</x:v>
      </x:c>
      <x:c r="D312" s="1" t="n">
        <x:v>1823</x:v>
      </x:c>
      <x:c r="E312" s="1" t="n">
        <x:v>1678</x:v>
      </x:c>
      <x:c r="F312" s="1" t="str">
        <x:f>A312&amp;"|"&amp;B312</x:f>
        <x:v>43971|Краснодар</x:v>
      </x:c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1" customHeight="1">
      <x:c r="A313" s="5" t="n">
        <x:v>43971</x:v>
      </x:c>
      <x:c r="B313" s="1" t="str">
        <x:v>Москва Восток</x:v>
      </x:c>
      <x:c r="C313" s="1" t="n">
        <x:v>54</x:v>
      </x:c>
      <x:c r="D313" s="1" t="n">
        <x:v>13298</x:v>
      </x:c>
      <x:c r="E313" s="1" t="n">
        <x:v>12428</x:v>
      </x:c>
      <x:c r="F313" s="1" t="str">
        <x:f>A313&amp;"|"&amp;B313</x:f>
        <x:v>43971|Москва Восток</x:v>
      </x:c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1" customHeight="1">
      <x:c r="A314" s="5" t="n">
        <x:v>43971</x:v>
      </x:c>
      <x:c r="B314" s="1" t="str">
        <x:v>Москва Запад</x:v>
      </x:c>
      <x:c r="C314" s="1" t="n">
        <x:v>60</x:v>
      </x:c>
      <x:c r="D314" s="1" t="n">
        <x:v>13792</x:v>
      </x:c>
      <x:c r="E314" s="1" t="n">
        <x:v>12834</x:v>
      </x:c>
      <x:c r="F314" s="1" t="str">
        <x:f>A314&amp;"|"&amp;B314</x:f>
        <x:v>43971|Москва Запад</x:v>
      </x:c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1" customHeight="1">
      <x:c r="A315" s="5" t="n">
        <x:v>43971</x:v>
      </x:c>
      <x:c r="B315" s="1" t="str">
        <x:v>Нижний Новгород</x:v>
      </x:c>
      <x:c r="C315" s="1" t="n">
        <x:v>19</x:v>
      </x:c>
      <x:c r="D315" s="1" t="n">
        <x:v>1889</x:v>
      </x:c>
      <x:c r="E315" s="1" t="n">
        <x:v>1690</x:v>
      </x:c>
      <x:c r="F315" s="1" t="str">
        <x:f>A315&amp;"|"&amp;B315</x:f>
        <x:v>43971|Нижний Новгород</x:v>
      </x:c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1" customHeight="1">
      <x:c r="A316" s="5" t="n">
        <x:v>43971</x:v>
      </x:c>
      <x:c r="B316" s="1" t="str">
        <x:v>Новосибирск</x:v>
      </x:c>
      <x:c r="C316" s="1" t="n">
        <x:v>17</x:v>
      </x:c>
      <x:c r="D316" s="1" t="n">
        <x:v>890</x:v>
      </x:c>
      <x:c r="E316" s="1" t="n">
        <x:v>794</x:v>
      </x:c>
      <x:c r="F316" s="1" t="str">
        <x:f>A316&amp;"|"&amp;B316</x:f>
        <x:v>43971|Новосибирск</x:v>
      </x:c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1" customHeight="1">
      <x:c r="A317" s="5" t="n">
        <x:v>43971</x:v>
      </x:c>
      <x:c r="B317" s="1" t="str">
        <x:v>Пермь</x:v>
      </x:c>
      <x:c r="C317" s="1" t="n">
        <x:v>16</x:v>
      </x:c>
      <x:c r="D317" s="1" t="n">
        <x:v>1050</x:v>
      </x:c>
      <x:c r="E317" s="1" t="n">
        <x:v>938</x:v>
      </x:c>
      <x:c r="F317" s="1" t="str">
        <x:f>A317&amp;"|"&amp;B317</x:f>
        <x:v>43971|Пермь</x:v>
      </x:c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1" customHeight="1">
      <x:c r="A318" s="5" t="n">
        <x:v>43971</x:v>
      </x:c>
      <x:c r="B318" s="1" t="str">
        <x:v>Ростов-на-Дону</x:v>
      </x:c>
      <x:c r="C318" s="1" t="n">
        <x:v>15</x:v>
      </x:c>
      <x:c r="D318" s="1" t="n">
        <x:v>760</x:v>
      </x:c>
      <x:c r="E318" s="1" t="n">
        <x:v>664</x:v>
      </x:c>
      <x:c r="F318" s="1" t="str">
        <x:f>A318&amp;"|"&amp;B318</x:f>
        <x:v>43971|Ростов-на-Дону</x:v>
      </x:c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1" customHeight="1">
      <x:c r="A319" s="5" t="n">
        <x:v>43971</x:v>
      </x:c>
      <x:c r="B319" s="1" t="str">
        <x:v>Санкт-Петербург Север</x:v>
      </x:c>
      <x:c r="C319" s="1" t="n">
        <x:v>125</x:v>
      </x:c>
      <x:c r="D319" s="1" t="n">
        <x:v>21674</x:v>
      </x:c>
      <x:c r="E319" s="1" t="n">
        <x:v>20155</x:v>
      </x:c>
      <x:c r="F319" s="1" t="str">
        <x:f>A319&amp;"|"&amp;B319</x:f>
        <x:v>43971|Санкт-Петербург Север</x:v>
      </x:c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1" customHeight="1">
      <x:c r="A320" s="5" t="n">
        <x:v>43971</x:v>
      </x:c>
      <x:c r="B320" s="1" t="str">
        <x:v>Санкт-Петербург Юг</x:v>
      </x:c>
      <x:c r="C320" s="1" t="n">
        <x:v>129</x:v>
      </x:c>
      <x:c r="D320" s="1" t="n">
        <x:v>17095</x:v>
      </x:c>
      <x:c r="E320" s="1" t="n">
        <x:v>15919</x:v>
      </x:c>
      <x:c r="F320" s="1" t="str">
        <x:f>A320&amp;"|"&amp;B320</x:f>
        <x:v>43971|Санкт-Петербург Юг</x:v>
      </x:c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1" customHeight="1">
      <x:c r="A321" s="5" t="n">
        <x:v>43971</x:v>
      </x:c>
      <x:c r="B321" s="1" t="str">
        <x:v>Тольятти</x:v>
      </x:c>
      <x:c r="C321" s="1" t="n">
        <x:v>10</x:v>
      </x:c>
      <x:c r="D321" s="1" t="n">
        <x:v>745</x:v>
      </x:c>
      <x:c r="E321" s="1" t="n">
        <x:v>654</x:v>
      </x:c>
      <x:c r="F321" s="1" t="str">
        <x:f>A321&amp;"|"&amp;B321</x:f>
        <x:v>43971|Тольятти</x:v>
      </x:c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1" customHeight="1">
      <x:c r="A322" s="5" t="n">
        <x:v>43972</x:v>
      </x:c>
      <x:c r="B322" s="1" t="str">
        <x:v>Волгоград</x:v>
      </x:c>
      <x:c r="C322" s="1" t="n">
        <x:v>36</x:v>
      </x:c>
      <x:c r="D322" s="1" t="n">
        <x:v>4816</x:v>
      </x:c>
      <x:c r="E322" s="1" t="n">
        <x:v>4452</x:v>
      </x:c>
      <x:c r="F322" s="1" t="str">
        <x:f>A322&amp;"|"&amp;B322</x:f>
        <x:v>43972|Волгоград</x:v>
      </x:c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1" customHeight="1">
      <x:c r="A323" s="5" t="n">
        <x:v>43972</x:v>
      </x:c>
      <x:c r="B323" s="1" t="str">
        <x:v>Екатеринбург</x:v>
      </x:c>
      <x:c r="C323" s="1" t="n">
        <x:v>31</x:v>
      </x:c>
      <x:c r="D323" s="1" t="n">
        <x:v>5207</x:v>
      </x:c>
      <x:c r="E323" s="1" t="n">
        <x:v>4868</x:v>
      </x:c>
      <x:c r="F323" s="1" t="str">
        <x:f>A323&amp;"|"&amp;B323</x:f>
        <x:v>43972|Екатеринбург</x:v>
      </x:c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1" customHeight="1">
      <x:c r="A324" s="5" t="n">
        <x:v>43972</x:v>
      </x:c>
      <x:c r="B324" s="1" t="str">
        <x:v>Казань</x:v>
      </x:c>
      <x:c r="C324" s="1" t="n">
        <x:v>21</x:v>
      </x:c>
      <x:c r="D324" s="1" t="n">
        <x:v>2335</x:v>
      </x:c>
      <x:c r="E324" s="1" t="n">
        <x:v>2126</x:v>
      </x:c>
      <x:c r="F324" s="1" t="str">
        <x:f>A324&amp;"|"&amp;B324</x:f>
        <x:v>43972|Казань</x:v>
      </x:c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1" customHeight="1">
      <x:c r="A325" s="5" t="n">
        <x:v>43972</x:v>
      </x:c>
      <x:c r="B325" s="1" t="str">
        <x:v>Кемерово</x:v>
      </x:c>
      <x:c r="C325" s="1" t="n">
        <x:v>21</x:v>
      </x:c>
      <x:c r="D325" s="1" t="n">
        <x:v>1787</x:v>
      </x:c>
      <x:c r="E325" s="1" t="n">
        <x:v>1626</x:v>
      </x:c>
      <x:c r="F325" s="1" t="str">
        <x:f>A325&amp;"|"&amp;B325</x:f>
        <x:v>43972|Кемерово</x:v>
      </x:c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1" customHeight="1">
      <x:c r="A326" s="5" t="n">
        <x:v>43972</x:v>
      </x:c>
      <x:c r="B326" s="1" t="str">
        <x:v>Краснодар</x:v>
      </x:c>
      <x:c r="C326" s="1" t="n">
        <x:v>19</x:v>
      </x:c>
      <x:c r="D326" s="1" t="n">
        <x:v>1650</x:v>
      </x:c>
      <x:c r="E326" s="1" t="n">
        <x:v>1505</x:v>
      </x:c>
      <x:c r="F326" s="1" t="str">
        <x:f>A326&amp;"|"&amp;B326</x:f>
        <x:v>43972|Краснодар</x:v>
      </x:c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1" customHeight="1">
      <x:c r="A327" s="5" t="n">
        <x:v>43972</x:v>
      </x:c>
      <x:c r="B327" s="1" t="str">
        <x:v>Москва Восток</x:v>
      </x:c>
      <x:c r="C327" s="1" t="n">
        <x:v>54</x:v>
      </x:c>
      <x:c r="D327" s="1" t="n">
        <x:v>13240</x:v>
      </x:c>
      <x:c r="E327" s="1" t="n">
        <x:v>12360</x:v>
      </x:c>
      <x:c r="F327" s="1" t="str">
        <x:f>A327&amp;"|"&amp;B327</x:f>
        <x:v>43972|Москва Восток</x:v>
      </x:c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1" customHeight="1">
      <x:c r="A328" s="5" t="n">
        <x:v>43972</x:v>
      </x:c>
      <x:c r="B328" s="1" t="str">
        <x:v>Москва Запад</x:v>
      </x:c>
      <x:c r="C328" s="1" t="n">
        <x:v>60</x:v>
      </x:c>
      <x:c r="D328" s="1" t="n">
        <x:v>14005</x:v>
      </x:c>
      <x:c r="E328" s="1" t="n">
        <x:v>13002</x:v>
      </x:c>
      <x:c r="F328" s="1" t="str">
        <x:f>A328&amp;"|"&amp;B328</x:f>
        <x:v>43972|Москва Запад</x:v>
      </x:c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1" customHeight="1">
      <x:c r="A329" s="5" t="n">
        <x:v>43972</x:v>
      </x:c>
      <x:c r="B329" s="1" t="str">
        <x:v>Нижний Новгород</x:v>
      </x:c>
      <x:c r="C329" s="1" t="n">
        <x:v>19</x:v>
      </x:c>
      <x:c r="D329" s="1" t="n">
        <x:v>1949</x:v>
      </x:c>
      <x:c r="E329" s="1" t="n">
        <x:v>1724</x:v>
      </x:c>
      <x:c r="F329" s="1" t="str">
        <x:f>A329&amp;"|"&amp;B329</x:f>
        <x:v>43972|Нижний Новгород</x:v>
      </x:c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1" customHeight="1">
      <x:c r="A330" s="5" t="n">
        <x:v>43972</x:v>
      </x:c>
      <x:c r="B330" s="1" t="str">
        <x:v>Новосибирск</x:v>
      </x:c>
      <x:c r="C330" s="1" t="n">
        <x:v>18</x:v>
      </x:c>
      <x:c r="D330" s="1" t="n">
        <x:v>888</x:v>
      </x:c>
      <x:c r="E330" s="1" t="n">
        <x:v>786</x:v>
      </x:c>
      <x:c r="F330" s="1" t="str">
        <x:f>A330&amp;"|"&amp;B330</x:f>
        <x:v>43972|Новосибирск</x:v>
      </x:c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1" customHeight="1">
      <x:c r="A331" s="5" t="n">
        <x:v>43972</x:v>
      </x:c>
      <x:c r="B331" s="1" t="str">
        <x:v>Пермь</x:v>
      </x:c>
      <x:c r="C331" s="1" t="n">
        <x:v>17</x:v>
      </x:c>
      <x:c r="D331" s="1" t="n">
        <x:v>1045</x:v>
      </x:c>
      <x:c r="E331" s="1" t="n">
        <x:v>930</x:v>
      </x:c>
      <x:c r="F331" s="1" t="str">
        <x:f>A331&amp;"|"&amp;B331</x:f>
        <x:v>43972|Пермь</x:v>
      </x:c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1" customHeight="1">
      <x:c r="A332" s="5" t="n">
        <x:v>43972</x:v>
      </x:c>
      <x:c r="B332" s="1" t="str">
        <x:v>Ростов-на-Дону</x:v>
      </x:c>
      <x:c r="C332" s="1" t="n">
        <x:v>15</x:v>
      </x:c>
      <x:c r="D332" s="1" t="n">
        <x:v>749</x:v>
      </x:c>
      <x:c r="E332" s="1" t="n">
        <x:v>652</x:v>
      </x:c>
      <x:c r="F332" s="1" t="str">
        <x:f>A332&amp;"|"&amp;B332</x:f>
        <x:v>43972|Ростов-на-Дону</x:v>
      </x:c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1" customHeight="1">
      <x:c r="A333" s="5" t="n">
        <x:v>43972</x:v>
      </x:c>
      <x:c r="B333" s="1" t="str">
        <x:v>Санкт-Петербург Север</x:v>
      </x:c>
      <x:c r="C333" s="1" t="n">
        <x:v>125</x:v>
      </x:c>
      <x:c r="D333" s="1" t="n">
        <x:v>20911</x:v>
      </x:c>
      <x:c r="E333" s="1" t="n">
        <x:v>19358</x:v>
      </x:c>
      <x:c r="F333" s="1" t="str">
        <x:f>A333&amp;"|"&amp;B333</x:f>
        <x:v>43972|Санкт-Петербург Север</x:v>
      </x:c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1" customHeight="1">
      <x:c r="A334" s="5" t="n">
        <x:v>43972</x:v>
      </x:c>
      <x:c r="B334" s="1" t="str">
        <x:v>Санкт-Петербург Юг</x:v>
      </x:c>
      <x:c r="C334" s="1" t="n">
        <x:v>129</x:v>
      </x:c>
      <x:c r="D334" s="1" t="n">
        <x:v>16373</x:v>
      </x:c>
      <x:c r="E334" s="1" t="n">
        <x:v>15223</x:v>
      </x:c>
      <x:c r="F334" s="1" t="str">
        <x:f>A334&amp;"|"&amp;B334</x:f>
        <x:v>43972|Санкт-Петербург Юг</x:v>
      </x:c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1" customHeight="1">
      <x:c r="A335" s="5" t="n">
        <x:v>43972</x:v>
      </x:c>
      <x:c r="B335" s="1" t="str">
        <x:v>Тольятти</x:v>
      </x:c>
      <x:c r="C335" s="1" t="n">
        <x:v>10</x:v>
      </x:c>
      <x:c r="D335" s="1" t="n">
        <x:v>677</x:v>
      </x:c>
      <x:c r="E335" s="1" t="n">
        <x:v>591</x:v>
      </x:c>
      <x:c r="F335" s="1" t="str">
        <x:f>A335&amp;"|"&amp;B335</x:f>
        <x:v>43972|Тольятти</x:v>
      </x:c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1" customHeight="1">
      <x:c r="A336" s="5" t="n">
        <x:v>43973</x:v>
      </x:c>
      <x:c r="B336" s="1" t="str">
        <x:v>Волгоград</x:v>
      </x:c>
      <x:c r="C336" s="1" t="n">
        <x:v>36</x:v>
      </x:c>
      <x:c r="D336" s="1" t="n">
        <x:v>4857</x:v>
      </x:c>
      <x:c r="E336" s="1" t="n">
        <x:v>4456</x:v>
      </x:c>
      <x:c r="F336" s="1" t="str">
        <x:f>A336&amp;"|"&amp;B336</x:f>
        <x:v>43973|Волгоград</x:v>
      </x:c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1" customHeight="1">
      <x:c r="A337" s="5" t="n">
        <x:v>43973</x:v>
      </x:c>
      <x:c r="B337" s="1" t="str">
        <x:v>Екатеринбург</x:v>
      </x:c>
      <x:c r="C337" s="1" t="n">
        <x:v>31</x:v>
      </x:c>
      <x:c r="D337" s="1" t="n">
        <x:v>5965</x:v>
      </x:c>
      <x:c r="E337" s="1" t="n">
        <x:v>5533</x:v>
      </x:c>
      <x:c r="F337" s="1" t="str">
        <x:f>A337&amp;"|"&amp;B337</x:f>
        <x:v>43973|Екатеринбург</x:v>
      </x:c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1" customHeight="1">
      <x:c r="A338" s="5" t="n">
        <x:v>43973</x:v>
      </x:c>
      <x:c r="B338" s="1" t="str">
        <x:v>Казань</x:v>
      </x:c>
      <x:c r="C338" s="1" t="n">
        <x:v>21</x:v>
      </x:c>
      <x:c r="D338" s="1" t="n">
        <x:v>2861</x:v>
      </x:c>
      <x:c r="E338" s="1" t="n">
        <x:v>2612</x:v>
      </x:c>
      <x:c r="F338" s="1" t="str">
        <x:f>A338&amp;"|"&amp;B338</x:f>
        <x:v>43973|Казань</x:v>
      </x:c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1" customHeight="1">
      <x:c r="A339" s="5" t="n">
        <x:v>43973</x:v>
      </x:c>
      <x:c r="B339" s="1" t="str">
        <x:v>Кемерово</x:v>
      </x:c>
      <x:c r="C339" s="1" t="n">
        <x:v>21</x:v>
      </x:c>
      <x:c r="D339" s="1" t="n">
        <x:v>2046</x:v>
      </x:c>
      <x:c r="E339" s="1" t="n">
        <x:v>1853</x:v>
      </x:c>
      <x:c r="F339" s="1" t="str">
        <x:f>A339&amp;"|"&amp;B339</x:f>
        <x:v>43973|Кемерово</x:v>
      </x:c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1" customHeight="1">
      <x:c r="A340" s="5" t="n">
        <x:v>43973</x:v>
      </x:c>
      <x:c r="B340" s="1" t="str">
        <x:v>Краснодар</x:v>
      </x:c>
      <x:c r="C340" s="1" t="n">
        <x:v>19</x:v>
      </x:c>
      <x:c r="D340" s="1" t="n">
        <x:v>1859</x:v>
      </x:c>
      <x:c r="E340" s="1" t="n">
        <x:v>1697</x:v>
      </x:c>
      <x:c r="F340" s="1" t="str">
        <x:f>A340&amp;"|"&amp;B340</x:f>
        <x:v>43973|Краснодар</x:v>
      </x:c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1" customHeight="1">
      <x:c r="A341" s="5" t="n">
        <x:v>43973</x:v>
      </x:c>
      <x:c r="B341" s="1" t="str">
        <x:v>Москва Восток</x:v>
      </x:c>
      <x:c r="C341" s="1" t="n">
        <x:v>54</x:v>
      </x:c>
      <x:c r="D341" s="1" t="n">
        <x:v>13014</x:v>
      </x:c>
      <x:c r="E341" s="1" t="n">
        <x:v>12095</x:v>
      </x:c>
      <x:c r="F341" s="1" t="str">
        <x:f>A341&amp;"|"&amp;B341</x:f>
        <x:v>43973|Москва Восток</x:v>
      </x:c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1" customHeight="1">
      <x:c r="A342" s="5" t="n">
        <x:v>43973</x:v>
      </x:c>
      <x:c r="B342" s="1" t="str">
        <x:v>Москва Запад</x:v>
      </x:c>
      <x:c r="C342" s="1" t="n">
        <x:v>60</x:v>
      </x:c>
      <x:c r="D342" s="1" t="n">
        <x:v>14050</x:v>
      </x:c>
      <x:c r="E342" s="1" t="n">
        <x:v>13027</x:v>
      </x:c>
      <x:c r="F342" s="1" t="str">
        <x:f>A342&amp;"|"&amp;B342</x:f>
        <x:v>43973|Москва Запад</x:v>
      </x:c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1" customHeight="1">
      <x:c r="A343" s="5" t="n">
        <x:v>43973</x:v>
      </x:c>
      <x:c r="B343" s="1" t="str">
        <x:v>Нижний Новгород</x:v>
      </x:c>
      <x:c r="C343" s="1" t="n">
        <x:v>20</x:v>
      </x:c>
      <x:c r="D343" s="1" t="n">
        <x:v>2306</x:v>
      </x:c>
      <x:c r="E343" s="1" t="n">
        <x:v>2054</x:v>
      </x:c>
      <x:c r="F343" s="1" t="str">
        <x:f>A343&amp;"|"&amp;B343</x:f>
        <x:v>43973|Нижний Новгород</x:v>
      </x:c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1" customHeight="1">
      <x:c r="A344" s="5" t="n">
        <x:v>43973</x:v>
      </x:c>
      <x:c r="B344" s="1" t="str">
        <x:v>Новосибирск</x:v>
      </x:c>
      <x:c r="C344" s="1" t="n">
        <x:v>18</x:v>
      </x:c>
      <x:c r="D344" s="1" t="n">
        <x:v>985</x:v>
      </x:c>
      <x:c r="E344" s="1" t="n">
        <x:v>861</x:v>
      </x:c>
      <x:c r="F344" s="1" t="str">
        <x:f>A344&amp;"|"&amp;B344</x:f>
        <x:v>43973|Новосибирск</x:v>
      </x:c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1" customHeight="1">
      <x:c r="A345" s="5" t="n">
        <x:v>43973</x:v>
      </x:c>
      <x:c r="B345" s="1" t="str">
        <x:v>Пермь</x:v>
      </x:c>
      <x:c r="C345" s="1" t="n">
        <x:v>17</x:v>
      </x:c>
      <x:c r="D345" s="1" t="n">
        <x:v>1268</x:v>
      </x:c>
      <x:c r="E345" s="1" t="n">
        <x:v>1129</x:v>
      </x:c>
      <x:c r="F345" s="1" t="str">
        <x:f>A345&amp;"|"&amp;B345</x:f>
        <x:v>43973|Пермь</x:v>
      </x:c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1" customHeight="1">
      <x:c r="A346" s="5" t="n">
        <x:v>43973</x:v>
      </x:c>
      <x:c r="B346" s="1" t="str">
        <x:v>Ростов-на-Дону</x:v>
      </x:c>
      <x:c r="C346" s="1" t="n">
        <x:v>15</x:v>
      </x:c>
      <x:c r="D346" s="1" t="n">
        <x:v>903</x:v>
      </x:c>
      <x:c r="E346" s="1" t="n">
        <x:v>792</x:v>
      </x:c>
      <x:c r="F346" s="1" t="str">
        <x:f>A346&amp;"|"&amp;B346</x:f>
        <x:v>43973|Ростов-на-Дону</x:v>
      </x:c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1" customHeight="1">
      <x:c r="A347" s="5" t="n">
        <x:v>43973</x:v>
      </x:c>
      <x:c r="B347" s="1" t="str">
        <x:v>Санкт-Петербург Север</x:v>
      </x:c>
      <x:c r="C347" s="1" t="n">
        <x:v>125</x:v>
      </x:c>
      <x:c r="D347" s="1" t="n">
        <x:v>21427</x:v>
      </x:c>
      <x:c r="E347" s="1" t="n">
        <x:v>19799</x:v>
      </x:c>
      <x:c r="F347" s="1" t="str">
        <x:f>A347&amp;"|"&amp;B347</x:f>
        <x:v>43973|Санкт-Петербург Север</x:v>
      </x:c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1" customHeight="1">
      <x:c r="A348" s="5" t="n">
        <x:v>43973</x:v>
      </x:c>
      <x:c r="B348" s="1" t="str">
        <x:v>Санкт-Петербург Юг</x:v>
      </x:c>
      <x:c r="C348" s="1" t="n">
        <x:v>129</x:v>
      </x:c>
      <x:c r="D348" s="1" t="n">
        <x:v>17088</x:v>
      </x:c>
      <x:c r="E348" s="1" t="n">
        <x:v>15804</x:v>
      </x:c>
      <x:c r="F348" s="1" t="str">
        <x:f>A348&amp;"|"&amp;B348</x:f>
        <x:v>43973|Санкт-Петербург Юг</x:v>
      </x:c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1" customHeight="1">
      <x:c r="A349" s="5" t="n">
        <x:v>43973</x:v>
      </x:c>
      <x:c r="B349" s="1" t="str">
        <x:v>Тольятти</x:v>
      </x:c>
      <x:c r="C349" s="1" t="n">
        <x:v>10</x:v>
      </x:c>
      <x:c r="D349" s="1" t="n">
        <x:v>965</x:v>
      </x:c>
      <x:c r="E349" s="1" t="n">
        <x:v>861</x:v>
      </x:c>
      <x:c r="F349" s="1" t="str">
        <x:f>A349&amp;"|"&amp;B349</x:f>
        <x:v>43973|Тольятти</x:v>
      </x:c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1" customHeight="1">
      <x:c r="A350" s="5" t="n">
        <x:v>43974</x:v>
      </x:c>
      <x:c r="B350" s="1" t="str">
        <x:v>Волгоград</x:v>
      </x:c>
      <x:c r="C350" s="1" t="n">
        <x:v>36</x:v>
      </x:c>
      <x:c r="D350" s="1" t="n">
        <x:v>5651</x:v>
      </x:c>
      <x:c r="E350" s="1" t="n">
        <x:v>5212</x:v>
      </x:c>
      <x:c r="F350" s="1" t="str">
        <x:f>A350&amp;"|"&amp;B350</x:f>
        <x:v>43974|Волгоград</x:v>
      </x:c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1" customHeight="1">
      <x:c r="A351" s="5" t="n">
        <x:v>43974</x:v>
      </x:c>
      <x:c r="B351" s="1" t="str">
        <x:v>Екатеринбург</x:v>
      </x:c>
      <x:c r="C351" s="1" t="n">
        <x:v>31</x:v>
      </x:c>
      <x:c r="D351" s="1" t="n">
        <x:v>6276</x:v>
      </x:c>
      <x:c r="E351" s="1" t="n">
        <x:v>5801</x:v>
      </x:c>
      <x:c r="F351" s="1" t="str">
        <x:f>A351&amp;"|"&amp;B351</x:f>
        <x:v>43974|Екатеринбург</x:v>
      </x:c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1" customHeight="1">
      <x:c r="A352" s="5" t="n">
        <x:v>43974</x:v>
      </x:c>
      <x:c r="B352" s="1" t="str">
        <x:v>Казань</x:v>
      </x:c>
      <x:c r="C352" s="1" t="n">
        <x:v>21</x:v>
      </x:c>
      <x:c r="D352" s="1" t="n">
        <x:v>2460</x:v>
      </x:c>
      <x:c r="E352" s="1" t="n">
        <x:v>2226</x:v>
      </x:c>
      <x:c r="F352" s="1" t="str">
        <x:f>A352&amp;"|"&amp;B352</x:f>
        <x:v>43974|Казань</x:v>
      </x:c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1" customHeight="1">
      <x:c r="A353" s="5" t="n">
        <x:v>43974</x:v>
      </x:c>
      <x:c r="B353" s="1" t="str">
        <x:v>Кемерово</x:v>
      </x:c>
      <x:c r="C353" s="1" t="n">
        <x:v>21</x:v>
      </x:c>
      <x:c r="D353" s="1" t="n">
        <x:v>2340</x:v>
      </x:c>
      <x:c r="E353" s="1" t="n">
        <x:v>2146</x:v>
      </x:c>
      <x:c r="F353" s="1" t="str">
        <x:f>A353&amp;"|"&amp;B353</x:f>
        <x:v>43974|Кемерово</x:v>
      </x:c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1" customHeight="1">
      <x:c r="A354" s="5" t="n">
        <x:v>43974</x:v>
      </x:c>
      <x:c r="B354" s="1" t="str">
        <x:v>Краснодар</x:v>
      </x:c>
      <x:c r="C354" s="1" t="n">
        <x:v>19</x:v>
      </x:c>
      <x:c r="D354" s="1" t="n">
        <x:v>2195</x:v>
      </x:c>
      <x:c r="E354" s="1" t="n">
        <x:v>1999</x:v>
      </x:c>
      <x:c r="F354" s="1" t="str">
        <x:f>A354&amp;"|"&amp;B354</x:f>
        <x:v>43974|Краснодар</x:v>
      </x:c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1" customHeight="1">
      <x:c r="A355" s="5" t="n">
        <x:v>43974</x:v>
      </x:c>
      <x:c r="B355" s="1" t="str">
        <x:v>Москва Восток</x:v>
      </x:c>
      <x:c r="C355" s="1" t="n">
        <x:v>54</x:v>
      </x:c>
      <x:c r="D355" s="1" t="n">
        <x:v>16221</x:v>
      </x:c>
      <x:c r="E355" s="1" t="n">
        <x:v>15065</x:v>
      </x:c>
      <x:c r="F355" s="1" t="str">
        <x:f>A355&amp;"|"&amp;B355</x:f>
        <x:v>43974|Москва Восток</x:v>
      </x:c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1" customHeight="1">
      <x:c r="A356" s="5" t="n">
        <x:v>43974</x:v>
      </x:c>
      <x:c r="B356" s="1" t="str">
        <x:v>Москва Запад</x:v>
      </x:c>
      <x:c r="C356" s="1" t="n">
        <x:v>60</x:v>
      </x:c>
      <x:c r="D356" s="1" t="n">
        <x:v>17295</x:v>
      </x:c>
      <x:c r="E356" s="1" t="n">
        <x:v>16010</x:v>
      </x:c>
      <x:c r="F356" s="1" t="str">
        <x:f>A356&amp;"|"&amp;B356</x:f>
        <x:v>43974|Москва Запад</x:v>
      </x:c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1" customHeight="1">
      <x:c r="A357" s="5" t="n">
        <x:v>43974</x:v>
      </x:c>
      <x:c r="B357" s="1" t="str">
        <x:v>Нижний Новгород</x:v>
      </x:c>
      <x:c r="C357" s="1" t="n">
        <x:v>20</x:v>
      </x:c>
      <x:c r="D357" s="1" t="n">
        <x:v>2266</x:v>
      </x:c>
      <x:c r="E357" s="1" t="n">
        <x:v>1993</x:v>
      </x:c>
      <x:c r="F357" s="1" t="str">
        <x:f>A357&amp;"|"&amp;B357</x:f>
        <x:v>43974|Нижний Новгород</x:v>
      </x:c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1" customHeight="1">
      <x:c r="A358" s="5" t="n">
        <x:v>43974</x:v>
      </x:c>
      <x:c r="B358" s="1" t="str">
        <x:v>Новосибирск</x:v>
      </x:c>
      <x:c r="C358" s="1" t="n">
        <x:v>18</x:v>
      </x:c>
      <x:c r="D358" s="1" t="n">
        <x:v>1031</x:v>
      </x:c>
      <x:c r="E358" s="1" t="n">
        <x:v>918</x:v>
      </x:c>
      <x:c r="F358" s="1" t="str">
        <x:f>A358&amp;"|"&amp;B358</x:f>
        <x:v>43974|Новосибирск</x:v>
      </x:c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1" customHeight="1">
      <x:c r="A359" s="5" t="n">
        <x:v>43974</x:v>
      </x:c>
      <x:c r="B359" s="1" t="str">
        <x:v>Пермь</x:v>
      </x:c>
      <x:c r="C359" s="1" t="n">
        <x:v>17</x:v>
      </x:c>
      <x:c r="D359" s="1" t="n">
        <x:v>1294</x:v>
      </x:c>
      <x:c r="E359" s="1" t="n">
        <x:v>1155</x:v>
      </x:c>
      <x:c r="F359" s="1" t="str">
        <x:f>A359&amp;"|"&amp;B359</x:f>
        <x:v>43974|Пермь</x:v>
      </x:c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1" customHeight="1">
      <x:c r="A360" s="5" t="n">
        <x:v>43974</x:v>
      </x:c>
      <x:c r="B360" s="1" t="str">
        <x:v>Ростов-на-Дону</x:v>
      </x:c>
      <x:c r="C360" s="1" t="n">
        <x:v>15</x:v>
      </x:c>
      <x:c r="D360" s="1" t="n">
        <x:v>840</x:v>
      </x:c>
      <x:c r="E360" s="1" t="n">
        <x:v>725</x:v>
      </x:c>
      <x:c r="F360" s="1" t="str">
        <x:f>A360&amp;"|"&amp;B360</x:f>
        <x:v>43974|Ростов-на-Дону</x:v>
      </x:c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1" customHeight="1">
      <x:c r="A361" s="5" t="n">
        <x:v>43974</x:v>
      </x:c>
      <x:c r="B361" s="1" t="str">
        <x:v>Санкт-Петербург Север</x:v>
      </x:c>
      <x:c r="C361" s="1" t="n">
        <x:v>125</x:v>
      </x:c>
      <x:c r="D361" s="1" t="n">
        <x:v>24574</x:v>
      </x:c>
      <x:c r="E361" s="1" t="n">
        <x:v>22609</x:v>
      </x:c>
      <x:c r="F361" s="1" t="str">
        <x:f>A361&amp;"|"&amp;B361</x:f>
        <x:v>43974|Санкт-Петербург Север</x:v>
      </x:c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1" customHeight="1">
      <x:c r="A362" s="5" t="n">
        <x:v>43974</x:v>
      </x:c>
      <x:c r="B362" s="1" t="str">
        <x:v>Санкт-Петербург Юг</x:v>
      </x:c>
      <x:c r="C362" s="1" t="n">
        <x:v>129</x:v>
      </x:c>
      <x:c r="D362" s="1" t="n">
        <x:v>19856</x:v>
      </x:c>
      <x:c r="E362" s="1" t="n">
        <x:v>18325</x:v>
      </x:c>
      <x:c r="F362" s="1" t="str">
        <x:f>A362&amp;"|"&amp;B362</x:f>
        <x:v>43974|Санкт-Петербург Юг</x:v>
      </x:c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1" customHeight="1">
      <x:c r="A363" s="5" t="n">
        <x:v>43974</x:v>
      </x:c>
      <x:c r="B363" s="1" t="str">
        <x:v>Тольятти</x:v>
      </x:c>
      <x:c r="C363" s="1" t="n">
        <x:v>10</x:v>
      </x:c>
      <x:c r="D363" s="1" t="n">
        <x:v>828</x:v>
      </x:c>
      <x:c r="E363" s="1" t="n">
        <x:v>734</x:v>
      </x:c>
      <x:c r="F363" s="1" t="str">
        <x:f>A363&amp;"|"&amp;B363</x:f>
        <x:v>43974|Тольятти</x:v>
      </x:c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1" customHeight="1">
      <x:c r="A364" s="5" t="n">
        <x:v>43975</x:v>
      </x:c>
      <x:c r="B364" s="1" t="str">
        <x:v>Волгоград</x:v>
      </x:c>
      <x:c r="C364" s="1" t="n">
        <x:v>36</x:v>
      </x:c>
      <x:c r="D364" s="1" t="n">
        <x:v>4915</x:v>
      </x:c>
      <x:c r="E364" s="1" t="n">
        <x:v>4562</x:v>
      </x:c>
      <x:c r="F364" s="1" t="str">
        <x:f>A364&amp;"|"&amp;B364</x:f>
        <x:v>43975|Волгоград</x:v>
      </x:c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1" customHeight="1">
      <x:c r="A365" s="5" t="n">
        <x:v>43975</x:v>
      </x:c>
      <x:c r="B365" s="1" t="str">
        <x:v>Екатеринбург</x:v>
      </x:c>
      <x:c r="C365" s="1" t="n">
        <x:v>31</x:v>
      </x:c>
      <x:c r="D365" s="1" t="n">
        <x:v>5035</x:v>
      </x:c>
      <x:c r="E365" s="1" t="n">
        <x:v>4683</x:v>
      </x:c>
      <x:c r="F365" s="1" t="str">
        <x:f>A365&amp;"|"&amp;B365</x:f>
        <x:v>43975|Екатеринбург</x:v>
      </x:c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1" customHeight="1">
      <x:c r="A366" s="5" t="n">
        <x:v>43975</x:v>
      </x:c>
      <x:c r="B366" s="1" t="str">
        <x:v>Казань</x:v>
      </x:c>
      <x:c r="C366" s="1" t="n">
        <x:v>21</x:v>
      </x:c>
      <x:c r="D366" s="1" t="n">
        <x:v>2254</x:v>
      </x:c>
      <x:c r="E366" s="1" t="n">
        <x:v>2061</x:v>
      </x:c>
      <x:c r="F366" s="1" t="str">
        <x:f>A366&amp;"|"&amp;B366</x:f>
        <x:v>43975|Казань</x:v>
      </x:c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1" customHeight="1">
      <x:c r="A367" s="5" t="n">
        <x:v>43975</x:v>
      </x:c>
      <x:c r="B367" s="1" t="str">
        <x:v>Кемерово</x:v>
      </x:c>
      <x:c r="C367" s="1" t="n">
        <x:v>20</x:v>
      </x:c>
      <x:c r="D367" s="1" t="n">
        <x:v>1999</x:v>
      </x:c>
      <x:c r="E367" s="1" t="n">
        <x:v>1829</x:v>
      </x:c>
      <x:c r="F367" s="1" t="str">
        <x:f>A367&amp;"|"&amp;B367</x:f>
        <x:v>43975|Кемерово</x:v>
      </x:c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1" customHeight="1">
      <x:c r="A368" s="5" t="n">
        <x:v>43975</x:v>
      </x:c>
      <x:c r="B368" s="1" t="str">
        <x:v>Краснодар</x:v>
      </x:c>
      <x:c r="C368" s="1" t="n">
        <x:v>19</x:v>
      </x:c>
      <x:c r="D368" s="1" t="n">
        <x:v>1868</x:v>
      </x:c>
      <x:c r="E368" s="1" t="n">
        <x:v>1706</x:v>
      </x:c>
      <x:c r="F368" s="1" t="str">
        <x:f>A368&amp;"|"&amp;B368</x:f>
        <x:v>43975|Краснодар</x:v>
      </x:c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1" customHeight="1">
      <x:c r="A369" s="5" t="n">
        <x:v>43975</x:v>
      </x:c>
      <x:c r="B369" s="1" t="str">
        <x:v>Москва Восток</x:v>
      </x:c>
      <x:c r="C369" s="1" t="n">
        <x:v>54</x:v>
      </x:c>
      <x:c r="D369" s="1" t="n">
        <x:v>12211</x:v>
      </x:c>
      <x:c r="E369" s="1" t="n">
        <x:v>11427</x:v>
      </x:c>
      <x:c r="F369" s="1" t="str">
        <x:f>A369&amp;"|"&amp;B369</x:f>
        <x:v>43975|Москва Восток</x:v>
      </x:c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1" customHeight="1">
      <x:c r="A370" s="5" t="n">
        <x:v>43975</x:v>
      </x:c>
      <x:c r="B370" s="1" t="str">
        <x:v>Москва Запад</x:v>
      </x:c>
      <x:c r="C370" s="1" t="n">
        <x:v>60</x:v>
      </x:c>
      <x:c r="D370" s="1" t="n">
        <x:v>12822</x:v>
      </x:c>
      <x:c r="E370" s="1" t="n">
        <x:v>11916</x:v>
      </x:c>
      <x:c r="F370" s="1" t="str">
        <x:f>A370&amp;"|"&amp;B370</x:f>
        <x:v>43975|Москва Запад</x:v>
      </x:c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1" customHeight="1">
      <x:c r="A371" s="5" t="n">
        <x:v>43975</x:v>
      </x:c>
      <x:c r="B371" s="1" t="str">
        <x:v>Нижний Новгород</x:v>
      </x:c>
      <x:c r="C371" s="1" t="n">
        <x:v>20</x:v>
      </x:c>
      <x:c r="D371" s="1" t="n">
        <x:v>2015</x:v>
      </x:c>
      <x:c r="E371" s="1" t="n">
        <x:v>1803</x:v>
      </x:c>
      <x:c r="F371" s="1" t="str">
        <x:f>A371&amp;"|"&amp;B371</x:f>
        <x:v>43975|Нижний Новгород</x:v>
      </x:c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1" customHeight="1">
      <x:c r="A372" s="5" t="n">
        <x:v>43975</x:v>
      </x:c>
      <x:c r="B372" s="1" t="str">
        <x:v>Новосибирск</x:v>
      </x:c>
      <x:c r="C372" s="1" t="n">
        <x:v>18</x:v>
      </x:c>
      <x:c r="D372" s="1" t="n">
        <x:v>1006</x:v>
      </x:c>
      <x:c r="E372" s="1" t="n">
        <x:v>904</x:v>
      </x:c>
      <x:c r="F372" s="1" t="str">
        <x:f>A372&amp;"|"&amp;B372</x:f>
        <x:v>43975|Новосибирск</x:v>
      </x:c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1" customHeight="1">
      <x:c r="A373" s="5" t="n">
        <x:v>43975</x:v>
      </x:c>
      <x:c r="B373" s="1" t="str">
        <x:v>Пермь</x:v>
      </x:c>
      <x:c r="C373" s="1" t="n">
        <x:v>17</x:v>
      </x:c>
      <x:c r="D373" s="1" t="n">
        <x:v>1128</x:v>
      </x:c>
      <x:c r="E373" s="1" t="n">
        <x:v>1001</x:v>
      </x:c>
      <x:c r="F373" s="1" t="str">
        <x:f>A373&amp;"|"&amp;B373</x:f>
        <x:v>43975|Пермь</x:v>
      </x:c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1" customHeight="1">
      <x:c r="A374" s="5" t="n">
        <x:v>43975</x:v>
      </x:c>
      <x:c r="B374" s="1" t="str">
        <x:v>Ростов-на-Дону</x:v>
      </x:c>
      <x:c r="C374" s="1" t="n">
        <x:v>15</x:v>
      </x:c>
      <x:c r="D374" s="1" t="n">
        <x:v>779</x:v>
      </x:c>
      <x:c r="E374" s="1" t="n">
        <x:v>673</x:v>
      </x:c>
      <x:c r="F374" s="1" t="str">
        <x:f>A374&amp;"|"&amp;B374</x:f>
        <x:v>43975|Ростов-на-Дону</x:v>
      </x:c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1" customHeight="1">
      <x:c r="A375" s="5" t="n">
        <x:v>43975</x:v>
      </x:c>
      <x:c r="B375" s="1" t="str">
        <x:v>Санкт-Петербург Север</x:v>
      </x:c>
      <x:c r="C375" s="1" t="n">
        <x:v>125</x:v>
      </x:c>
      <x:c r="D375" s="1" t="n">
        <x:v>21004</x:v>
      </x:c>
      <x:c r="E375" s="1" t="n">
        <x:v>19556</x:v>
      </x:c>
      <x:c r="F375" s="1" t="str">
        <x:f>A375&amp;"|"&amp;B375</x:f>
        <x:v>43975|Санкт-Петербург Север</x:v>
      </x:c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1" customHeight="1">
      <x:c r="A376" s="5" t="n">
        <x:v>43975</x:v>
      </x:c>
      <x:c r="B376" s="1" t="str">
        <x:v>Санкт-Петербург Юг</x:v>
      </x:c>
      <x:c r="C376" s="1" t="n">
        <x:v>129</x:v>
      </x:c>
      <x:c r="D376" s="1" t="n">
        <x:v>16432</x:v>
      </x:c>
      <x:c r="E376" s="1" t="n">
        <x:v>15345</x:v>
      </x:c>
      <x:c r="F376" s="1" t="str">
        <x:f>A376&amp;"|"&amp;B376</x:f>
        <x:v>43975|Санкт-Петербург Юг</x:v>
      </x:c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1" customHeight="1">
      <x:c r="A377" s="5" t="n">
        <x:v>43975</x:v>
      </x:c>
      <x:c r="B377" s="1" t="str">
        <x:v>Тольятти</x:v>
      </x:c>
      <x:c r="C377" s="1" t="n">
        <x:v>10</x:v>
      </x:c>
      <x:c r="D377" s="1" t="n">
        <x:v>639</x:v>
      </x:c>
      <x:c r="E377" s="1" t="n">
        <x:v>557</x:v>
      </x:c>
      <x:c r="F377" s="1" t="str">
        <x:f>A377&amp;"|"&amp;B377</x:f>
        <x:v>43975|Тольятти</x:v>
      </x:c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1" customHeight="1">
      <x:c r="A378" s="5" t="n">
        <x:v>43976</x:v>
      </x:c>
      <x:c r="B378" s="1" t="str">
        <x:v>Волгоград</x:v>
      </x:c>
      <x:c r="C378" s="1" t="n">
        <x:v>36</x:v>
      </x:c>
      <x:c r="D378" s="1" t="n">
        <x:v>4641</x:v>
      </x:c>
      <x:c r="E378" s="1" t="n">
        <x:v>4274</x:v>
      </x:c>
      <x:c r="F378" s="1" t="str">
        <x:f>A378&amp;"|"&amp;B378</x:f>
        <x:v>43976|Волгоград</x:v>
      </x:c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1" customHeight="1">
      <x:c r="A379" s="5" t="n">
        <x:v>43976</x:v>
      </x:c>
      <x:c r="B379" s="1" t="str">
        <x:v>Екатеринбург</x:v>
      </x:c>
      <x:c r="C379" s="1" t="n">
        <x:v>31</x:v>
      </x:c>
      <x:c r="D379" s="1" t="n">
        <x:v>5210</x:v>
      </x:c>
      <x:c r="E379" s="1" t="n">
        <x:v>4841</x:v>
      </x:c>
      <x:c r="F379" s="1" t="str">
        <x:f>A379&amp;"|"&amp;B379</x:f>
        <x:v>43976|Екатеринбург</x:v>
      </x:c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1" customHeight="1">
      <x:c r="A380" s="5" t="n">
        <x:v>43976</x:v>
      </x:c>
      <x:c r="B380" s="1" t="str">
        <x:v>Казань</x:v>
      </x:c>
      <x:c r="C380" s="1" t="n">
        <x:v>21</x:v>
      </x:c>
      <x:c r="D380" s="1" t="n">
        <x:v>2330</x:v>
      </x:c>
      <x:c r="E380" s="1" t="n">
        <x:v>2142</x:v>
      </x:c>
      <x:c r="F380" s="1" t="str">
        <x:f>A380&amp;"|"&amp;B380</x:f>
        <x:v>43976|Казань</x:v>
      </x:c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1" customHeight="1">
      <x:c r="A381" s="5" t="n">
        <x:v>43976</x:v>
      </x:c>
      <x:c r="B381" s="1" t="str">
        <x:v>Кемерово</x:v>
      </x:c>
      <x:c r="C381" s="1" t="n">
        <x:v>20</x:v>
      </x:c>
      <x:c r="D381" s="1" t="n">
        <x:v>2087</x:v>
      </x:c>
      <x:c r="E381" s="1" t="n">
        <x:v>1914</x:v>
      </x:c>
      <x:c r="F381" s="1" t="str">
        <x:f>A381&amp;"|"&amp;B381</x:f>
        <x:v>43976|Кемерово</x:v>
      </x:c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1" customHeight="1">
      <x:c r="A382" s="5" t="n">
        <x:v>43976</x:v>
      </x:c>
      <x:c r="B382" s="1" t="str">
        <x:v>Краснодар</x:v>
      </x:c>
      <x:c r="C382" s="1" t="n">
        <x:v>20</x:v>
      </x:c>
      <x:c r="D382" s="1" t="n">
        <x:v>1899</x:v>
      </x:c>
      <x:c r="E382" s="1" t="n">
        <x:v>1738</x:v>
      </x:c>
      <x:c r="F382" s="1" t="str">
        <x:f>A382&amp;"|"&amp;B382</x:f>
        <x:v>43976|Краснодар</x:v>
      </x:c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1" customHeight="1">
      <x:c r="A383" s="5" t="n">
        <x:v>43976</x:v>
      </x:c>
      <x:c r="B383" s="1" t="str">
        <x:v>Москва Восток</x:v>
      </x:c>
      <x:c r="C383" s="1" t="n">
        <x:v>54</x:v>
      </x:c>
      <x:c r="D383" s="1" t="n">
        <x:v>12336</x:v>
      </x:c>
      <x:c r="E383" s="1" t="n">
        <x:v>11519</x:v>
      </x:c>
      <x:c r="F383" s="1" t="str">
        <x:f>A383&amp;"|"&amp;B383</x:f>
        <x:v>43976|Москва Восток</x:v>
      </x:c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1" customHeight="1">
      <x:c r="A384" s="5" t="n">
        <x:v>43976</x:v>
      </x:c>
      <x:c r="B384" s="1" t="str">
        <x:v>Москва Запад</x:v>
      </x:c>
      <x:c r="C384" s="1" t="n">
        <x:v>59</x:v>
      </x:c>
      <x:c r="D384" s="1" t="n">
        <x:v>12983</x:v>
      </x:c>
      <x:c r="E384" s="1" t="n">
        <x:v>12056</x:v>
      </x:c>
      <x:c r="F384" s="1" t="str">
        <x:f>A384&amp;"|"&amp;B384</x:f>
        <x:v>43976|Москва Запад</x:v>
      </x:c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1" customHeight="1">
      <x:c r="A385" s="5" t="n">
        <x:v>43976</x:v>
      </x:c>
      <x:c r="B385" s="1" t="str">
        <x:v>Нижний Новгород</x:v>
      </x:c>
      <x:c r="C385" s="1" t="n">
        <x:v>20</x:v>
      </x:c>
      <x:c r="D385" s="1" t="n">
        <x:v>2011</x:v>
      </x:c>
      <x:c r="E385" s="1" t="n">
        <x:v>1791</x:v>
      </x:c>
      <x:c r="F385" s="1" t="str">
        <x:f>A385&amp;"|"&amp;B385</x:f>
        <x:v>43976|Нижний Новгород</x:v>
      </x:c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1" customHeight="1">
      <x:c r="A386" s="5" t="n">
        <x:v>43976</x:v>
      </x:c>
      <x:c r="B386" s="1" t="str">
        <x:v>Новосибирск</x:v>
      </x:c>
      <x:c r="C386" s="1" t="n">
        <x:v>18</x:v>
      </x:c>
      <x:c r="D386" s="1" t="n">
        <x:v>989</x:v>
      </x:c>
      <x:c r="E386" s="1" t="n">
        <x:v>887</x:v>
      </x:c>
      <x:c r="F386" s="1" t="str">
        <x:f>A386&amp;"|"&amp;B386</x:f>
        <x:v>43976|Новосибирск</x:v>
      </x:c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1" customHeight="1">
      <x:c r="A387" s="5" t="n">
        <x:v>43976</x:v>
      </x:c>
      <x:c r="B387" s="1" t="str">
        <x:v>Пермь</x:v>
      </x:c>
      <x:c r="C387" s="1" t="n">
        <x:v>17</x:v>
      </x:c>
      <x:c r="D387" s="1" t="n">
        <x:v>1142</x:v>
      </x:c>
      <x:c r="E387" s="1" t="n">
        <x:v>1020</x:v>
      </x:c>
      <x:c r="F387" s="1" t="str">
        <x:f>A387&amp;"|"&amp;B387</x:f>
        <x:v>43976|Пермь</x:v>
      </x:c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1" customHeight="1">
      <x:c r="A388" s="5" t="n">
        <x:v>43976</x:v>
      </x:c>
      <x:c r="B388" s="1" t="str">
        <x:v>Ростов-на-Дону</x:v>
      </x:c>
      <x:c r="C388" s="1" t="n">
        <x:v>15</x:v>
      </x:c>
      <x:c r="D388" s="1" t="n">
        <x:v>835</x:v>
      </x:c>
      <x:c r="E388" s="1" t="n">
        <x:v>736</x:v>
      </x:c>
      <x:c r="F388" s="1" t="str">
        <x:f>A388&amp;"|"&amp;B388</x:f>
        <x:v>43976|Ростов-на-Дону</x:v>
      </x:c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1" customHeight="1">
      <x:c r="A389" s="5" t="n">
        <x:v>43976</x:v>
      </x:c>
      <x:c r="B389" s="1" t="str">
        <x:v>Санкт-Петербург Север</x:v>
      </x:c>
      <x:c r="C389" s="1" t="n">
        <x:v>124</x:v>
      </x:c>
      <x:c r="D389" s="1" t="n">
        <x:v>20358</x:v>
      </x:c>
      <x:c r="E389" s="1" t="n">
        <x:v>18890</x:v>
      </x:c>
      <x:c r="F389" s="1" t="str">
        <x:f>A389&amp;"|"&amp;B389</x:f>
        <x:v>43976|Санкт-Петербург Север</x:v>
      </x:c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1" customHeight="1">
      <x:c r="A390" s="5" t="n">
        <x:v>43976</x:v>
      </x:c>
      <x:c r="B390" s="1" t="str">
        <x:v>Санкт-Петербург Юг</x:v>
      </x:c>
      <x:c r="C390" s="1" t="n">
        <x:v>129</x:v>
      </x:c>
      <x:c r="D390" s="1" t="n">
        <x:v>15822</x:v>
      </x:c>
      <x:c r="E390" s="1" t="n">
        <x:v>14753</x:v>
      </x:c>
      <x:c r="F390" s="1" t="str">
        <x:f>A390&amp;"|"&amp;B390</x:f>
        <x:v>43976|Санкт-Петербург Юг</x:v>
      </x:c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1" customHeight="1">
      <x:c r="A391" s="5" t="n">
        <x:v>43976</x:v>
      </x:c>
      <x:c r="B391" s="1" t="str">
        <x:v>Тольятти</x:v>
      </x:c>
      <x:c r="C391" s="1" t="n">
        <x:v>10</x:v>
      </x:c>
      <x:c r="D391" s="1" t="n">
        <x:v>739</x:v>
      </x:c>
      <x:c r="E391" s="1" t="n">
        <x:v>642</x:v>
      </x:c>
      <x:c r="F391" s="1" t="str">
        <x:f>A391&amp;"|"&amp;B391</x:f>
        <x:v>43976|Тольятти</x:v>
      </x:c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1" customHeight="1">
      <x:c r="A392" s="5" t="n">
        <x:v>43977</x:v>
      </x:c>
      <x:c r="B392" s="1" t="str">
        <x:v>Волгоград</x:v>
      </x:c>
      <x:c r="C392" s="1" t="n">
        <x:v>36</x:v>
      </x:c>
      <x:c r="D392" s="1" t="n">
        <x:v>4770</x:v>
      </x:c>
      <x:c r="E392" s="1" t="n">
        <x:v>4424</x:v>
      </x:c>
      <x:c r="F392" s="1" t="str">
        <x:f>A392&amp;"|"&amp;B392</x:f>
        <x:v>43977|Волгоград</x:v>
      </x:c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1" customHeight="1">
      <x:c r="A393" s="5" t="n">
        <x:v>43977</x:v>
      </x:c>
      <x:c r="B393" s="1" t="str">
        <x:v>Екатеринбург</x:v>
      </x:c>
      <x:c r="C393" s="1" t="n">
        <x:v>31</x:v>
      </x:c>
      <x:c r="D393" s="1" t="n">
        <x:v>5493</x:v>
      </x:c>
      <x:c r="E393" s="1" t="n">
        <x:v>5119</x:v>
      </x:c>
      <x:c r="F393" s="1" t="str">
        <x:f>A393&amp;"|"&amp;B393</x:f>
        <x:v>43977|Екатеринбург</x:v>
      </x:c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1" customHeight="1">
      <x:c r="A394" s="5" t="n">
        <x:v>43977</x:v>
      </x:c>
      <x:c r="B394" s="1" t="str">
        <x:v>Казань</x:v>
      </x:c>
      <x:c r="C394" s="1" t="n">
        <x:v>21</x:v>
      </x:c>
      <x:c r="D394" s="1" t="n">
        <x:v>2418</x:v>
      </x:c>
      <x:c r="E394" s="1" t="n">
        <x:v>2215</x:v>
      </x:c>
      <x:c r="F394" s="1" t="str">
        <x:f>A394&amp;"|"&amp;B394</x:f>
        <x:v>43977|Казань</x:v>
      </x:c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1" customHeight="1">
      <x:c r="A395" s="5" t="n">
        <x:v>43977</x:v>
      </x:c>
      <x:c r="B395" s="1" t="str">
        <x:v>Кемерово</x:v>
      </x:c>
      <x:c r="C395" s="1" t="n">
        <x:v>20</x:v>
      </x:c>
      <x:c r="D395" s="1" t="n">
        <x:v>2044</x:v>
      </x:c>
      <x:c r="E395" s="1" t="n">
        <x:v>1863</x:v>
      </x:c>
      <x:c r="F395" s="1" t="str">
        <x:f>A395&amp;"|"&amp;B395</x:f>
        <x:v>43977|Кемерово</x:v>
      </x:c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1" customHeight="1">
      <x:c r="A396" s="5" t="n">
        <x:v>43977</x:v>
      </x:c>
      <x:c r="B396" s="1" t="str">
        <x:v>Краснодар</x:v>
      </x:c>
      <x:c r="C396" s="1" t="n">
        <x:v>20</x:v>
      </x:c>
      <x:c r="D396" s="1" t="n">
        <x:v>1814</x:v>
      </x:c>
      <x:c r="E396" s="1" t="n">
        <x:v>1655</x:v>
      </x:c>
      <x:c r="F396" s="1" t="str">
        <x:f>A396&amp;"|"&amp;B396</x:f>
        <x:v>43977|Краснодар</x:v>
      </x:c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1" customHeight="1">
      <x:c r="A397" s="5" t="n">
        <x:v>43977</x:v>
      </x:c>
      <x:c r="B397" s="1" t="str">
        <x:v>Москва Восток</x:v>
      </x:c>
      <x:c r="C397" s="1" t="n">
        <x:v>54</x:v>
      </x:c>
      <x:c r="D397" s="1" t="n">
        <x:v>14482</x:v>
      </x:c>
      <x:c r="E397" s="1" t="n">
        <x:v>13510</x:v>
      </x:c>
      <x:c r="F397" s="1" t="str">
        <x:f>A397&amp;"|"&amp;B397</x:f>
        <x:v>43977|Москва Восток</x:v>
      </x:c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1" customHeight="1">
      <x:c r="A398" s="5" t="n">
        <x:v>43977</x:v>
      </x:c>
      <x:c r="B398" s="1" t="str">
        <x:v>Москва Запад</x:v>
      </x:c>
      <x:c r="C398" s="1" t="n">
        <x:v>59</x:v>
      </x:c>
      <x:c r="D398" s="1" t="n">
        <x:v>15369</x:v>
      </x:c>
      <x:c r="E398" s="1" t="n">
        <x:v>14299</x:v>
      </x:c>
      <x:c r="F398" s="1" t="str">
        <x:f>A398&amp;"|"&amp;B398</x:f>
        <x:v>43977|Москва Запад</x:v>
      </x:c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1" customHeight="1">
      <x:c r="A399" s="5" t="n">
        <x:v>43977</x:v>
      </x:c>
      <x:c r="B399" s="1" t="str">
        <x:v>Нижний Новгород</x:v>
      </x:c>
      <x:c r="C399" s="1" t="n">
        <x:v>20</x:v>
      </x:c>
      <x:c r="D399" s="1" t="n">
        <x:v>2036</x:v>
      </x:c>
      <x:c r="E399" s="1" t="n">
        <x:v>1790</x:v>
      </x:c>
      <x:c r="F399" s="1" t="str">
        <x:f>A399&amp;"|"&amp;B399</x:f>
        <x:v>43977|Нижний Новгород</x:v>
      </x:c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1" customHeight="1">
      <x:c r="A400" s="5" t="n">
        <x:v>43977</x:v>
      </x:c>
      <x:c r="B400" s="1" t="str">
        <x:v>Новосибирск</x:v>
      </x:c>
      <x:c r="C400" s="1" t="n">
        <x:v>18</x:v>
      </x:c>
      <x:c r="D400" s="1" t="n">
        <x:v>914</x:v>
      </x:c>
      <x:c r="E400" s="1" t="n">
        <x:v>804</x:v>
      </x:c>
      <x:c r="F400" s="1" t="str">
        <x:f>A400&amp;"|"&amp;B400</x:f>
        <x:v>43977|Новосибирск</x:v>
      </x:c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1" customHeight="1">
      <x:c r="A401" s="5" t="n">
        <x:v>43977</x:v>
      </x:c>
      <x:c r="B401" s="1" t="str">
        <x:v>Пермь</x:v>
      </x:c>
      <x:c r="C401" s="1" t="n">
        <x:v>17</x:v>
      </x:c>
      <x:c r="D401" s="1" t="n">
        <x:v>1140</x:v>
      </x:c>
      <x:c r="E401" s="1" t="n">
        <x:v>1016</x:v>
      </x:c>
      <x:c r="F401" s="1" t="str">
        <x:f>A401&amp;"|"&amp;B401</x:f>
        <x:v>43977|Пермь</x:v>
      </x:c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1" customHeight="1">
      <x:c r="A402" s="5" t="n">
        <x:v>43977</x:v>
      </x:c>
      <x:c r="B402" s="1" t="str">
        <x:v>Ростов-на-Дону</x:v>
      </x:c>
      <x:c r="C402" s="1" t="n">
        <x:v>15</x:v>
      </x:c>
      <x:c r="D402" s="1" t="n">
        <x:v>812</x:v>
      </x:c>
      <x:c r="E402" s="1" t="n">
        <x:v>711</x:v>
      </x:c>
      <x:c r="F402" s="1" t="str">
        <x:f>A402&amp;"|"&amp;B402</x:f>
        <x:v>43977|Ростов-на-Дону</x:v>
      </x:c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1" customHeight="1">
      <x:c r="A403" s="5" t="n">
        <x:v>43977</x:v>
      </x:c>
      <x:c r="B403" s="1" t="str">
        <x:v>Санкт-Петербург Север</x:v>
      </x:c>
      <x:c r="C403" s="1" t="n">
        <x:v>124</x:v>
      </x:c>
      <x:c r="D403" s="1" t="n">
        <x:v>21153</x:v>
      </x:c>
      <x:c r="E403" s="1" t="n">
        <x:v>19673</x:v>
      </x:c>
      <x:c r="F403" s="1" t="str">
        <x:f>A403&amp;"|"&amp;B403</x:f>
        <x:v>43977|Санкт-Петербург Север</x:v>
      </x:c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1" customHeight="1">
      <x:c r="A404" s="5" t="n">
        <x:v>43977</x:v>
      </x:c>
      <x:c r="B404" s="1" t="str">
        <x:v>Санкт-Петербург Юг</x:v>
      </x:c>
      <x:c r="C404" s="1" t="n">
        <x:v>129</x:v>
      </x:c>
      <x:c r="D404" s="1" t="n">
        <x:v>16459</x:v>
      </x:c>
      <x:c r="E404" s="1" t="n">
        <x:v>15355</x:v>
      </x:c>
      <x:c r="F404" s="1" t="str">
        <x:f>A404&amp;"|"&amp;B404</x:f>
        <x:v>43977|Санкт-Петербург Юг</x:v>
      </x:c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1" customHeight="1">
      <x:c r="A405" s="5" t="n">
        <x:v>43977</x:v>
      </x:c>
      <x:c r="B405" s="1" t="str">
        <x:v>Тольятти</x:v>
      </x:c>
      <x:c r="C405" s="1" t="n">
        <x:v>10</x:v>
      </x:c>
      <x:c r="D405" s="1" t="n">
        <x:v>692</x:v>
      </x:c>
      <x:c r="E405" s="1" t="n">
        <x:v>601</x:v>
      </x:c>
      <x:c r="F405" s="1" t="str">
        <x:f>A405&amp;"|"&amp;B405</x:f>
        <x:v>43977|Тольятти</x:v>
      </x:c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1" customHeight="1">
      <x:c r="A406" s="5" t="n">
        <x:v>43977</x:v>
      </x:c>
      <x:c r="B406" s="1" t="str">
        <x:v>Тюмень</x:v>
      </x:c>
      <x:c r="C406" s="1" t="n">
        <x:v>7</x:v>
      </x:c>
      <x:c r="D406" s="1" t="n">
        <x:v>577</x:v>
      </x:c>
      <x:c r="E406" s="1" t="n">
        <x:v>389</x:v>
      </x:c>
      <x:c r="F406" s="1" t="str">
        <x:f>A406&amp;"|"&amp;B406</x:f>
        <x:v>43977|Тюмень</x:v>
      </x:c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1" customHeight="1">
      <x:c r="A407" s="5" t="n">
        <x:v>43978</x:v>
      </x:c>
      <x:c r="B407" s="1" t="str">
        <x:v>Волгоград</x:v>
      </x:c>
      <x:c r="C407" s="1" t="n">
        <x:v>36</x:v>
      </x:c>
      <x:c r="D407" s="1" t="n">
        <x:v>4951</x:v>
      </x:c>
      <x:c r="E407" s="1" t="n">
        <x:v>4584</x:v>
      </x:c>
      <x:c r="F407" s="1" t="str">
        <x:f>A407&amp;"|"&amp;B407</x:f>
        <x:v>43978|Волгоград</x:v>
      </x:c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1" customHeight="1">
      <x:c r="A408" s="5" t="n">
        <x:v>43978</x:v>
      </x:c>
      <x:c r="B408" s="1" t="str">
        <x:v>Екатеринбург</x:v>
      </x:c>
      <x:c r="C408" s="1" t="n">
        <x:v>31</x:v>
      </x:c>
      <x:c r="D408" s="1" t="n">
        <x:v>5330</x:v>
      </x:c>
      <x:c r="E408" s="1" t="n">
        <x:v>4977</x:v>
      </x:c>
      <x:c r="F408" s="1" t="str">
        <x:f>A408&amp;"|"&amp;B408</x:f>
        <x:v>43978|Екатеринбург</x:v>
      </x:c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1" customHeight="1">
      <x:c r="A409" s="5" t="n">
        <x:v>43978</x:v>
      </x:c>
      <x:c r="B409" s="1" t="str">
        <x:v>Казань</x:v>
      </x:c>
      <x:c r="C409" s="1" t="n">
        <x:v>21</x:v>
      </x:c>
      <x:c r="D409" s="1" t="n">
        <x:v>2430</x:v>
      </x:c>
      <x:c r="E409" s="1" t="n">
        <x:v>2216</x:v>
      </x:c>
      <x:c r="F409" s="1" t="str">
        <x:f>A409&amp;"|"&amp;B409</x:f>
        <x:v>43978|Казань</x:v>
      </x:c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1" customHeight="1">
      <x:c r="A410" s="5" t="n">
        <x:v>43978</x:v>
      </x:c>
      <x:c r="B410" s="1" t="str">
        <x:v>Кемерово</x:v>
      </x:c>
      <x:c r="C410" s="1" t="n">
        <x:v>20</x:v>
      </x:c>
      <x:c r="D410" s="1" t="n">
        <x:v>2079</x:v>
      </x:c>
      <x:c r="E410" s="1" t="n">
        <x:v>1893</x:v>
      </x:c>
      <x:c r="F410" s="1" t="str">
        <x:f>A410&amp;"|"&amp;B410</x:f>
        <x:v>43978|Кемерово</x:v>
      </x:c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1" customHeight="1">
      <x:c r="A411" s="5" t="n">
        <x:v>43978</x:v>
      </x:c>
      <x:c r="B411" s="1" t="str">
        <x:v>Краснодар</x:v>
      </x:c>
      <x:c r="C411" s="1" t="n">
        <x:v>20</x:v>
      </x:c>
      <x:c r="D411" s="1" t="n">
        <x:v>1873</x:v>
      </x:c>
      <x:c r="E411" s="1" t="n">
        <x:v>1715</x:v>
      </x:c>
      <x:c r="F411" s="1" t="str">
        <x:f>A411&amp;"|"&amp;B411</x:f>
        <x:v>43978|Краснодар</x:v>
      </x:c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1" customHeight="1">
      <x:c r="A412" s="5" t="n">
        <x:v>43978</x:v>
      </x:c>
      <x:c r="B412" s="1" t="str">
        <x:v>Москва Восток</x:v>
      </x:c>
      <x:c r="C412" s="1" t="n">
        <x:v>54</x:v>
      </x:c>
      <x:c r="D412" s="1" t="n">
        <x:v>13091</x:v>
      </x:c>
      <x:c r="E412" s="1" t="n">
        <x:v>12216</x:v>
      </x:c>
      <x:c r="F412" s="1" t="str">
        <x:f>A412&amp;"|"&amp;B412</x:f>
        <x:v>43978|Москва Восток</x:v>
      </x:c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1" customHeight="1">
      <x:c r="A413" s="5" t="n">
        <x:v>43978</x:v>
      </x:c>
      <x:c r="B413" s="1" t="str">
        <x:v>Москва Запад</x:v>
      </x:c>
      <x:c r="C413" s="1" t="n">
        <x:v>59</x:v>
      </x:c>
      <x:c r="D413" s="1" t="n">
        <x:v>13942</x:v>
      </x:c>
      <x:c r="E413" s="1" t="n">
        <x:v>12986</x:v>
      </x:c>
      <x:c r="F413" s="1" t="str">
        <x:f>A413&amp;"|"&amp;B413</x:f>
        <x:v>43978|Москва Запад</x:v>
      </x:c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1" customHeight="1">
      <x:c r="A414" s="5" t="n">
        <x:v>43978</x:v>
      </x:c>
      <x:c r="B414" s="1" t="str">
        <x:v>Нижний Новгород</x:v>
      </x:c>
      <x:c r="C414" s="1" t="n">
        <x:v>20</x:v>
      </x:c>
      <x:c r="D414" s="1" t="n">
        <x:v>2079</x:v>
      </x:c>
      <x:c r="E414" s="1" t="n">
        <x:v>1856</x:v>
      </x:c>
      <x:c r="F414" s="1" t="str">
        <x:f>A414&amp;"|"&amp;B414</x:f>
        <x:v>43978|Нижний Новгород</x:v>
      </x:c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1" customHeight="1">
      <x:c r="A415" s="5" t="n">
        <x:v>43978</x:v>
      </x:c>
      <x:c r="B415" s="1" t="str">
        <x:v>Новосибирск</x:v>
      </x:c>
      <x:c r="C415" s="1" t="n">
        <x:v>18</x:v>
      </x:c>
      <x:c r="D415" s="1" t="n">
        <x:v>962</x:v>
      </x:c>
      <x:c r="E415" s="1" t="n">
        <x:v>859</x:v>
      </x:c>
      <x:c r="F415" s="1" t="str">
        <x:f>A415&amp;"|"&amp;B415</x:f>
        <x:v>43978|Новосибирск</x:v>
      </x:c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1" customHeight="1">
      <x:c r="A416" s="5" t="n">
        <x:v>43978</x:v>
      </x:c>
      <x:c r="B416" s="1" t="str">
        <x:v>Пермь</x:v>
      </x:c>
      <x:c r="C416" s="1" t="n">
        <x:v>17</x:v>
      </x:c>
      <x:c r="D416" s="1" t="n">
        <x:v>1203</x:v>
      </x:c>
      <x:c r="E416" s="1" t="n">
        <x:v>1077</x:v>
      </x:c>
      <x:c r="F416" s="1" t="str">
        <x:f>A416&amp;"|"&amp;B416</x:f>
        <x:v>43978|Пермь</x:v>
      </x:c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1" customHeight="1">
      <x:c r="A417" s="5" t="n">
        <x:v>43978</x:v>
      </x:c>
      <x:c r="B417" s="1" t="str">
        <x:v>Ростов-на-Дону</x:v>
      </x:c>
      <x:c r="C417" s="1" t="n">
        <x:v>15</x:v>
      </x:c>
      <x:c r="D417" s="1" t="n">
        <x:v>809</x:v>
      </x:c>
      <x:c r="E417" s="1" t="n">
        <x:v>702</x:v>
      </x:c>
      <x:c r="F417" s="1" t="str">
        <x:f>A417&amp;"|"&amp;B417</x:f>
        <x:v>43978|Ростов-на-Дону</x:v>
      </x:c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1" customHeight="1">
      <x:c r="A418" s="5" t="n">
        <x:v>43978</x:v>
      </x:c>
      <x:c r="B418" s="1" t="str">
        <x:v>Санкт-Петербург Север</x:v>
      </x:c>
      <x:c r="C418" s="1" t="n">
        <x:v>124</x:v>
      </x:c>
      <x:c r="D418" s="1" t="n">
        <x:v>21384</x:v>
      </x:c>
      <x:c r="E418" s="1" t="n">
        <x:v>19897</x:v>
      </x:c>
      <x:c r="F418" s="1" t="str">
        <x:f>A418&amp;"|"&amp;B418</x:f>
        <x:v>43978|Санкт-Петербург Север</x:v>
      </x:c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1" customHeight="1">
      <x:c r="A419" s="5" t="n">
        <x:v>43978</x:v>
      </x:c>
      <x:c r="B419" s="1" t="str">
        <x:v>Санкт-Петербург Юг</x:v>
      </x:c>
      <x:c r="C419" s="1" t="n">
        <x:v>129</x:v>
      </x:c>
      <x:c r="D419" s="1" t="n">
        <x:v>17115</x:v>
      </x:c>
      <x:c r="E419" s="1" t="n">
        <x:v>15962</x:v>
      </x:c>
      <x:c r="F419" s="1" t="str">
        <x:f>A419&amp;"|"&amp;B419</x:f>
        <x:v>43978|Санкт-Петербург Юг</x:v>
      </x:c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1" customHeight="1">
      <x:c r="A420" s="5" t="n">
        <x:v>43978</x:v>
      </x:c>
      <x:c r="B420" s="1" t="str">
        <x:v>Тольятти</x:v>
      </x:c>
      <x:c r="C420" s="1" t="n">
        <x:v>10</x:v>
      </x:c>
      <x:c r="D420" s="1" t="n">
        <x:v>757</x:v>
      </x:c>
      <x:c r="E420" s="1" t="n">
        <x:v>660</x:v>
      </x:c>
      <x:c r="F420" s="1" t="str">
        <x:f>A420&amp;"|"&amp;B420</x:f>
        <x:v>43978|Тольятти</x:v>
      </x:c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1" customHeight="1">
      <x:c r="A421" s="5" t="n">
        <x:v>43978</x:v>
      </x:c>
      <x:c r="B421" s="1" t="str">
        <x:v>Тюмень</x:v>
      </x:c>
      <x:c r="C421" s="1" t="n">
        <x:v>7</x:v>
      </x:c>
      <x:c r="D421" s="1" t="n">
        <x:v>409</x:v>
      </x:c>
      <x:c r="E421" s="1" t="n">
        <x:v>329</x:v>
      </x:c>
      <x:c r="F421" s="1" t="str">
        <x:f>A421&amp;"|"&amp;B421</x:f>
        <x:v>43978|Тюмень</x:v>
      </x:c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1" customHeight="1">
      <x:c r="A422" s="5" t="n">
        <x:v>43979</x:v>
      </x:c>
      <x:c r="B422" s="1" t="str">
        <x:v>Волгоград</x:v>
      </x:c>
      <x:c r="C422" s="1" t="n">
        <x:v>37</x:v>
      </x:c>
      <x:c r="D422" s="1" t="n">
        <x:v>4840</x:v>
      </x:c>
      <x:c r="E422" s="1" t="n">
        <x:v>4475</x:v>
      </x:c>
      <x:c r="F422" s="1" t="str">
        <x:f>A422&amp;"|"&amp;B422</x:f>
        <x:v>43979|Волгоград</x:v>
      </x:c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1" customHeight="1">
      <x:c r="A423" s="5" t="n">
        <x:v>43979</x:v>
      </x:c>
      <x:c r="B423" s="1" t="str">
        <x:v>Екатеринбург</x:v>
      </x:c>
      <x:c r="C423" s="1" t="n">
        <x:v>31</x:v>
      </x:c>
      <x:c r="D423" s="1" t="n">
        <x:v>5355</x:v>
      </x:c>
      <x:c r="E423" s="1" t="n">
        <x:v>4969</x:v>
      </x:c>
      <x:c r="F423" s="1" t="str">
        <x:f>A423&amp;"|"&amp;B423</x:f>
        <x:v>43979|Екатеринбург</x:v>
      </x:c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1" customHeight="1">
      <x:c r="A424" s="5" t="n">
        <x:v>43979</x:v>
      </x:c>
      <x:c r="B424" s="1" t="str">
        <x:v>Казань</x:v>
      </x:c>
      <x:c r="C424" s="1" t="n">
        <x:v>22</x:v>
      </x:c>
      <x:c r="D424" s="1" t="n">
        <x:v>2454</x:v>
      </x:c>
      <x:c r="E424" s="1" t="n">
        <x:v>2239</x:v>
      </x:c>
      <x:c r="F424" s="1" t="str">
        <x:f>A424&amp;"|"&amp;B424</x:f>
        <x:v>43979|Казань</x:v>
      </x:c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1" customHeight="1">
      <x:c r="A425" s="5" t="n">
        <x:v>43979</x:v>
      </x:c>
      <x:c r="B425" s="1" t="str">
        <x:v>Кемерово</x:v>
      </x:c>
      <x:c r="C425" s="1" t="n">
        <x:v>20</x:v>
      </x:c>
      <x:c r="D425" s="1" t="n">
        <x:v>1886</x:v>
      </x:c>
      <x:c r="E425" s="1" t="n">
        <x:v>1736</x:v>
      </x:c>
      <x:c r="F425" s="1" t="str">
        <x:f>A425&amp;"|"&amp;B425</x:f>
        <x:v>43979|Кемерово</x:v>
      </x:c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1" customHeight="1">
      <x:c r="A426" s="5" t="n">
        <x:v>43979</x:v>
      </x:c>
      <x:c r="B426" s="1" t="str">
        <x:v>Краснодар</x:v>
      </x:c>
      <x:c r="C426" s="1" t="n">
        <x:v>20</x:v>
      </x:c>
      <x:c r="D426" s="1" t="n">
        <x:v>1875</x:v>
      </x:c>
      <x:c r="E426" s="1" t="n">
        <x:v>1701</x:v>
      </x:c>
      <x:c r="F426" s="1" t="str">
        <x:f>A426&amp;"|"&amp;B426</x:f>
        <x:v>43979|Краснодар</x:v>
      </x:c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1" customHeight="1">
      <x:c r="A427" s="5" t="n">
        <x:v>43979</x:v>
      </x:c>
      <x:c r="B427" s="1" t="str">
        <x:v>Москва Восток</x:v>
      </x:c>
      <x:c r="C427" s="1" t="n">
        <x:v>54</x:v>
      </x:c>
      <x:c r="D427" s="1" t="n">
        <x:v>12409</x:v>
      </x:c>
      <x:c r="E427" s="1" t="n">
        <x:v>11582</x:v>
      </x:c>
      <x:c r="F427" s="1" t="str">
        <x:f>A427&amp;"|"&amp;B427</x:f>
        <x:v>43979|Москва Восток</x:v>
      </x:c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1" customHeight="1">
      <x:c r="A428" s="5" t="n">
        <x:v>43979</x:v>
      </x:c>
      <x:c r="B428" s="1" t="str">
        <x:v>Москва Запад</x:v>
      </x:c>
      <x:c r="C428" s="1" t="n">
        <x:v>60</x:v>
      </x:c>
      <x:c r="D428" s="1" t="n">
        <x:v>12854</x:v>
      </x:c>
      <x:c r="E428" s="1" t="n">
        <x:v>11954</x:v>
      </x:c>
      <x:c r="F428" s="1" t="str">
        <x:f>A428&amp;"|"&amp;B428</x:f>
        <x:v>43979|Москва Запад</x:v>
      </x:c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1" customHeight="1">
      <x:c r="A429" s="5" t="n">
        <x:v>43979</x:v>
      </x:c>
      <x:c r="B429" s="1" t="str">
        <x:v>Нижний Новгород</x:v>
      </x:c>
      <x:c r="C429" s="1" t="n">
        <x:v>20</x:v>
      </x:c>
      <x:c r="D429" s="1" t="n">
        <x:v>2088</x:v>
      </x:c>
      <x:c r="E429" s="1" t="n">
        <x:v>1848</x:v>
      </x:c>
      <x:c r="F429" s="1" t="str">
        <x:f>A429&amp;"|"&amp;B429</x:f>
        <x:v>43979|Нижний Новгород</x:v>
      </x:c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1" customHeight="1">
      <x:c r="A430" s="5" t="n">
        <x:v>43979</x:v>
      </x:c>
      <x:c r="B430" s="1" t="str">
        <x:v>Новосибирск</x:v>
      </x:c>
      <x:c r="C430" s="1" t="n">
        <x:v>18</x:v>
      </x:c>
      <x:c r="D430" s="1" t="n">
        <x:v>1020</x:v>
      </x:c>
      <x:c r="E430" s="1" t="n">
        <x:v>911</x:v>
      </x:c>
      <x:c r="F430" s="1" t="str">
        <x:f>A430&amp;"|"&amp;B430</x:f>
        <x:v>43979|Новосибирск</x:v>
      </x:c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1" customHeight="1">
      <x:c r="A431" s="5" t="n">
        <x:v>43979</x:v>
      </x:c>
      <x:c r="B431" s="1" t="str">
        <x:v>Пермь</x:v>
      </x:c>
      <x:c r="C431" s="1" t="n">
        <x:v>17</x:v>
      </x:c>
      <x:c r="D431" s="1" t="n">
        <x:v>1097</x:v>
      </x:c>
      <x:c r="E431" s="1" t="n">
        <x:v>968</x:v>
      </x:c>
      <x:c r="F431" s="1" t="str">
        <x:f>A431&amp;"|"&amp;B431</x:f>
        <x:v>43979|Пермь</x:v>
      </x:c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1" customHeight="1">
      <x:c r="A432" s="5" t="n">
        <x:v>43979</x:v>
      </x:c>
      <x:c r="B432" s="1" t="str">
        <x:v>Ростов-на-Дону</x:v>
      </x:c>
      <x:c r="C432" s="1" t="n">
        <x:v>16</x:v>
      </x:c>
      <x:c r="D432" s="1" t="n">
        <x:v>876</x:v>
      </x:c>
      <x:c r="E432" s="1" t="n">
        <x:v>762</x:v>
      </x:c>
      <x:c r="F432" s="1" t="str">
        <x:f>A432&amp;"|"&amp;B432</x:f>
        <x:v>43979|Ростов-на-Дону</x:v>
      </x:c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1" customHeight="1">
      <x:c r="A433" s="5" t="n">
        <x:v>43979</x:v>
      </x:c>
      <x:c r="B433" s="1" t="str">
        <x:v>Самара</x:v>
      </x:c>
      <x:c r="C433" s="1" t="n">
        <x:v>15</x:v>
      </x:c>
      <x:c r="D433" s="1" t="n">
        <x:v>464</x:v>
      </x:c>
      <x:c r="E433" s="1" t="n">
        <x:v>390</x:v>
      </x:c>
      <x:c r="F433" s="1" t="str">
        <x:f>A433&amp;"|"&amp;B433</x:f>
        <x:v>43979|Самара</x:v>
      </x:c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1" customHeight="1">
      <x:c r="A434" s="5" t="n">
        <x:v>43979</x:v>
      </x:c>
      <x:c r="B434" s="1" t="str">
        <x:v>Санкт-Петербург Север</x:v>
      </x:c>
      <x:c r="C434" s="1" t="n">
        <x:v>124</x:v>
      </x:c>
      <x:c r="D434" s="1" t="n">
        <x:v>20868</x:v>
      </x:c>
      <x:c r="E434" s="1" t="n">
        <x:v>19342</x:v>
      </x:c>
      <x:c r="F434" s="1" t="str">
        <x:f>A434&amp;"|"&amp;B434</x:f>
        <x:v>43979|Санкт-Петербург Север</x:v>
      </x:c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1" customHeight="1">
      <x:c r="A435" s="5" t="n">
        <x:v>43979</x:v>
      </x:c>
      <x:c r="B435" s="1" t="str">
        <x:v>Санкт-Петербург Юг</x:v>
      </x:c>
      <x:c r="C435" s="1" t="n">
        <x:v>129</x:v>
      </x:c>
      <x:c r="D435" s="1" t="n">
        <x:v>16453</x:v>
      </x:c>
      <x:c r="E435" s="1" t="n">
        <x:v>15289</x:v>
      </x:c>
      <x:c r="F435" s="1" t="str">
        <x:f>A435&amp;"|"&amp;B435</x:f>
        <x:v>43979|Санкт-Петербург Юг</x:v>
      </x:c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1" customHeight="1">
      <x:c r="A436" s="5" t="n">
        <x:v>43979</x:v>
      </x:c>
      <x:c r="B436" s="1" t="str">
        <x:v>Тольятти</x:v>
      </x:c>
      <x:c r="C436" s="1" t="n">
        <x:v>10</x:v>
      </x:c>
      <x:c r="D436" s="1" t="n">
        <x:v>791</x:v>
      </x:c>
      <x:c r="E436" s="1" t="n">
        <x:v>697</x:v>
      </x:c>
      <x:c r="F436" s="1" t="str">
        <x:f>A436&amp;"|"&amp;B436</x:f>
        <x:v>43979|Тольятти</x:v>
      </x:c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1" customHeight="1">
      <x:c r="A437" s="5" t="n">
        <x:v>43979</x:v>
      </x:c>
      <x:c r="B437" s="1" t="str">
        <x:v>Тюмень</x:v>
      </x:c>
      <x:c r="C437" s="1" t="n">
        <x:v>7</x:v>
      </x:c>
      <x:c r="D437" s="1" t="n">
        <x:v>420</x:v>
      </x:c>
      <x:c r="E437" s="1" t="n">
        <x:v>347</x:v>
      </x:c>
      <x:c r="F437" s="1" t="str">
        <x:f>A437&amp;"|"&amp;B437</x:f>
        <x:v>43979|Тюмень</x:v>
      </x:c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1" customHeight="1">
      <x:c r="A438" s="5" t="n">
        <x:v>43980</x:v>
      </x:c>
      <x:c r="B438" s="1" t="str">
        <x:v>Волгоград</x:v>
      </x:c>
      <x:c r="C438" s="1" t="n">
        <x:v>37</x:v>
      </x:c>
      <x:c r="D438" s="1" t="n">
        <x:v>5672</x:v>
      </x:c>
      <x:c r="E438" s="1" t="n">
        <x:v>5198</x:v>
      </x:c>
      <x:c r="F438" s="1" t="str">
        <x:f>A438&amp;"|"&amp;B438</x:f>
        <x:v>43980|Волгоград</x:v>
      </x:c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1" customHeight="1">
      <x:c r="A439" s="5" t="n">
        <x:v>43980</x:v>
      </x:c>
      <x:c r="B439" s="1" t="str">
        <x:v>Екатеринбург</x:v>
      </x:c>
      <x:c r="C439" s="1" t="n">
        <x:v>31</x:v>
      </x:c>
      <x:c r="D439" s="1" t="n">
        <x:v>5751</x:v>
      </x:c>
      <x:c r="E439" s="1" t="n">
        <x:v>5319</x:v>
      </x:c>
      <x:c r="F439" s="1" t="str">
        <x:f>A439&amp;"|"&amp;B439</x:f>
        <x:v>43980|Екатеринбург</x:v>
      </x:c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1" customHeight="1">
      <x:c r="A440" s="5" t="n">
        <x:v>43980</x:v>
      </x:c>
      <x:c r="B440" s="1" t="str">
        <x:v>Казань</x:v>
      </x:c>
      <x:c r="C440" s="1" t="n">
        <x:v>22</x:v>
      </x:c>
      <x:c r="D440" s="1" t="n">
        <x:v>2597</x:v>
      </x:c>
      <x:c r="E440" s="1" t="n">
        <x:v>2379</x:v>
      </x:c>
      <x:c r="F440" s="1" t="str">
        <x:f>A440&amp;"|"&amp;B440</x:f>
        <x:v>43980|Казань</x:v>
      </x:c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1" customHeight="1">
      <x:c r="A441" s="5" t="n">
        <x:v>43980</x:v>
      </x:c>
      <x:c r="B441" s="1" t="str">
        <x:v>Кемерово</x:v>
      </x:c>
      <x:c r="C441" s="1" t="n">
        <x:v>20</x:v>
      </x:c>
      <x:c r="D441" s="1" t="n">
        <x:v>2111</x:v>
      </x:c>
      <x:c r="E441" s="1" t="n">
        <x:v>1917</x:v>
      </x:c>
      <x:c r="F441" s="1" t="str">
        <x:f>A441&amp;"|"&amp;B441</x:f>
        <x:v>43980|Кемерово</x:v>
      </x:c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1" customHeight="1">
      <x:c r="A442" s="5" t="n">
        <x:v>43980</x:v>
      </x:c>
      <x:c r="B442" s="1" t="str">
        <x:v>Краснодар</x:v>
      </x:c>
      <x:c r="C442" s="1" t="n">
        <x:v>20</x:v>
      </x:c>
      <x:c r="D442" s="1" t="n">
        <x:v>2064</x:v>
      </x:c>
      <x:c r="E442" s="1" t="n">
        <x:v>1896</x:v>
      </x:c>
      <x:c r="F442" s="1" t="str">
        <x:f>A442&amp;"|"&amp;B442</x:f>
        <x:v>43980|Краснодар</x:v>
      </x:c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1" customHeight="1">
      <x:c r="A443" s="5" t="n">
        <x:v>43980</x:v>
      </x:c>
      <x:c r="B443" s="1" t="str">
        <x:v>Москва Восток</x:v>
      </x:c>
      <x:c r="C443" s="1" t="n">
        <x:v>54</x:v>
      </x:c>
      <x:c r="D443" s="1" t="n">
        <x:v>14031</x:v>
      </x:c>
      <x:c r="E443" s="1" t="n">
        <x:v>12943</x:v>
      </x:c>
      <x:c r="F443" s="1" t="str">
        <x:f>A443&amp;"|"&amp;B443</x:f>
        <x:v>43980|Москва Восток</x:v>
      </x:c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1" customHeight="1">
      <x:c r="A444" s="5" t="n">
        <x:v>43980</x:v>
      </x:c>
      <x:c r="B444" s="1" t="str">
        <x:v>Москва Запад</x:v>
      </x:c>
      <x:c r="C444" s="1" t="n">
        <x:v>59</x:v>
      </x:c>
      <x:c r="D444" s="1" t="n">
        <x:v>14507</x:v>
      </x:c>
      <x:c r="E444" s="1" t="n">
        <x:v>13386</x:v>
      </x:c>
      <x:c r="F444" s="1" t="str">
        <x:f>A444&amp;"|"&amp;B444</x:f>
        <x:v>43980|Москва Запад</x:v>
      </x:c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1" customHeight="1">
      <x:c r="A445" s="5" t="n">
        <x:v>43980</x:v>
      </x:c>
      <x:c r="B445" s="1" t="str">
        <x:v>Нижний Новгород</x:v>
      </x:c>
      <x:c r="C445" s="1" t="n">
        <x:v>20</x:v>
      </x:c>
      <x:c r="D445" s="1" t="n">
        <x:v>2249</x:v>
      </x:c>
      <x:c r="E445" s="1" t="n">
        <x:v>2000</x:v>
      </x:c>
      <x:c r="F445" s="1" t="str">
        <x:f>A445&amp;"|"&amp;B445</x:f>
        <x:v>43980|Нижний Новгород</x:v>
      </x:c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1" customHeight="1">
      <x:c r="A446" s="5" t="n">
        <x:v>43980</x:v>
      </x:c>
      <x:c r="B446" s="1" t="str">
        <x:v>Новосибирск</x:v>
      </x:c>
      <x:c r="C446" s="1" t="n">
        <x:v>18</x:v>
      </x:c>
      <x:c r="D446" s="1" t="n">
        <x:v>1014</x:v>
      </x:c>
      <x:c r="E446" s="1" t="n">
        <x:v>893</x:v>
      </x:c>
      <x:c r="F446" s="1" t="str">
        <x:f>A446&amp;"|"&amp;B446</x:f>
        <x:v>43980|Новосибирск</x:v>
      </x:c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1" customHeight="1">
      <x:c r="A447" s="5" t="n">
        <x:v>43980</x:v>
      </x:c>
      <x:c r="B447" s="1" t="str">
        <x:v>Пермь</x:v>
      </x:c>
      <x:c r="C447" s="1" t="n">
        <x:v>17</x:v>
      </x:c>
      <x:c r="D447" s="1" t="n">
        <x:v>1296</x:v>
      </x:c>
      <x:c r="E447" s="1" t="n">
        <x:v>1153</x:v>
      </x:c>
      <x:c r="F447" s="1" t="str">
        <x:f>A447&amp;"|"&amp;B447</x:f>
        <x:v>43980|Пермь</x:v>
      </x:c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1" customHeight="1">
      <x:c r="A448" s="5" t="n">
        <x:v>43980</x:v>
      </x:c>
      <x:c r="B448" s="1" t="str">
        <x:v>Ростов-на-Дону</x:v>
      </x:c>
      <x:c r="C448" s="1" t="n">
        <x:v>16</x:v>
      </x:c>
      <x:c r="D448" s="1" t="n">
        <x:v>981</x:v>
      </x:c>
      <x:c r="E448" s="1" t="n">
        <x:v>859</x:v>
      </x:c>
      <x:c r="F448" s="1" t="str">
        <x:f>A448&amp;"|"&amp;B448</x:f>
        <x:v>43980|Ростов-на-Дону</x:v>
      </x:c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1" customHeight="1">
      <x:c r="A449" s="5" t="n">
        <x:v>43980</x:v>
      </x:c>
      <x:c r="B449" s="1" t="str">
        <x:v>Самара</x:v>
      </x:c>
      <x:c r="C449" s="1" t="n">
        <x:v>15</x:v>
      </x:c>
      <x:c r="D449" s="1" t="n">
        <x:v>400</x:v>
      </x:c>
      <x:c r="E449" s="1" t="n">
        <x:v>329</x:v>
      </x:c>
      <x:c r="F449" s="1" t="str">
        <x:f>A449&amp;"|"&amp;B449</x:f>
        <x:v>43980|Самара</x:v>
      </x:c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1" customHeight="1">
      <x:c r="A450" s="5" t="n">
        <x:v>43980</x:v>
      </x:c>
      <x:c r="B450" s="1" t="str">
        <x:v>Санкт-Петербург Север</x:v>
      </x:c>
      <x:c r="C450" s="1" t="n">
        <x:v>124</x:v>
      </x:c>
      <x:c r="D450" s="1" t="n">
        <x:v>25828</x:v>
      </x:c>
      <x:c r="E450" s="1" t="n">
        <x:v>23974</x:v>
      </x:c>
      <x:c r="F450" s="1" t="str">
        <x:f>A450&amp;"|"&amp;B450</x:f>
        <x:v>43980|Санкт-Петербург Север</x:v>
      </x:c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1" customHeight="1">
      <x:c r="A451" s="5" t="n">
        <x:v>43980</x:v>
      </x:c>
      <x:c r="B451" s="1" t="str">
        <x:v>Санкт-Петербург Юг</x:v>
      </x:c>
      <x:c r="C451" s="1" t="n">
        <x:v>129</x:v>
      </x:c>
      <x:c r="D451" s="1" t="n">
        <x:v>22403</x:v>
      </x:c>
      <x:c r="E451" s="1" t="n">
        <x:v>20676</x:v>
      </x:c>
      <x:c r="F451" s="1" t="str">
        <x:f>A451&amp;"|"&amp;B451</x:f>
        <x:v>43980|Санкт-Петербург Юг</x:v>
      </x:c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1" customHeight="1">
      <x:c r="A452" s="5" t="n">
        <x:v>43980</x:v>
      </x:c>
      <x:c r="B452" s="1" t="str">
        <x:v>Тольятти</x:v>
      </x:c>
      <x:c r="C452" s="1" t="n">
        <x:v>10</x:v>
      </x:c>
      <x:c r="D452" s="1" t="n">
        <x:v>873</x:v>
      </x:c>
      <x:c r="E452" s="1" t="n">
        <x:v>770</x:v>
      </x:c>
      <x:c r="F452" s="1" t="str">
        <x:f>A452&amp;"|"&amp;B452</x:f>
        <x:v>43980|Тольятти</x:v>
      </x:c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1" customHeight="1">
      <x:c r="A453" s="5" t="n">
        <x:v>43980</x:v>
      </x:c>
      <x:c r="B453" s="1" t="str">
        <x:v>Тюмень</x:v>
      </x:c>
      <x:c r="C453" s="1" t="n">
        <x:v>7</x:v>
      </x:c>
      <x:c r="D453" s="1" t="n">
        <x:v>491</x:v>
      </x:c>
      <x:c r="E453" s="1" t="n">
        <x:v>411</x:v>
      </x:c>
      <x:c r="F453" s="1" t="str">
        <x:f>A453&amp;"|"&amp;B453</x:f>
        <x:v>43980|Тюмень</x:v>
      </x:c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1" customHeight="1">
      <x:c r="A454" s="5" t="n">
        <x:v>43981</x:v>
      </x:c>
      <x:c r="B454" s="1" t="str">
        <x:v>Волгоград</x:v>
      </x:c>
      <x:c r="C454" s="1" t="n">
        <x:v>37</x:v>
      </x:c>
      <x:c r="D454" s="1" t="n">
        <x:v>6645</x:v>
      </x:c>
      <x:c r="E454" s="1" t="n">
        <x:v>6122</x:v>
      </x:c>
      <x:c r="F454" s="1" t="str">
        <x:f>A454&amp;"|"&amp;B454</x:f>
        <x:v>43981|Волгоград</x:v>
      </x:c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1" customHeight="1">
      <x:c r="A455" s="5" t="n">
        <x:v>43981</x:v>
      </x:c>
      <x:c r="B455" s="1" t="str">
        <x:v>Екатеринбург</x:v>
      </x:c>
      <x:c r="C455" s="1" t="n">
        <x:v>31</x:v>
      </x:c>
      <x:c r="D455" s="1" t="n">
        <x:v>6735</x:v>
      </x:c>
      <x:c r="E455" s="1" t="n">
        <x:v>6264</x:v>
      </x:c>
      <x:c r="F455" s="1" t="str">
        <x:f>A455&amp;"|"&amp;B455</x:f>
        <x:v>43981|Екатеринбург</x:v>
      </x:c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1" customHeight="1">
      <x:c r="A456" s="5" t="n">
        <x:v>43981</x:v>
      </x:c>
      <x:c r="B456" s="1" t="str">
        <x:v>Казань</x:v>
      </x:c>
      <x:c r="C456" s="1" t="n">
        <x:v>22</x:v>
      </x:c>
      <x:c r="D456" s="1" t="n">
        <x:v>2793</x:v>
      </x:c>
      <x:c r="E456" s="1" t="n">
        <x:v>2539</x:v>
      </x:c>
      <x:c r="F456" s="1" t="str">
        <x:f>A456&amp;"|"&amp;B456</x:f>
        <x:v>43981|Казань</x:v>
      </x:c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1" customHeight="1">
      <x:c r="A457" s="5" t="n">
        <x:v>43981</x:v>
      </x:c>
      <x:c r="B457" s="1" t="str">
        <x:v>Кемерово</x:v>
      </x:c>
      <x:c r="C457" s="1" t="n">
        <x:v>20</x:v>
      </x:c>
      <x:c r="D457" s="1" t="n">
        <x:v>2597</x:v>
      </x:c>
      <x:c r="E457" s="1" t="n">
        <x:v>2376</x:v>
      </x:c>
      <x:c r="F457" s="1" t="str">
        <x:f>A457&amp;"|"&amp;B457</x:f>
        <x:v>43981|Кемерово</x:v>
      </x:c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1" customHeight="1">
      <x:c r="A458" s="5" t="n">
        <x:v>43981</x:v>
      </x:c>
      <x:c r="B458" s="1" t="str">
        <x:v>Краснодар</x:v>
      </x:c>
      <x:c r="C458" s="1" t="n">
        <x:v>20</x:v>
      </x:c>
      <x:c r="D458" s="1" t="n">
        <x:v>2174</x:v>
      </x:c>
      <x:c r="E458" s="1" t="n">
        <x:v>1957</x:v>
      </x:c>
      <x:c r="F458" s="1" t="str">
        <x:f>A458&amp;"|"&amp;B458</x:f>
        <x:v>43981|Краснодар</x:v>
      </x:c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1" customHeight="1">
      <x:c r="A459" s="5" t="n">
        <x:v>43981</x:v>
      </x:c>
      <x:c r="B459" s="1" t="str">
        <x:v>Москва Восток</x:v>
      </x:c>
      <x:c r="C459" s="1" t="n">
        <x:v>54</x:v>
      </x:c>
      <x:c r="D459" s="1" t="n">
        <x:v>14590</x:v>
      </x:c>
      <x:c r="E459" s="1" t="n">
        <x:v>13551</x:v>
      </x:c>
      <x:c r="F459" s="1" t="str">
        <x:f>A459&amp;"|"&amp;B459</x:f>
        <x:v>43981|Москва Восток</x:v>
      </x:c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1" customHeight="1">
      <x:c r="A460" s="5" t="n">
        <x:v>43981</x:v>
      </x:c>
      <x:c r="B460" s="1" t="str">
        <x:v>Москва Запад</x:v>
      </x:c>
      <x:c r="C460" s="1" t="n">
        <x:v>59</x:v>
      </x:c>
      <x:c r="D460" s="1" t="n">
        <x:v>15030</x:v>
      </x:c>
      <x:c r="E460" s="1" t="n">
        <x:v>13956</x:v>
      </x:c>
      <x:c r="F460" s="1" t="str">
        <x:f>A460&amp;"|"&amp;B460</x:f>
        <x:v>43981|Москва Запад</x:v>
      </x:c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1" customHeight="1">
      <x:c r="A461" s="5" t="n">
        <x:v>43981</x:v>
      </x:c>
      <x:c r="B461" s="1" t="str">
        <x:v>Нижний Новгород</x:v>
      </x:c>
      <x:c r="C461" s="1" t="n">
        <x:v>20</x:v>
      </x:c>
      <x:c r="D461" s="1" t="n">
        <x:v>2451</x:v>
      </x:c>
      <x:c r="E461" s="1" t="n">
        <x:v>2178</x:v>
      </x:c>
      <x:c r="F461" s="1" t="str">
        <x:f>A461&amp;"|"&amp;B461</x:f>
        <x:v>43981|Нижний Новгород</x:v>
      </x:c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1" customHeight="1">
      <x:c r="A462" s="5" t="n">
        <x:v>43981</x:v>
      </x:c>
      <x:c r="B462" s="1" t="str">
        <x:v>Новосибирск</x:v>
      </x:c>
      <x:c r="C462" s="1" t="n">
        <x:v>18</x:v>
      </x:c>
      <x:c r="D462" s="1" t="n">
        <x:v>1216</x:v>
      </x:c>
      <x:c r="E462" s="1" t="n">
        <x:v>1101</x:v>
      </x:c>
      <x:c r="F462" s="1" t="str">
        <x:f>A462&amp;"|"&amp;B462</x:f>
        <x:v>43981|Новосибирск</x:v>
      </x:c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1" customHeight="1">
      <x:c r="A463" s="5" t="n">
        <x:v>43981</x:v>
      </x:c>
      <x:c r="B463" s="1" t="str">
        <x:v>Пермь</x:v>
      </x:c>
      <x:c r="C463" s="1" t="n">
        <x:v>17</x:v>
      </x:c>
      <x:c r="D463" s="1" t="n">
        <x:v>1697</x:v>
      </x:c>
      <x:c r="E463" s="1" t="n">
        <x:v>1499</x:v>
      </x:c>
      <x:c r="F463" s="1" t="str">
        <x:f>A463&amp;"|"&amp;B463</x:f>
        <x:v>43981|Пермь</x:v>
      </x:c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1" customHeight="1">
      <x:c r="A464" s="5" t="n">
        <x:v>43981</x:v>
      </x:c>
      <x:c r="B464" s="1" t="str">
        <x:v>Ростов-на-Дону</x:v>
      </x:c>
      <x:c r="C464" s="1" t="n">
        <x:v>16</x:v>
      </x:c>
      <x:c r="D464" s="1" t="n">
        <x:v>1048</x:v>
      </x:c>
      <x:c r="E464" s="1" t="n">
        <x:v>918</x:v>
      </x:c>
      <x:c r="F464" s="1" t="str">
        <x:f>A464&amp;"|"&amp;B464</x:f>
        <x:v>43981|Ростов-на-Дону</x:v>
      </x:c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1" customHeight="1">
      <x:c r="A465" s="5" t="n">
        <x:v>43981</x:v>
      </x:c>
      <x:c r="B465" s="1" t="str">
        <x:v>Самара</x:v>
      </x:c>
      <x:c r="C465" s="1" t="n">
        <x:v>15</x:v>
      </x:c>
      <x:c r="D465" s="1" t="n">
        <x:v>490</x:v>
      </x:c>
      <x:c r="E465" s="1" t="n">
        <x:v>409</x:v>
      </x:c>
      <x:c r="F465" s="1" t="str">
        <x:f>A465&amp;"|"&amp;B465</x:f>
        <x:v>43981|Самара</x:v>
      </x:c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1" customHeight="1">
      <x:c r="A466" s="5" t="n">
        <x:v>43981</x:v>
      </x:c>
      <x:c r="B466" s="1" t="str">
        <x:v>Санкт-Петербург Север</x:v>
      </x:c>
      <x:c r="C466" s="1" t="n">
        <x:v>124</x:v>
      </x:c>
      <x:c r="D466" s="1" t="n">
        <x:v>24325</x:v>
      </x:c>
      <x:c r="E466" s="1" t="n">
        <x:v>22469</x:v>
      </x:c>
      <x:c r="F466" s="1" t="str">
        <x:f>A466&amp;"|"&amp;B466</x:f>
        <x:v>43981|Санкт-Петербург Север</x:v>
      </x:c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1" customHeight="1">
      <x:c r="A467" s="5" t="n">
        <x:v>43981</x:v>
      </x:c>
      <x:c r="B467" s="1" t="str">
        <x:v>Санкт-Петербург Юг</x:v>
      </x:c>
      <x:c r="C467" s="1" t="n">
        <x:v>129</x:v>
      </x:c>
      <x:c r="D467" s="1" t="n">
        <x:v>20243</x:v>
      </x:c>
      <x:c r="E467" s="1" t="n">
        <x:v>18711</x:v>
      </x:c>
      <x:c r="F467" s="1" t="str">
        <x:f>A467&amp;"|"&amp;B467</x:f>
        <x:v>43981|Санкт-Петербург Юг</x:v>
      </x:c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1" customHeight="1">
      <x:c r="A468" s="5" t="n">
        <x:v>43981</x:v>
      </x:c>
      <x:c r="B468" s="1" t="str">
        <x:v>Тольятти</x:v>
      </x:c>
      <x:c r="C468" s="1" t="n">
        <x:v>10</x:v>
      </x:c>
      <x:c r="D468" s="1" t="n">
        <x:v>865</x:v>
      </x:c>
      <x:c r="E468" s="1" t="n">
        <x:v>763</x:v>
      </x:c>
      <x:c r="F468" s="1" t="str">
        <x:f>A468&amp;"|"&amp;B468</x:f>
        <x:v>43981|Тольятти</x:v>
      </x:c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1" customHeight="1">
      <x:c r="A469" s="5" t="n">
        <x:v>43981</x:v>
      </x:c>
      <x:c r="B469" s="1" t="str">
        <x:v>Тюмень</x:v>
      </x:c>
      <x:c r="C469" s="1" t="n">
        <x:v>7</x:v>
      </x:c>
      <x:c r="D469" s="1" t="n">
        <x:v>532</x:v>
      </x:c>
      <x:c r="E469" s="1" t="n">
        <x:v>449</x:v>
      </x:c>
      <x:c r="F469" s="1" t="str">
        <x:f>A469&amp;"|"&amp;B469</x:f>
        <x:v>43981|Тюмень</x:v>
      </x:c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1" customHeight="1">
      <x:c r="A470" s="5" t="n">
        <x:v>43982</x:v>
      </x:c>
      <x:c r="B470" s="1" t="str">
        <x:v>Волгоград</x:v>
      </x:c>
      <x:c r="C470" s="1" t="n">
        <x:v>37</x:v>
      </x:c>
      <x:c r="D470" s="1" t="n">
        <x:v>5215</x:v>
      </x:c>
      <x:c r="E470" s="1" t="n">
        <x:v>4848</x:v>
      </x:c>
      <x:c r="F470" s="1" t="str">
        <x:f>A470&amp;"|"&amp;B470</x:f>
        <x:v>43982|Волгоград</x:v>
      </x:c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1" customHeight="1">
      <x:c r="A471" s="5" t="n">
        <x:v>43982</x:v>
      </x:c>
      <x:c r="B471" s="1" t="str">
        <x:v>Екатеринбург</x:v>
      </x:c>
      <x:c r="C471" s="1" t="n">
        <x:v>31</x:v>
      </x:c>
      <x:c r="D471" s="1" t="n">
        <x:v>5760</x:v>
      </x:c>
      <x:c r="E471" s="1" t="n">
        <x:v>5367</x:v>
      </x:c>
      <x:c r="F471" s="1" t="str">
        <x:f>A471&amp;"|"&amp;B471</x:f>
        <x:v>43982|Екатеринбург</x:v>
      </x:c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1" customHeight="1">
      <x:c r="A472" s="5" t="n">
        <x:v>43982</x:v>
      </x:c>
      <x:c r="B472" s="1" t="str">
        <x:v>Казань</x:v>
      </x:c>
      <x:c r="C472" s="1" t="n">
        <x:v>23</x:v>
      </x:c>
      <x:c r="D472" s="1" t="n">
        <x:v>2522</x:v>
      </x:c>
      <x:c r="E472" s="1" t="n">
        <x:v>2295</x:v>
      </x:c>
      <x:c r="F472" s="1" t="str">
        <x:f>A472&amp;"|"&amp;B472</x:f>
        <x:v>43982|Казань</x:v>
      </x:c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1" customHeight="1">
      <x:c r="A473" s="5" t="n">
        <x:v>43982</x:v>
      </x:c>
      <x:c r="B473" s="1" t="str">
        <x:v>Кемерово</x:v>
      </x:c>
      <x:c r="C473" s="1" t="n">
        <x:v>21</x:v>
      </x:c>
      <x:c r="D473" s="1" t="n">
        <x:v>2271</x:v>
      </x:c>
      <x:c r="E473" s="1" t="n">
        <x:v>2085</x:v>
      </x:c>
      <x:c r="F473" s="1" t="str">
        <x:f>A473&amp;"|"&amp;B473</x:f>
        <x:v>43982|Кемерово</x:v>
      </x:c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1" customHeight="1">
      <x:c r="A474" s="5" t="n">
        <x:v>43982</x:v>
      </x:c>
      <x:c r="B474" s="1" t="str">
        <x:v>Краснодар</x:v>
      </x:c>
      <x:c r="C474" s="1" t="n">
        <x:v>21</x:v>
      </x:c>
      <x:c r="D474" s="1" t="n">
        <x:v>2056</x:v>
      </x:c>
      <x:c r="E474" s="1" t="n">
        <x:v>1879</x:v>
      </x:c>
      <x:c r="F474" s="1" t="str">
        <x:f>A474&amp;"|"&amp;B474</x:f>
        <x:v>43982|Краснодар</x:v>
      </x:c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1" customHeight="1">
      <x:c r="A475" s="5" t="n">
        <x:v>43982</x:v>
      </x:c>
      <x:c r="B475" s="1" t="str">
        <x:v>Москва Восток</x:v>
      </x:c>
      <x:c r="C475" s="1" t="n">
        <x:v>54</x:v>
      </x:c>
      <x:c r="D475" s="1" t="n">
        <x:v>13106</x:v>
      </x:c>
      <x:c r="E475" s="1" t="n">
        <x:v>12164</x:v>
      </x:c>
      <x:c r="F475" s="1" t="str">
        <x:f>A475&amp;"|"&amp;B475</x:f>
        <x:v>43982|Москва Восток</x:v>
      </x:c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1" customHeight="1">
      <x:c r="A476" s="5" t="n">
        <x:v>43982</x:v>
      </x:c>
      <x:c r="B476" s="1" t="str">
        <x:v>Москва Запад</x:v>
      </x:c>
      <x:c r="C476" s="1" t="n">
        <x:v>59</x:v>
      </x:c>
      <x:c r="D476" s="1" t="n">
        <x:v>13684</x:v>
      </x:c>
      <x:c r="E476" s="1" t="n">
        <x:v>12690</x:v>
      </x:c>
      <x:c r="F476" s="1" t="str">
        <x:f>A476&amp;"|"&amp;B476</x:f>
        <x:v>43982|Москва Запад</x:v>
      </x:c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1" customHeight="1">
      <x:c r="A477" s="5" t="n">
        <x:v>43982</x:v>
      </x:c>
      <x:c r="B477" s="1" t="str">
        <x:v>Нижний Новгород</x:v>
      </x:c>
      <x:c r="C477" s="1" t="n">
        <x:v>20</x:v>
      </x:c>
      <x:c r="D477" s="1" t="n">
        <x:v>2060</x:v>
      </x:c>
      <x:c r="E477" s="1" t="n">
        <x:v>1826</x:v>
      </x:c>
      <x:c r="F477" s="1" t="str">
        <x:f>A477&amp;"|"&amp;B477</x:f>
        <x:v>43982|Нижний Новгород</x:v>
      </x:c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1" customHeight="1">
      <x:c r="A478" s="5" t="n">
        <x:v>43982</x:v>
      </x:c>
      <x:c r="B478" s="1" t="str">
        <x:v>Новосибирск</x:v>
      </x:c>
      <x:c r="C478" s="1" t="n">
        <x:v>18</x:v>
      </x:c>
      <x:c r="D478" s="1" t="n">
        <x:v>1029</x:v>
      </x:c>
      <x:c r="E478" s="1" t="n">
        <x:v>925</x:v>
      </x:c>
      <x:c r="F478" s="1" t="str">
        <x:f>A478&amp;"|"&amp;B478</x:f>
        <x:v>43982|Новосибирск</x:v>
      </x:c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1" customHeight="1">
      <x:c r="A479" s="5" t="n">
        <x:v>43982</x:v>
      </x:c>
      <x:c r="B479" s="1" t="str">
        <x:v>Пермь</x:v>
      </x:c>
      <x:c r="C479" s="1" t="n">
        <x:v>17</x:v>
      </x:c>
      <x:c r="D479" s="1" t="n">
        <x:v>1186</x:v>
      </x:c>
      <x:c r="E479" s="1" t="n">
        <x:v>1054</x:v>
      </x:c>
      <x:c r="F479" s="1" t="str">
        <x:f>A479&amp;"|"&amp;B479</x:f>
        <x:v>43982|Пермь</x:v>
      </x:c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1" customHeight="1">
      <x:c r="A480" s="5" t="n">
        <x:v>43982</x:v>
      </x:c>
      <x:c r="B480" s="1" t="str">
        <x:v>Ростов-на-Дону</x:v>
      </x:c>
      <x:c r="C480" s="1" t="n">
        <x:v>16</x:v>
      </x:c>
      <x:c r="D480" s="1" t="n">
        <x:v>917</x:v>
      </x:c>
      <x:c r="E480" s="1" t="n">
        <x:v>802</x:v>
      </x:c>
      <x:c r="F480" s="1" t="str">
        <x:f>A480&amp;"|"&amp;B480</x:f>
        <x:v>43982|Ростов-на-Дону</x:v>
      </x:c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1" customHeight="1">
      <x:c r="A481" s="5" t="n">
        <x:v>43982</x:v>
      </x:c>
      <x:c r="B481" s="1" t="str">
        <x:v>Самара</x:v>
      </x:c>
      <x:c r="C481" s="1" t="n">
        <x:v>15</x:v>
      </x:c>
      <x:c r="D481" s="1" t="n">
        <x:v>441</x:v>
      </x:c>
      <x:c r="E481" s="1" t="n">
        <x:v>368</x:v>
      </x:c>
      <x:c r="F481" s="1" t="str">
        <x:f>A481&amp;"|"&amp;B481</x:f>
        <x:v>43982|Самара</x:v>
      </x:c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1" customHeight="1">
      <x:c r="A482" s="5" t="n">
        <x:v>43982</x:v>
      </x:c>
      <x:c r="B482" s="1" t="str">
        <x:v>Санкт-Петербург Север</x:v>
      </x:c>
      <x:c r="C482" s="1" t="n">
        <x:v>124</x:v>
      </x:c>
      <x:c r="D482" s="1" t="n">
        <x:v>21392</x:v>
      </x:c>
      <x:c r="E482" s="1" t="n">
        <x:v>19869</x:v>
      </x:c>
      <x:c r="F482" s="1" t="str">
        <x:f>A482&amp;"|"&amp;B482</x:f>
        <x:v>43982|Санкт-Петербург Север</x:v>
      </x:c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1" customHeight="1">
      <x:c r="A483" s="5" t="n">
        <x:v>43982</x:v>
      </x:c>
      <x:c r="B483" s="1" t="str">
        <x:v>Санкт-Петербург Юг</x:v>
      </x:c>
      <x:c r="C483" s="1" t="n">
        <x:v>129</x:v>
      </x:c>
      <x:c r="D483" s="1" t="n">
        <x:v>17235</x:v>
      </x:c>
      <x:c r="E483" s="1" t="n">
        <x:v>16052</x:v>
      </x:c>
      <x:c r="F483" s="1" t="str">
        <x:f>A483&amp;"|"&amp;B483</x:f>
        <x:v>43982|Санкт-Петербург Юг</x:v>
      </x:c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1" customHeight="1">
      <x:c r="A484" s="5" t="n">
        <x:v>43982</x:v>
      </x:c>
      <x:c r="B484" s="1" t="str">
        <x:v>Тольятти</x:v>
      </x:c>
      <x:c r="C484" s="1" t="n">
        <x:v>10</x:v>
      </x:c>
      <x:c r="D484" s="1" t="n">
        <x:v>749</x:v>
      </x:c>
      <x:c r="E484" s="1" t="n">
        <x:v>655</x:v>
      </x:c>
      <x:c r="F484" s="1" t="str">
        <x:f>A484&amp;"|"&amp;B484</x:f>
        <x:v>43982|Тольятти</x:v>
      </x:c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1" customHeight="1">
      <x:c r="A485" s="5" t="n">
        <x:v>43982</x:v>
      </x:c>
      <x:c r="B485" s="1" t="str">
        <x:v>Томск</x:v>
      </x:c>
      <x:c r="C485" s="1" t="n">
        <x:v>9</x:v>
      </x:c>
      <x:c r="D485" s="1" t="n">
        <x:v>345</x:v>
      </x:c>
      <x:c r="E485" s="1" t="n">
        <x:v>255</x:v>
      </x:c>
      <x:c r="F485" s="1" t="str">
        <x:f>A485&amp;"|"&amp;B485</x:f>
        <x:v>43982|Томск</x:v>
      </x:c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1" customHeight="1">
      <x:c r="A486" s="5" t="n">
        <x:v>43982</x:v>
      </x:c>
      <x:c r="B486" s="1" t="str">
        <x:v>Тюмень</x:v>
      </x:c>
      <x:c r="C486" s="1" t="n">
        <x:v>7</x:v>
      </x:c>
      <x:c r="D486" s="1" t="n">
        <x:v>530</x:v>
      </x:c>
      <x:c r="E486" s="1" t="n">
        <x:v>447</x:v>
      </x:c>
      <x:c r="F486" s="1" t="str">
        <x:f>A486&amp;"|"&amp;B486</x:f>
        <x:v>43982|Тюмень</x:v>
      </x:c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1" customHeight="1">
      <x:c r="A487" s="5" t="n">
        <x:v>43982</x:v>
      </x:c>
      <x:c r="B487" s="1" t="str">
        <x:v>Уфа</x:v>
      </x:c>
      <x:c r="C487" s="1" t="n">
        <x:v>6</x:v>
      </x:c>
      <x:c r="D487" s="1" t="n">
        <x:v>261</x:v>
      </x:c>
      <x:c r="E487" s="1" t="n">
        <x:v>188</x:v>
      </x:c>
      <x:c r="F487" s="1" t="str">
        <x:f>A487&amp;"|"&amp;B487</x:f>
        <x:v>43982|Уфа</x:v>
      </x:c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1" customHeight="1">
      <x:c r="A488" s="5" t="n">
        <x:v>43983</x:v>
      </x:c>
      <x:c r="B488" s="1" t="str">
        <x:v>Волгоград</x:v>
      </x:c>
      <x:c r="C488" s="1" t="n">
        <x:v>37</x:v>
      </x:c>
      <x:c r="D488" s="1" t="n">
        <x:v>4722</x:v>
      </x:c>
      <x:c r="E488" s="1" t="n">
        <x:v>4352</x:v>
      </x:c>
      <x:c r="F488" s="1" t="str">
        <x:f>A488&amp;"|"&amp;B488</x:f>
        <x:v>43983|Волгоград</x:v>
      </x:c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1" customHeight="1">
      <x:c r="A489" s="5" t="n">
        <x:v>43983</x:v>
      </x:c>
      <x:c r="B489" s="1" t="str">
        <x:v>Екатеринбург</x:v>
      </x:c>
      <x:c r="C489" s="1" t="n">
        <x:v>31</x:v>
      </x:c>
      <x:c r="D489" s="1" t="n">
        <x:v>5468</x:v>
      </x:c>
      <x:c r="E489" s="1" t="n">
        <x:v>5081</x:v>
      </x:c>
      <x:c r="F489" s="1" t="str">
        <x:f>A489&amp;"|"&amp;B489</x:f>
        <x:v>43983|Екатеринбург</x:v>
      </x:c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1" customHeight="1">
      <x:c r="A490" s="5" t="n">
        <x:v>43983</x:v>
      </x:c>
      <x:c r="B490" s="1" t="str">
        <x:v>Казань</x:v>
      </x:c>
      <x:c r="C490" s="1" t="n">
        <x:v>23</x:v>
      </x:c>
      <x:c r="D490" s="1" t="n">
        <x:v>2531</x:v>
      </x:c>
      <x:c r="E490" s="1" t="n">
        <x:v>2296</x:v>
      </x:c>
      <x:c r="F490" s="1" t="str">
        <x:f>A490&amp;"|"&amp;B490</x:f>
        <x:v>43983|Казань</x:v>
      </x:c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1" customHeight="1">
      <x:c r="A491" s="5" t="n">
        <x:v>43983</x:v>
      </x:c>
      <x:c r="B491" s="1" t="str">
        <x:v>Кемерово</x:v>
      </x:c>
      <x:c r="C491" s="1" t="n">
        <x:v>21</x:v>
      </x:c>
      <x:c r="D491" s="1" t="n">
        <x:v>2025</x:v>
      </x:c>
      <x:c r="E491" s="1" t="n">
        <x:v>1849</x:v>
      </x:c>
      <x:c r="F491" s="1" t="str">
        <x:f>A491&amp;"|"&amp;B491</x:f>
        <x:v>43983|Кемерово</x:v>
      </x:c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1" customHeight="1">
      <x:c r="A492" s="5" t="n">
        <x:v>43983</x:v>
      </x:c>
      <x:c r="B492" s="1" t="str">
        <x:v>Краснодар</x:v>
      </x:c>
      <x:c r="C492" s="1" t="n">
        <x:v>21</x:v>
      </x:c>
      <x:c r="D492" s="1" t="n">
        <x:v>1879</x:v>
      </x:c>
      <x:c r="E492" s="1" t="n">
        <x:v>1720</x:v>
      </x:c>
      <x:c r="F492" s="1" t="str">
        <x:f>A492&amp;"|"&amp;B492</x:f>
        <x:v>43983|Краснодар</x:v>
      </x:c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1" customHeight="1">
      <x:c r="A493" s="5" t="n">
        <x:v>43983</x:v>
      </x:c>
      <x:c r="B493" s="1" t="str">
        <x:v>Москва Восток</x:v>
      </x:c>
      <x:c r="C493" s="1" t="n">
        <x:v>54</x:v>
      </x:c>
      <x:c r="D493" s="1" t="n">
        <x:v>11864</x:v>
      </x:c>
      <x:c r="E493" s="1" t="n">
        <x:v>11071</x:v>
      </x:c>
      <x:c r="F493" s="1" t="str">
        <x:f>A493&amp;"|"&amp;B493</x:f>
        <x:v>43983|Москва Восток</x:v>
      </x:c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1" customHeight="1">
      <x:c r="A494" s="5" t="n">
        <x:v>43983</x:v>
      </x:c>
      <x:c r="B494" s="1" t="str">
        <x:v>Москва Запад</x:v>
      </x:c>
      <x:c r="C494" s="1" t="n">
        <x:v>59</x:v>
      </x:c>
      <x:c r="D494" s="1" t="n">
        <x:v>12299</x:v>
      </x:c>
      <x:c r="E494" s="1" t="n">
        <x:v>11448</x:v>
      </x:c>
      <x:c r="F494" s="1" t="str">
        <x:f>A494&amp;"|"&amp;B494</x:f>
        <x:v>43983|Москва Запад</x:v>
      </x:c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1" customHeight="1">
      <x:c r="A495" s="5" t="n">
        <x:v>43983</x:v>
      </x:c>
      <x:c r="B495" s="1" t="str">
        <x:v>Нижний Новгород</x:v>
      </x:c>
      <x:c r="C495" s="1" t="n">
        <x:v>20</x:v>
      </x:c>
      <x:c r="D495" s="1" t="n">
        <x:v>2136</x:v>
      </x:c>
      <x:c r="E495" s="1" t="n">
        <x:v>1899</x:v>
      </x:c>
      <x:c r="F495" s="1" t="str">
        <x:f>A495&amp;"|"&amp;B495</x:f>
        <x:v>43983|Нижний Новгород</x:v>
      </x:c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1" customHeight="1">
      <x:c r="A496" s="5" t="n">
        <x:v>43983</x:v>
      </x:c>
      <x:c r="B496" s="1" t="str">
        <x:v>Новосибирск</x:v>
      </x:c>
      <x:c r="C496" s="1" t="n">
        <x:v>18</x:v>
      </x:c>
      <x:c r="D496" s="1" t="n">
        <x:v>923</x:v>
      </x:c>
      <x:c r="E496" s="1" t="n">
        <x:v>824</x:v>
      </x:c>
      <x:c r="F496" s="1" t="str">
        <x:f>A496&amp;"|"&amp;B496</x:f>
        <x:v>43983|Новосибирск</x:v>
      </x:c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1" customHeight="1">
      <x:c r="A497" s="5" t="n">
        <x:v>43983</x:v>
      </x:c>
      <x:c r="B497" s="1" t="str">
        <x:v>Пермь</x:v>
      </x:c>
      <x:c r="C497" s="1" t="n">
        <x:v>17</x:v>
      </x:c>
      <x:c r="D497" s="1" t="n">
        <x:v>1185</x:v>
      </x:c>
      <x:c r="E497" s="1" t="n">
        <x:v>1042</x:v>
      </x:c>
      <x:c r="F497" s="1" t="str">
        <x:f>A497&amp;"|"&amp;B497</x:f>
        <x:v>43983|Пермь</x:v>
      </x:c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1" customHeight="1">
      <x:c r="A498" s="5" t="n">
        <x:v>43983</x:v>
      </x:c>
      <x:c r="B498" s="1" t="str">
        <x:v>Ростов-на-Дону</x:v>
      </x:c>
      <x:c r="C498" s="1" t="n">
        <x:v>16</x:v>
      </x:c>
      <x:c r="D498" s="1" t="n">
        <x:v>1019</x:v>
      </x:c>
      <x:c r="E498" s="1" t="n">
        <x:v>895</x:v>
      </x:c>
      <x:c r="F498" s="1" t="str">
        <x:f>A498&amp;"|"&amp;B498</x:f>
        <x:v>43983|Ростов-на-Дону</x:v>
      </x:c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1" customHeight="1">
      <x:c r="A499" s="5" t="n">
        <x:v>43983</x:v>
      </x:c>
      <x:c r="B499" s="1" t="str">
        <x:v>Самара</x:v>
      </x:c>
      <x:c r="C499" s="1" t="n">
        <x:v>15</x:v>
      </x:c>
      <x:c r="D499" s="1" t="n">
        <x:v>453</x:v>
      </x:c>
      <x:c r="E499" s="1" t="n">
        <x:v>370</x:v>
      </x:c>
      <x:c r="F499" s="1" t="str">
        <x:f>A499&amp;"|"&amp;B499</x:f>
        <x:v>43983|Самара</x:v>
      </x:c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1" customHeight="1">
      <x:c r="A500" s="5" t="n">
        <x:v>43983</x:v>
      </x:c>
      <x:c r="B500" s="1" t="str">
        <x:v>Санкт-Петербург Север</x:v>
      </x:c>
      <x:c r="C500" s="1" t="n">
        <x:v>123</x:v>
      </x:c>
      <x:c r="D500" s="1" t="n">
        <x:v>20325</x:v>
      </x:c>
      <x:c r="E500" s="1" t="n">
        <x:v>18935</x:v>
      </x:c>
      <x:c r="F500" s="1" t="str">
        <x:f>A500&amp;"|"&amp;B500</x:f>
        <x:v>43983|Санкт-Петербург Север</x:v>
      </x:c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1" customHeight="1">
      <x:c r="A501" s="5" t="n">
        <x:v>43983</x:v>
      </x:c>
      <x:c r="B501" s="1" t="str">
        <x:v>Санкт-Петербург Юг</x:v>
      </x:c>
      <x:c r="C501" s="1" t="n">
        <x:v>128</x:v>
      </x:c>
      <x:c r="D501" s="1" t="n">
        <x:v>16285</x:v>
      </x:c>
      <x:c r="E501" s="1" t="n">
        <x:v>15130</x:v>
      </x:c>
      <x:c r="F501" s="1" t="str">
        <x:f>A501&amp;"|"&amp;B501</x:f>
        <x:v>43983|Санкт-Петербург Юг</x:v>
      </x:c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1" customHeight="1">
      <x:c r="A502" s="5" t="n">
        <x:v>43983</x:v>
      </x:c>
      <x:c r="B502" s="1" t="str">
        <x:v>Тольятти</x:v>
      </x:c>
      <x:c r="C502" s="1" t="n">
        <x:v>10</x:v>
      </x:c>
      <x:c r="D502" s="1" t="n">
        <x:v>719</x:v>
      </x:c>
      <x:c r="E502" s="1" t="n">
        <x:v>627</x:v>
      </x:c>
      <x:c r="F502" s="1" t="str">
        <x:f>A502&amp;"|"&amp;B502</x:f>
        <x:v>43983|Тольятти</x:v>
      </x:c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1" customHeight="1">
      <x:c r="A503" s="5" t="n">
        <x:v>43983</x:v>
      </x:c>
      <x:c r="B503" s="1" t="str">
        <x:v>Томск</x:v>
      </x:c>
      <x:c r="C503" s="1" t="n">
        <x:v>9</x:v>
      </x:c>
      <x:c r="D503" s="1" t="n">
        <x:v>294</x:v>
      </x:c>
      <x:c r="E503" s="1" t="n">
        <x:v>224</x:v>
      </x:c>
      <x:c r="F503" s="1" t="str">
        <x:f>A503&amp;"|"&amp;B503</x:f>
        <x:v>43983|Томск</x:v>
      </x:c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1" customHeight="1">
      <x:c r="A504" s="5" t="n">
        <x:v>43983</x:v>
      </x:c>
      <x:c r="B504" s="1" t="str">
        <x:v>Тюмень</x:v>
      </x:c>
      <x:c r="C504" s="1" t="n">
        <x:v>7</x:v>
      </x:c>
      <x:c r="D504" s="1" t="n">
        <x:v>500</x:v>
      </x:c>
      <x:c r="E504" s="1" t="n">
        <x:v>418</x:v>
      </x:c>
      <x:c r="F504" s="1" t="str">
        <x:f>A504&amp;"|"&amp;B504</x:f>
        <x:v>43983|Тюмень</x:v>
      </x:c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1" customHeight="1">
      <x:c r="A505" s="5" t="n">
        <x:v>43983</x:v>
      </x:c>
      <x:c r="B505" s="1" t="str">
        <x:v>Уфа</x:v>
      </x:c>
      <x:c r="C505" s="1" t="n">
        <x:v>6</x:v>
      </x:c>
      <x:c r="D505" s="1" t="n">
        <x:v>237</x:v>
      </x:c>
      <x:c r="E505" s="1" t="n">
        <x:v>175</x:v>
      </x:c>
      <x:c r="F505" s="1" t="str">
        <x:f>A505&amp;"|"&amp;B505</x:f>
        <x:v>43983|Уфа</x:v>
      </x:c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1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1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1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1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1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1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1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1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1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1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1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1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1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1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1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1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1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1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1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1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1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1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1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1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1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1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1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1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1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1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1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1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1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1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1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1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1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1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1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1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1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1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1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1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1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1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1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1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1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1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1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1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1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1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1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1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1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1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1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1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1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1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1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1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1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1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1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1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1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1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1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1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1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1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1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1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1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1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1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1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1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1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1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1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1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1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1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1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1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1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1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1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1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1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1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8" hidden="0" customWidth="1"/>
    <x:col min="3" max="3" width="28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7" t="str">
        <x:v>Проверки объединения и расчётов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42" customHeight="1">
      <x:c r="A4" s="4" t="str">
        <x:v>Проверка</x:v>
      </x:c>
      <x:c r="B4" s="4" t="str">
        <x:v>Факт</x:v>
      </x:c>
      <x:c r="C4" s="4" t="str">
        <x:v>Ожидание</x:v>
      </x:c>
      <x:c r="D4" s="4" t="str">
        <x:v>Разница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 t="str">
        <x:v>Строк в данных</x:v>
      </x:c>
      <x:c r="B5" s="6" t="n">
        <x:f>COUNTA('Данные'!A2:A505)</x:f>
        <x:v>504</x:v>
      </x:c>
      <x:c r="C5" s="6" t="n">
        <x:v>504</x:v>
      </x:c>
      <x:c r="D5" s="13" t="n">
        <x:f>B5-C5</x:f>
        <x:v>0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 t="str">
        <x:v>Ключи без единственного совпадения</x:v>
      </x:c>
      <x:c r="B6" s="6" t="n">
        <x:f>504-COUNTIFS('Данные'!N2:N505,1)</x:f>
        <x:v>0</x:v>
      </x:c>
      <x:c r="C6" s="6" t="n">
        <x:v>0</x:v>
      </x:c>
      <x:c r="D6" s="13" t="n">
        <x:f>B6-C6</x:f>
        <x:v>0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 t="str">
        <x:v>Оборот исходный</x:v>
      </x:c>
      <x:c r="B7" s="6" t="n">
        <x:f>SUM('Лист1'!D2:D505)</x:f>
        <x:v>4962359217.0624</x:v>
      </x:c>
      <x:c r="C7" s="6" t="n">
        <x:v>4962359217.0624</x:v>
      </x:c>
      <x:c r="D7" s="13" t="n">
        <x:f>B7-C7</x:f>
        <x:v>0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1" t="str">
        <x:v>Оборот объединённый</x:v>
      </x:c>
      <x:c r="B8" s="6" t="n">
        <x:f>SUM('Данные'!D2:D505)</x:f>
        <x:v>4962359217.0624</x:v>
      </x:c>
      <x:c r="C8" s="6" t="n">
        <x:v>4962359217.0624</x:v>
      </x:c>
      <x:c r="D8" s="13" t="n">
        <x:f>B8-C8</x:f>
        <x:v>0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 t="str">
        <x:v>Склады дни после объединения</x:v>
      </x:c>
      <x:c r="B9" s="6" t="n">
        <x:f>SUM('Данные'!G2:G505)</x:f>
        <x:v>20111</x:v>
      </x:c>
      <x:c r="C9" s="6" t="n">
        <x:v>20111</x:v>
      </x:c>
      <x:c r="D9" s="13" t="n">
        <x:f>B9-C9</x:f>
        <x:v>0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1" t="str">
        <x:v>Заказы после объединения</x:v>
      </x:c>
      <x:c r="B10" s="6" t="n">
        <x:f>SUM('Данные'!H2:H505)</x:f>
        <x:v>2988770</x:v>
      </x:c>
      <x:c r="C10" s="6" t="n">
        <x:v>2988770</x:v>
      </x:c>
      <x:c r="D10" s="13" t="n">
        <x:f>B10-C10</x:f>
        <x:v>0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1" t="str">
        <x:v>Клиенто дни после объединения</x:v>
      </x:c>
      <x:c r="B11" s="6" t="n">
        <x:f>SUM('Данные'!I2:I505)</x:f>
        <x:v>2760956</x:v>
      </x:c>
      <x:c r="C11" s="6" t="n">
        <x:v>2760956</x:v>
      </x:c>
      <x:c r="D11" s="13" t="n">
        <x:f>B11-C11</x:f>
        <x:v>0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 t="str">
        <x:v>Сумма недельного оборота</x:v>
      </x:c>
      <x:c r="B12" s="6" t="n">
        <x:f>SUM('Динамика'!D5:D10)</x:f>
        <x:v>4962359217.0624</x:v>
      </x:c>
      <x:c r="C12" s="6" t="n">
        <x:v>4962359217.0624</x:v>
      </x:c>
      <x:c r="D12" s="13" t="n">
        <x:f>B12-C12</x:f>
        <x:v>0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 t="str">
        <x:v>Сумма долей последней недели</x:v>
      </x:c>
      <x:c r="B13" s="6" t="n">
        <x:f>SUM('Итоги'!C12:C29)</x:f>
        <x:v>1</x:v>
      </x:c>
      <x:c r="C13" s="6" t="n">
        <x:v>1</x:v>
      </x:c>
      <x:c r="D13" s="13" t="n">
        <x:f>B13-C13</x:f>
        <x:v>0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21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21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21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21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21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21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21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21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21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21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21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21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21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21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21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21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21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21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21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21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21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21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21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21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21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21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21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21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21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21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21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21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21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21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21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21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21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21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21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21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21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21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21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21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21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21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21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21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21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21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21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21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21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21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21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21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21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21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21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21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21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21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21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21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21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21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21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21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21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21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21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21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21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21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21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21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21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21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21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21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21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21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21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21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21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21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21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21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21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21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21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21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21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21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21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21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21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21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21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21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21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21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21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21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21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21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21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21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21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21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21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21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21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21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21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21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21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21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21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21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21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21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21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21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21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21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21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21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21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21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21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21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21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21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21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21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21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21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21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21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21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21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21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21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21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21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21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21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21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21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21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21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21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21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21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21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21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21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21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21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21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21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21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21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21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21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21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21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21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21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21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21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21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21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21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21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21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21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21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21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21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21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21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21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21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21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21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21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 ht="21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 ht="21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 ht="21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 ht="21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 ht="21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 ht="21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 ht="21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 ht="21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 ht="21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 ht="21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 ht="21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 ht="21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 ht="21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 ht="21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 ht="21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 ht="21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 ht="21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 ht="21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 ht="21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 ht="21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 ht="21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 ht="21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 ht="21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 ht="21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 ht="21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 ht="21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 ht="21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 ht="21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 ht="21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 ht="21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 ht="21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 ht="21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 ht="21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 ht="21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 ht="21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 ht="21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 ht="21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 ht="21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 ht="21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 ht="21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 ht="21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 ht="21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 ht="21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 ht="21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 ht="21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 ht="21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 ht="21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 ht="21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 ht="21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 ht="21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 ht="21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 ht="21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 ht="21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 ht="21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 ht="21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 ht="21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 ht="21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 ht="21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 ht="21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 ht="21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 ht="21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 ht="21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 ht="21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 ht="21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 ht="21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 ht="21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 ht="21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 ht="21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 ht="21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 ht="21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 ht="21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 ht="21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 ht="21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 ht="21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 ht="21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 ht="21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 ht="21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 ht="21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 ht="21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 ht="21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 ht="21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 ht="21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 ht="21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 ht="21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 ht="21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 ht="21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 ht="21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 ht="21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 ht="21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 ht="21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 ht="21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 ht="21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 ht="21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 ht="21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 ht="21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 ht="21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 ht="21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 ht="21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 ht="21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 ht="21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 ht="21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 ht="21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 ht="21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 ht="21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 ht="21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 ht="21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 ht="21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 ht="21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 ht="21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 ht="21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 ht="21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 ht="21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 ht="21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 ht="21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 ht="21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 ht="21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 ht="21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 ht="21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 ht="21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 ht="21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 ht="21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 ht="21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 ht="21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 ht="21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 ht="21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 ht="21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 ht="21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 ht="21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 ht="21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 ht="21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 ht="21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 ht="21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 ht="21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 ht="21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 ht="21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 ht="21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 ht="21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 ht="21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 ht="21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 ht="21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 ht="21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 ht="21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 ht="21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 ht="21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 ht="21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 ht="21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 ht="21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 ht="21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 ht="21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 ht="21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 ht="21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 ht="21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 ht="21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 ht="21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 ht="21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 ht="21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 ht="21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 ht="21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 ht="21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 ht="21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 ht="21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 ht="21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 ht="21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 ht="21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 ht="21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 ht="21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 ht="21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 ht="21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 ht="21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 ht="21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 ht="21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 ht="21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 ht="21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 ht="21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 ht="21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 ht="21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 ht="21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 ht="21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 ht="21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 ht="21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 ht="21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 ht="21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 ht="21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 ht="21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 ht="21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 ht="21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 ht="21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 ht="21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 ht="21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 ht="21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 ht="21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 ht="21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 ht="21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 ht="21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 ht="21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 ht="21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 ht="21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 ht="21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 ht="21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 ht="21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 ht="21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 ht="21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 ht="21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 ht="21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 ht="21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 ht="21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 ht="21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 ht="21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 ht="21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 ht="21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 ht="21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 ht="21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 ht="21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 ht="21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 ht="21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 ht="21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 ht="21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 ht="21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 ht="21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 ht="21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 ht="21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 ht="21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 ht="21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 ht="21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 ht="21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 ht="21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 ht="21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 ht="21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 ht="21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 ht="21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2:D2"/>
  </x:mergeCells>
  <x:conditionalFormatting sqref="D5:D13">
    <x:cfRule type="cellIs" dxfId="1" priority="1" operator="notEqual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7" t="str">
        <x:v>Сводная таблица по неделям и территориям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1" t="inlineStr">
        <x:is>
          <x:t>Понедельник ISO</x:t>
        </x:is>
      </x:c>
      <x:c r="B5" s="1" t="inlineStr">
        <x:is>
          <x:t>Территория</x:t>
        </x:is>
      </x:c>
      <x:c r="C5" s="1" t="inlineStr">
        <x:is>
          <x:t>Оборот руб</x:t>
        </x:is>
      </x:c>
      <x:c r="D5" s="1" t="inlineStr">
        <x:is>
          <x:t>Себестоимость руб</x:t>
        </x:is>
      </x:c>
      <x:c r="E5" s="1" t="inlineStr">
        <x:is>
          <x:t>Потери руб</x:t>
        </x:is>
      </x:c>
      <x:c r="F5" s="1" t="inlineStr">
        <x:is>
          <x:t>Складо дни</x:t>
        </x:is>
      </x:c>
      <x:c r="G5" s="1" t="inlineStr">
        <x:is>
          <x:t>Заказы</x:t>
        </x:is>
      </x:c>
      <x:c r="H5" s="1" t="inlineStr">
        <x:is>
          <x:t>Клиенто дни</x:t>
        </x:is>
      </x:c>
    </x:row>
    <x:row r="6" ht="21" customHeight="1">
      <x:c r="A6" s="5">
        <x:v>43948</x:v>
      </x:c>
      <x:c r="B6" s="1" t="inlineStr">
        <x:is>
          <x:t>Волгоград</x:t>
        </x:is>
      </x:c>
      <x:c r="C6" s="6">
        <x:v>36934095.0</x:v>
      </x:c>
      <x:c r="D6" s="6">
        <x:v>28468606.776</x:v>
      </x:c>
      <x:c r="E6" s="6">
        <x:v>862168.4549923077</x:v>
      </x:c>
      <x:c r="F6" s="6">
        <x:v>216.0</x:v>
      </x:c>
      <x:c r="G6" s="6">
        <x:v>28653.0</x:v>
      </x:c>
      <x:c r="H6" s="6">
        <x:v>26269.0</x:v>
      </x:c>
    </x:row>
    <x:row r="7" ht="21" customHeight="1">
      <x:c r="A7" s="5">
        <x:v>43948</x:v>
      </x:c>
      <x:c r="B7" s="1" t="inlineStr">
        <x:is>
          <x:t>Екатеринбург</x:t>
        </x:is>
      </x:c>
      <x:c r="C7" s="6">
        <x:v>42828757.5</x:v>
      </x:c>
      <x:c r="D7" s="6">
        <x:v>32504259.301000003</x:v>
      </x:c>
      <x:c r="E7" s="6">
        <x:v>940385.7558923077</x:v>
      </x:c>
      <x:c r="F7" s="6">
        <x:v>186.0</x:v>
      </x:c>
      <x:c r="G7" s="6">
        <x:v>31393.0</x:v>
      </x:c>
      <x:c r="H7" s="6">
        <x:v>28967.0</x:v>
      </x:c>
    </x:row>
    <x:row r="8" ht="21" customHeight="1">
      <x:c r="A8" s="5">
        <x:v>43948</x:v>
      </x:c>
      <x:c r="B8" s="1" t="inlineStr">
        <x:is>
          <x:t>Казань</x:t>
        </x:is>
      </x:c>
      <x:c r="C8" s="6">
        <x:v>17828215.5</x:v>
      </x:c>
      <x:c r="D8" s="6">
        <x:v>13895906.658</x:v>
      </x:c>
      <x:c r="E8" s="6">
        <x:v>1099350.6215769232</x:v>
      </x:c>
      <x:c r="F8" s="6">
        <x:v>118.0</x:v>
      </x:c>
      <x:c r="G8" s="6">
        <x:v>11075.0</x:v>
      </x:c>
      <x:c r="H8" s="6">
        <x:v>10022.0</x:v>
      </x:c>
    </x:row>
    <x:row r="9" ht="21" customHeight="1">
      <x:c r="A9" s="5">
        <x:v>43948</x:v>
      </x:c>
      <x:c r="B9" s="1" t="inlineStr">
        <x:is>
          <x:t>Кемерово</x:t>
        </x:is>
      </x:c>
      <x:c r="C9" s="6">
        <x:v>16029679.5</x:v>
      </x:c>
      <x:c r="D9" s="6">
        <x:v>12779410.085</x:v>
      </x:c>
      <x:c r="E9" s="6">
        <x:v>1156679.4788538462</x:v>
      </x:c>
      <x:c r="F9" s="6">
        <x:v>111.0</x:v>
      </x:c>
      <x:c r="G9" s="6">
        <x:v>9989.0</x:v>
      </x:c>
      <x:c r="H9" s="6">
        <x:v>9024.0</x:v>
      </x:c>
    </x:row>
    <x:row r="10" ht="21" customHeight="1">
      <x:c r="A10" s="5">
        <x:v>43948</x:v>
      </x:c>
      <x:c r="B10" s="1" t="inlineStr">
        <x:is>
          <x:t>Краснодар</x:t>
        </x:is>
      </x:c>
      <x:c r="C10" s="6">
        <x:v>13955985.0</x:v>
      </x:c>
      <x:c r="D10" s="6">
        <x:v>11045697.334</x:v>
      </x:c>
      <x:c r="E10" s="6">
        <x:v>629446.8330538461</x:v>
      </x:c>
      <x:c r="F10" s="6">
        <x:v>112.0</x:v>
      </x:c>
      <x:c r="G10" s="6">
        <x:v>9273.0</x:v>
      </x:c>
      <x:c r="H10" s="6">
        <x:v>8387.0</x:v>
      </x:c>
    </x:row>
    <x:row r="11" ht="21" customHeight="1">
      <x:c r="A11" s="5">
        <x:v>43948</x:v>
      </x:c>
      <x:c r="B11" s="1" t="inlineStr">
        <x:is>
          <x:t>Москва Восток</x:t>
        </x:is>
      </x:c>
      <x:c r="C11" s="6">
        <x:v>130713645.0</x:v>
      </x:c>
      <x:c r="D11" s="6">
        <x:v>95093708.69</x:v>
      </x:c>
      <x:c r="E11" s="6">
        <x:v>1689967.6840000001</x:v>
      </x:c>
      <x:c r="F11" s="6">
        <x:v>324.0</x:v>
      </x:c>
      <x:c r="G11" s="6">
        <x:v>78520.0</x:v>
      </x:c>
      <x:c r="H11" s="6">
        <x:v>72812.0</x:v>
      </x:c>
    </x:row>
    <x:row r="12" ht="21" customHeight="1">
      <x:c r="A12" s="5">
        <x:v>43948</x:v>
      </x:c>
      <x:c r="B12" s="1" t="inlineStr">
        <x:is>
          <x:t>Москва Запад</x:t>
        </x:is>
      </x:c>
      <x:c r="C12" s="6">
        <x:v>136791225.0</x:v>
      </x:c>
      <x:c r="D12" s="6">
        <x:v>99555154.792</x:v>
      </x:c>
      <x:c r="E12" s="6">
        <x:v>1630325.1784615384</x:v>
      </x:c>
      <x:c r="F12" s="6">
        <x:v>354.0</x:v>
      </x:c>
      <x:c r="G12" s="6">
        <x:v>82308.0</x:v>
      </x:c>
      <x:c r="H12" s="6">
        <x:v>76091.0</x:v>
      </x:c>
    </x:row>
    <x:row r="13" ht="21" customHeight="1">
      <x:c r="A13" s="5">
        <x:v>43948</x:v>
      </x:c>
      <x:c r="B13" s="1" t="inlineStr">
        <x:is>
          <x:t>Нижний Новгород</x:t>
        </x:is>
      </x:c>
      <x:c r="C13" s="6">
        <x:v>13145965.5</x:v>
      </x:c>
      <x:c r="D13" s="6">
        <x:v>10548760.712</x:v>
      </x:c>
      <x:c r="E13" s="6">
        <x:v>1030247.6045076924</x:v>
      </x:c>
      <x:c r="F13" s="6">
        <x:v>111.0</x:v>
      </x:c>
      <x:c r="G13" s="6">
        <x:v>8588.0</x:v>
      </x:c>
      <x:c r="H13" s="6">
        <x:v>7529.0</x:v>
      </x:c>
    </x:row>
    <x:row r="14" ht="21" customHeight="1">
      <x:c r="A14" s="5">
        <x:v>43948</x:v>
      </x:c>
      <x:c r="B14" s="1" t="inlineStr">
        <x:is>
          <x:t>Новосибирск</x:t>
        </x:is>
      </x:c>
      <x:c r="C14" s="6">
        <x:v>5746024.5</x:v>
      </x:c>
      <x:c r="D14" s="6">
        <x:v>4970972.193</x:v>
      </x:c>
      <x:c r="E14" s="6">
        <x:v>702743.844676923</x:v>
      </x:c>
      <x:c r="F14" s="6">
        <x:v>90.0</x:v>
      </x:c>
      <x:c r="G14" s="6">
        <x:v>3812.0</x:v>
      </x:c>
      <x:c r="H14" s="6">
        <x:v>3292.0</x:v>
      </x:c>
    </x:row>
    <x:row r="15" ht="21" customHeight="1">
      <x:c r="A15" s="5">
        <x:v>43948</x:v>
      </x:c>
      <x:c r="B15" s="1" t="inlineStr">
        <x:is>
          <x:t>Пермь</x:t>
        </x:is>
      </x:c>
      <x:c r="C15" s="6">
        <x:v>6961020.0</x:v>
      </x:c>
      <x:c r="D15" s="6">
        <x:v>5685820.9520000005</x:v>
      </x:c>
      <x:c r="E15" s="6">
        <x:v>1020574.4484</x:v>
      </x:c>
      <x:c r="F15" s="6">
        <x:v>90.0</x:v>
      </x:c>
      <x:c r="G15" s="6">
        <x:v>4888.0</x:v>
      </x:c>
      <x:c r="H15" s="6">
        <x:v>4311.0</x:v>
      </x:c>
    </x:row>
    <x:row r="16" ht="21" customHeight="1">
      <x:c r="A16" s="5">
        <x:v>43948</x:v>
      </x:c>
      <x:c r="B16" s="1" t="inlineStr">
        <x:is>
          <x:t>Ростов-на-Дону</x:t>
        </x:is>
      </x:c>
      <x:c r="C16" s="6">
        <x:v>2008809.0</x:v>
      </x:c>
      <x:c r="D16" s="6">
        <x:v>1777068.412</x:v>
      </x:c>
      <x:c r="E16" s="6">
        <x:v>215405.9196461538</x:v>
      </x:c>
      <x:c r="F16" s="6">
        <x:v>60.0</x:v>
      </x:c>
      <x:c r="G16" s="6">
        <x:v>1285.0</x:v>
      </x:c>
      <x:c r="H16" s="6">
        <x:v>1007.0</x:v>
      </x:c>
    </x:row>
    <x:row r="17" ht="21" customHeight="1">
      <x:c r="A17" s="5">
        <x:v>43948</x:v>
      </x:c>
      <x:c r="B17" s="1" t="inlineStr">
        <x:is>
          <x:t>Санкт-Петербург Север</x:t>
        </x:is>
      </x:c>
      <x:c r="C17" s="6">
        <x:v>233059077.0</x:v>
      </x:c>
      <x:c r="D17" s="6">
        <x:v>169456344.505</x:v>
      </x:c>
      <x:c r="E17" s="6">
        <x:v>3925137.1901</x:v>
      </x:c>
      <x:c r="F17" s="6">
        <x:v>750.0</x:v>
      </x:c>
      <x:c r="G17" s="6">
        <x:v>121540.0</x:v>
      </x:c>
      <x:c r="H17" s="6">
        <x:v>112130.0</x:v>
      </x:c>
    </x:row>
    <x:row r="18" ht="21" customHeight="1">
      <x:c r="A18" s="5">
        <x:v>43948</x:v>
      </x:c>
      <x:c r="B18" s="1" t="inlineStr">
        <x:is>
          <x:t>Санкт-Петербург Юг</x:t>
        </x:is>
      </x:c>
      <x:c r="C18" s="6">
        <x:v>176269533.0</x:v>
      </x:c>
      <x:c r="D18" s="6">
        <x:v>128842901.17900002</x:v>
      </x:c>
      <x:c r="E18" s="6">
        <x:v>3874828.5075615384</x:v>
      </x:c>
      <x:c r="F18" s="6">
        <x:v>772.0</x:v>
      </x:c>
      <x:c r="G18" s="6">
        <x:v>98649.0</x:v>
      </x:c>
      <x:c r="H18" s="6">
        <x:v>91142.0</x:v>
      </x:c>
    </x:row>
    <x:row r="19" ht="21" customHeight="1">
      <x:c r="A19" s="5">
        <x:v>43948</x:v>
      </x:c>
      <x:c r="B19" s="1" t="inlineStr">
        <x:is>
          <x:t>Тольятти</x:t>
        </x:is>
      </x:c>
      <x:c r="C19" s="6">
        <x:v>4531000.5</x:v>
      </x:c>
      <x:c r="D19" s="6">
        <x:v>4325083.237</x:v>
      </x:c>
      <x:c r="E19" s="6">
        <x:v>449574.07804615377</x:v>
      </x:c>
      <x:c r="F19" s="6">
        <x:v>60.0</x:v>
      </x:c>
      <x:c r="G19" s="6">
        <x:v>2902.0</x:v>
      </x:c>
      <x:c r="H19" s="6">
        <x:v>2461.0</x:v>
      </x:c>
    </x:row>
    <x:row r="20" ht="21" customHeight="1">
      <x:c r="A20" s="5">
        <x:v>43955</x:v>
      </x:c>
      <x:c r="B20" s="1" t="inlineStr">
        <x:is>
          <x:t>Волгоград</x:t>
        </x:is>
      </x:c>
      <x:c r="C20" s="6">
        <x:v>43307155.5</x:v>
      </x:c>
      <x:c r="D20" s="6">
        <x:v>33140836.218000002</x:v>
      </x:c>
      <x:c r="E20" s="6">
        <x:v>1577878.7621846155</x:v>
      </x:c>
      <x:c r="F20" s="6">
        <x:v>252.0</x:v>
      </x:c>
      <x:c r="G20" s="6">
        <x:v>33651.0</x:v>
      </x:c>
      <x:c r="H20" s="6">
        <x:v>30909.0</x:v>
      </x:c>
    </x:row>
    <x:row r="21" ht="21" customHeight="1">
      <x:c r="A21" s="5">
        <x:v>43955</x:v>
      </x:c>
      <x:c r="B21" s="1" t="inlineStr">
        <x:is>
          <x:t>Екатеринбург</x:t>
        </x:is>
      </x:c>
      <x:c r="C21" s="6">
        <x:v>46366009.5</x:v>
      </x:c>
      <x:c r="D21" s="6">
        <x:v>35119579.268</x:v>
      </x:c>
      <x:c r="E21" s="6">
        <x:v>1565964.5231076924</x:v>
      </x:c>
      <x:c r="F21" s="6">
        <x:v>217.0</x:v>
      </x:c>
      <x:c r="G21" s="6">
        <x:v>34454.0</x:v>
      </x:c>
      <x:c r="H21" s="6">
        <x:v>31850.0</x:v>
      </x:c>
    </x:row>
    <x:row r="22" ht="21" customHeight="1">
      <x:c r="A22" s="5">
        <x:v>43955</x:v>
      </x:c>
      <x:c r="B22" s="1" t="inlineStr">
        <x:is>
          <x:t>Казань</x:t>
        </x:is>
      </x:c>
      <x:c r="C22" s="6">
        <x:v>20974521.0</x:v>
      </x:c>
      <x:c r="D22" s="6">
        <x:v>16151661.138</x:v>
      </x:c>
      <x:c r="E22" s="6">
        <x:v>1369258.554476923</x:v>
      </x:c>
      <x:c r="F22" s="6">
        <x:v>144.0</x:v>
      </x:c>
      <x:c r="G22" s="6">
        <x:v>13155.0</x:v>
      </x:c>
      <x:c r="H22" s="6">
        <x:v>11884.0</x:v>
      </x:c>
    </x:row>
    <x:row r="23" ht="21" customHeight="1">
      <x:c r="A23" s="5">
        <x:v>43955</x:v>
      </x:c>
      <x:c r="B23" s="1" t="inlineStr">
        <x:is>
          <x:t>Кемерово</x:t>
        </x:is>
      </x:c>
      <x:c r="C23" s="6">
        <x:v>19479055.5</x:v>
      </x:c>
      <x:c r="D23" s="6">
        <x:v>15649097.159</x:v>
      </x:c>
      <x:c r="E23" s="6">
        <x:v>2110390.139730769</x:v>
      </x:c>
      <x:c r="F23" s="6">
        <x:v>144.0</x:v>
      </x:c>
      <x:c r="G23" s="6">
        <x:v>12015.0</x:v>
      </x:c>
      <x:c r="H23" s="6">
        <x:v>10919.0</x:v>
      </x:c>
    </x:row>
    <x:row r="24" ht="21" customHeight="1">
      <x:c r="A24" s="5">
        <x:v>43955</x:v>
      </x:c>
      <x:c r="B24" s="1" t="inlineStr">
        <x:is>
          <x:t>Краснодар</x:t>
        </x:is>
      </x:c>
      <x:c r="C24" s="6">
        <x:v>16391856.0</x:v>
      </x:c>
      <x:c r="D24" s="6">
        <x:v>12947043.906</x:v>
      </x:c>
      <x:c r="E24" s="6">
        <x:v>877288.6226461539</x:v>
      </x:c>
      <x:c r="F24" s="6">
        <x:v>133.0</x:v>
      </x:c>
      <x:c r="G24" s="6">
        <x:v>11088.0</x:v>
      </x:c>
      <x:c r="H24" s="6">
        <x:v>10109.0</x:v>
      </x:c>
    </x:row>
    <x:row r="25" ht="21" customHeight="1">
      <x:c r="A25" s="5">
        <x:v>43955</x:v>
      </x:c>
      <x:c r="B25" s="1" t="inlineStr">
        <x:is>
          <x:t>Москва Восток</x:t>
        </x:is>
      </x:c>
      <x:c r="C25" s="6">
        <x:v>151642039.5</x:v>
      </x:c>
      <x:c r="D25" s="6">
        <x:v>110583069.837</x:v>
      </x:c>
      <x:c r="E25" s="6">
        <x:v>2906226.7357846154</x:v>
      </x:c>
      <x:c r="F25" s="6">
        <x:v>378.0</x:v>
      </x:c>
      <x:c r="G25" s="6">
        <x:v>91213.0</x:v>
      </x:c>
      <x:c r="H25" s="6">
        <x:v>84920.0</x:v>
      </x:c>
    </x:row>
    <x:row r="26" ht="21" customHeight="1">
      <x:c r="A26" s="5">
        <x:v>43955</x:v>
      </x:c>
      <x:c r="B26" s="1" t="inlineStr">
        <x:is>
          <x:t>Москва Запад</x:t>
        </x:is>
      </x:c>
      <x:c r="C26" s="6">
        <x:v>159695760.0</x:v>
      </x:c>
      <x:c r="D26" s="6">
        <x:v>116456707.70699999</x:v>
      </x:c>
      <x:c r="E26" s="6">
        <x:v>2849603.0945153846</x:v>
      </x:c>
      <x:c r="F26" s="6">
        <x:v>413.0</x:v>
      </x:c>
      <x:c r="G26" s="6">
        <x:v>96173.0</x:v>
      </x:c>
      <x:c r="H26" s="6">
        <x:v>89362.0</x:v>
      </x:c>
    </x:row>
    <x:row r="27" ht="21" customHeight="1">
      <x:c r="A27" s="5">
        <x:v>43955</x:v>
      </x:c>
      <x:c r="B27" s="1" t="inlineStr">
        <x:is>
          <x:t>Нижний Новгород</x:t>
        </x:is>
      </x:c>
      <x:c r="C27" s="6">
        <x:v>17149980.0</x:v>
      </x:c>
      <x:c r="D27" s="6">
        <x:v>13694375.313</x:v>
      </x:c>
      <x:c r="E27" s="6">
        <x:v>1464220.0105461539</x:v>
      </x:c>
      <x:c r="F27" s="6">
        <x:v>133.0</x:v>
      </x:c>
      <x:c r="G27" s="6">
        <x:v>11249.0</x:v>
      </x:c>
      <x:c r="H27" s="6">
        <x:v>9933.0</x:v>
      </x:c>
    </x:row>
    <x:row r="28" ht="21" customHeight="1">
      <x:c r="A28" s="5">
        <x:v>43955</x:v>
      </x:c>
      <x:c r="B28" s="1" t="inlineStr">
        <x:is>
          <x:t>Новосибирск</x:t>
        </x:is>
      </x:c>
      <x:c r="C28" s="6">
        <x:v>7253572.5</x:v>
      </x:c>
      <x:c r="D28" s="6">
        <x:v>6106621.646</x:v>
      </x:c>
      <x:c r="E28" s="6">
        <x:v>1138343.9054692306</x:v>
      </x:c>
      <x:c r="F28" s="6">
        <x:v>105.0</x:v>
      </x:c>
      <x:c r="G28" s="6">
        <x:v>4898.0</x:v>
      </x:c>
      <x:c r="H28" s="6">
        <x:v>4272.0</x:v>
      </x:c>
    </x:row>
    <x:row r="29" ht="21" customHeight="1">
      <x:c r="A29" s="5">
        <x:v>43955</x:v>
      </x:c>
      <x:c r="B29" s="1" t="inlineStr">
        <x:is>
          <x:t>Пермь</x:t>
        </x:is>
      </x:c>
      <x:c r="C29" s="6">
        <x:v>8778597.0</x:v>
      </x:c>
      <x:c r="D29" s="6">
        <x:v>7042367.028</x:v>
      </x:c>
      <x:c r="E29" s="6">
        <x:v>1860285.9080461538</x:v>
      </x:c>
      <x:c r="F29" s="6">
        <x:v>105.0</x:v>
      </x:c>
      <x:c r="G29" s="6">
        <x:v>5994.0</x:v>
      </x:c>
      <x:c r="H29" s="6">
        <x:v>5262.0</x:v>
      </x:c>
    </x:row>
    <x:row r="30" ht="21" customHeight="1">
      <x:c r="A30" s="5">
        <x:v>43955</x:v>
      </x:c>
      <x:c r="B30" s="1" t="inlineStr">
        <x:is>
          <x:t>Ростов-на-Дону</x:t>
        </x:is>
      </x:c>
      <x:c r="C30" s="6">
        <x:v>5892277.5</x:v>
      </x:c>
      <x:c r="D30" s="6">
        <x:v>5068349.416999999</x:v>
      </x:c>
      <x:c r="E30" s="6">
        <x:v>1155164.1261923078</x:v>
      </x:c>
      <x:c r="F30" s="6">
        <x:v>105.0</x:v>
      </x:c>
      <x:c r="G30" s="6">
        <x:v>3613.0</x:v>
      </x:c>
      <x:c r="H30" s="6">
        <x:v>3038.0</x:v>
      </x:c>
    </x:row>
    <x:row r="31" ht="21" customHeight="1">
      <x:c r="A31" s="5">
        <x:v>43955</x:v>
      </x:c>
      <x:c r="B31" s="1" t="inlineStr">
        <x:is>
          <x:t>Санкт-Петербург Север</x:t>
        </x:is>
      </x:c>
      <x:c r="C31" s="6">
        <x:v>272762503.5</x:v>
      </x:c>
      <x:c r="D31" s="6">
        <x:v>197276964.52499998</x:v>
      </x:c>
      <x:c r="E31" s="6">
        <x:v>5857908.655930769</x:v>
      </x:c>
      <x:c r="F31" s="6">
        <x:v>875.0</x:v>
      </x:c>
      <x:c r="G31" s="6">
        <x:v>142791.0</x:v>
      </x:c>
      <x:c r="H31" s="6">
        <x:v>131969.0</x:v>
      </x:c>
    </x:row>
    <x:row r="32" ht="21" customHeight="1">
      <x:c r="A32" s="5">
        <x:v>43955</x:v>
      </x:c>
      <x:c r="B32" s="1" t="inlineStr">
        <x:is>
          <x:t>Санкт-Петербург Юг</x:t>
        </x:is>
      </x:c>
      <x:c r="C32" s="6">
        <x:v>208128393.85665</x:v>
      </x:c>
      <x:c r="D32" s="6">
        <x:v>150951174.688</x:v>
      </x:c>
      <x:c r="E32" s="6">
        <x:v>5378966.7493230775</x:v>
      </x:c>
      <x:c r="F32" s="6">
        <x:v>903.0</x:v>
      </x:c>
      <x:c r="G32" s="6">
        <x:v>116457.0</x:v>
      </x:c>
      <x:c r="H32" s="6">
        <x:v>107831.0</x:v>
      </x:c>
    </x:row>
    <x:row r="33" ht="21" customHeight="1">
      <x:c r="A33" s="5">
        <x:v>43955</x:v>
      </x:c>
      <x:c r="B33" s="1" t="inlineStr">
        <x:is>
          <x:t>Тольятти</x:t>
        </x:is>
      </x:c>
      <x:c r="C33" s="6">
        <x:v>6093688.5</x:v>
      </x:c>
      <x:c r="D33" s="6">
        <x:v>5432596.347</x:v>
      </x:c>
      <x:c r="E33" s="6">
        <x:v>624717.6245076922</x:v>
      </x:c>
      <x:c r="F33" s="6">
        <x:v>70.0</x:v>
      </x:c>
      <x:c r="G33" s="6">
        <x:v>3925.0</x:v>
      </x:c>
      <x:c r="H33" s="6">
        <x:v>3371.0</x:v>
      </x:c>
    </x:row>
    <x:row r="34" ht="21" customHeight="1">
      <x:c r="A34" s="5">
        <x:v>43962</x:v>
      </x:c>
      <x:c r="B34" s="1" t="inlineStr">
        <x:is>
          <x:t>Волгоград</x:t>
        </x:is>
      </x:c>
      <x:c r="C34" s="6">
        <x:v>41300679.0</x:v>
      </x:c>
      <x:c r="D34" s="6">
        <x:v>32413619.108999997</x:v>
      </x:c>
      <x:c r="E34" s="6">
        <x:v>1153474.839607692</x:v>
      </x:c>
      <x:c r="F34" s="6">
        <x:v>252.0</x:v>
      </x:c>
      <x:c r="G34" s="6">
        <x:v>32886.0</x:v>
      </x:c>
      <x:c r="H34" s="6">
        <x:v>30356.0</x:v>
      </x:c>
    </x:row>
    <x:row r="35" ht="21" customHeight="1">
      <x:c r="A35" s="5">
        <x:v>43962</x:v>
      </x:c>
      <x:c r="B35" s="1" t="inlineStr">
        <x:is>
          <x:t>Екатеринбург</x:t>
        </x:is>
      </x:c>
      <x:c r="C35" s="6">
        <x:v>47079841.5</x:v>
      </x:c>
      <x:c r="D35" s="6">
        <x:v>35597400.172</x:v>
      </x:c>
      <x:c r="E35" s="6">
        <x:v>1103372.8045384614</x:v>
      </x:c>
      <x:c r="F35" s="6">
        <x:v>217.0</x:v>
      </x:c>
      <x:c r="G35" s="6">
        <x:v>35555.0</x:v>
      </x:c>
      <x:c r="H35" s="6">
        <x:v>32976.0</x:v>
      </x:c>
    </x:row>
    <x:row r="36" ht="21" customHeight="1">
      <x:c r="A36" s="5">
        <x:v>43962</x:v>
      </x:c>
      <x:c r="B36" s="1" t="inlineStr">
        <x:is>
          <x:t>Казань</x:t>
        </x:is>
      </x:c>
      <x:c r="C36" s="6">
        <x:v>23603355.0</x:v>
      </x:c>
      <x:c r="D36" s="6">
        <x:v>18713102.851999998</x:v>
      </x:c>
      <x:c r="E36" s="6">
        <x:v>1451958.8952923077</x:v>
      </x:c>
      <x:c r="F36" s="6">
        <x:v>147.0</x:v>
      </x:c>
      <x:c r="G36" s="6">
        <x:v>14632.0</x:v>
      </x:c>
      <x:c r="H36" s="6">
        <x:v>13291.0</x:v>
      </x:c>
    </x:row>
    <x:row r="37" ht="21" customHeight="1">
      <x:c r="A37" s="5">
        <x:v>43962</x:v>
      </x:c>
      <x:c r="B37" s="1" t="inlineStr">
        <x:is>
          <x:t>Кемерово</x:t>
        </x:is>
      </x:c>
      <x:c r="C37" s="6">
        <x:v>19724733.0</x:v>
      </x:c>
      <x:c r="D37" s="6">
        <x:v>15706086.412</x:v>
      </x:c>
      <x:c r="E37" s="6">
        <x:v>2183890.2336</x:v>
      </x:c>
      <x:c r="F37" s="6">
        <x:v>147.0</x:v>
      </x:c>
      <x:c r="G37" s="6">
        <x:v>12602.0</x:v>
      </x:c>
      <x:c r="H37" s="6">
        <x:v>11469.0</x:v>
      </x:c>
    </x:row>
    <x:row r="38" ht="21" customHeight="1">
      <x:c r="A38" s="5">
        <x:v>43962</x:v>
      </x:c>
      <x:c r="B38" s="1" t="inlineStr">
        <x:is>
          <x:t>Краснодар</x:t>
        </x:is>
      </x:c>
      <x:c r="C38" s="6">
        <x:v>16732521.0</x:v>
      </x:c>
      <x:c r="D38" s="6">
        <x:v>13284890.583999999</x:v>
      </x:c>
      <x:c r="E38" s="6">
        <x:v>763810.8832923076</x:v>
      </x:c>
      <x:c r="F38" s="6">
        <x:v>133.0</x:v>
      </x:c>
      <x:c r="G38" s="6">
        <x:v>11974.0</x:v>
      </x:c>
      <x:c r="H38" s="6">
        <x:v>10893.0</x:v>
      </x:c>
    </x:row>
    <x:row r="39" ht="21" customHeight="1">
      <x:c r="A39" s="5">
        <x:v>43962</x:v>
      </x:c>
      <x:c r="B39" s="1" t="inlineStr">
        <x:is>
          <x:t>Москва Восток</x:t>
        </x:is>
      </x:c>
      <x:c r="C39" s="6">
        <x:v>135813990.0</x:v>
      </x:c>
      <x:c r="D39" s="6">
        <x:v>99130725.856</x:v>
      </x:c>
      <x:c r="E39" s="6">
        <x:v>2331053.594069231</x:v>
      </x:c>
      <x:c r="F39" s="6">
        <x:v>378.0</x:v>
      </x:c>
      <x:c r="G39" s="6">
        <x:v>81989.0</x:v>
      </x:c>
      <x:c r="H39" s="6">
        <x:v>76861.0</x:v>
      </x:c>
    </x:row>
    <x:row r="40" ht="21" customHeight="1">
      <x:c r="A40" s="5">
        <x:v>43962</x:v>
      </x:c>
      <x:c r="B40" s="1" t="inlineStr">
        <x:is>
          <x:t>Москва Запад</x:t>
        </x:is>
      </x:c>
      <x:c r="C40" s="6">
        <x:v>142825023.0</x:v>
      </x:c>
      <x:c r="D40" s="6">
        <x:v>103986135.908</x:v>
      </x:c>
      <x:c r="E40" s="6">
        <x:v>2373432.107692308</x:v>
      </x:c>
      <x:c r="F40" s="6">
        <x:v>420.0</x:v>
      </x:c>
      <x:c r="G40" s="6">
        <x:v>86333.0</x:v>
      </x:c>
      <x:c r="H40" s="6">
        <x:v>80774.0</x:v>
      </x:c>
    </x:row>
    <x:row r="41" ht="21" customHeight="1">
      <x:c r="A41" s="5">
        <x:v>43962</x:v>
      </x:c>
      <x:c r="B41" s="1" t="inlineStr">
        <x:is>
          <x:t>Нижний Новгород</x:t>
        </x:is>
      </x:c>
      <x:c r="C41" s="6">
        <x:v>19963153.5</x:v>
      </x:c>
      <x:c r="D41" s="6">
        <x:v>15963150.127</x:v>
      </x:c>
      <x:c r="E41" s="6">
        <x:v>1088568.141430769</x:v>
      </x:c>
      <x:c r="F41" s="6">
        <x:v>133.0</x:v>
      </x:c>
      <x:c r="G41" s="6">
        <x:v>13370.0</x:v>
      </x:c>
      <x:c r="H41" s="6">
        <x:v>11868.0</x:v>
      </x:c>
    </x:row>
    <x:row r="42" ht="21" customHeight="1">
      <x:c r="A42" s="5">
        <x:v>43962</x:v>
      </x:c>
      <x:c r="B42" s="1" t="inlineStr">
        <x:is>
          <x:t>Новосибирск</x:t>
        </x:is>
      </x:c>
      <x:c r="C42" s="6">
        <x:v>7841920.5</x:v>
      </x:c>
      <x:c r="D42" s="6">
        <x:v>6510421.608999999</x:v>
      </x:c>
      <x:c r="E42" s="6">
        <x:v>1140779.3025538463</x:v>
      </x:c>
      <x:c r="F42" s="6">
        <x:v>109.0</x:v>
      </x:c>
      <x:c r="G42" s="6">
        <x:v>5688.0</x:v>
      </x:c>
      <x:c r="H42" s="6">
        <x:v>4996.0</x:v>
      </x:c>
    </x:row>
    <x:row r="43" ht="21" customHeight="1">
      <x:c r="A43" s="5">
        <x:v>43962</x:v>
      </x:c>
      <x:c r="B43" s="1" t="inlineStr">
        <x:is>
          <x:t>Пермь</x:t>
        </x:is>
      </x:c>
      <x:c r="C43" s="6">
        <x:v>9036316.5</x:v>
      </x:c>
      <x:c r="D43" s="6">
        <x:v>7202690.934</x:v>
      </x:c>
      <x:c r="E43" s="6">
        <x:v>1686947.3593076922</x:v>
      </x:c>
      <x:c r="F43" s="6">
        <x:v>105.0</x:v>
      </x:c>
      <x:c r="G43" s="6">
        <x:v>6507.0</x:v>
      </x:c>
      <x:c r="H43" s="6">
        <x:v>5744.0</x:v>
      </x:c>
    </x:row>
    <x:row r="44" ht="21" customHeight="1">
      <x:c r="A44" s="5">
        <x:v>43962</x:v>
      </x:c>
      <x:c r="B44" s="1" t="inlineStr">
        <x:is>
          <x:t>Ростов-на-Дону</x:t>
        </x:is>
      </x:c>
      <x:c r="C44" s="6">
        <x:v>7382458.5</x:v>
      </x:c>
      <x:c r="D44" s="6">
        <x:v>6115222.863999998</x:v>
      </x:c>
      <x:c r="E44" s="6">
        <x:v>1303164.203153846</x:v>
      </x:c>
      <x:c r="F44" s="6">
        <x:v>105.0</x:v>
      </x:c>
      <x:c r="G44" s="6">
        <x:v>4672.0</x:v>
      </x:c>
      <x:c r="H44" s="6">
        <x:v>4022.0</x:v>
      </x:c>
    </x:row>
    <x:row r="45" ht="21" customHeight="1">
      <x:c r="A45" s="5">
        <x:v>43962</x:v>
      </x:c>
      <x:c r="B45" s="1" t="inlineStr">
        <x:is>
          <x:t>Санкт-Петербург Север</x:t>
        </x:is>
      </x:c>
      <x:c r="C45" s="6">
        <x:v>269949999.0</x:v>
      </x:c>
      <x:c r="D45" s="6">
        <x:v>196016864.889</x:v>
      </x:c>
      <x:c r="E45" s="6">
        <x:v>3940487.6369000003</x:v>
      </x:c>
      <x:c r="F45" s="6">
        <x:v>875.0</x:v>
      </x:c>
      <x:c r="G45" s="6">
        <x:v>143616.0</x:v>
      </x:c>
      <x:c r="H45" s="6">
        <x:v>133510.0</x:v>
      </x:c>
    </x:row>
    <x:row r="46" ht="21" customHeight="1">
      <x:c r="A46" s="5">
        <x:v>43962</x:v>
      </x:c>
      <x:c r="B46" s="1" t="inlineStr">
        <x:is>
          <x:t>Санкт-Петербург Юг</x:t>
        </x:is>
      </x:c>
      <x:c r="C46" s="6">
        <x:v>199569624.22395</x:v>
      </x:c>
      <x:c r="D46" s="6">
        <x:v>145409726.83099997</x:v>
      </x:c>
      <x:c r="E46" s="6">
        <x:v>4604449.348507692</x:v>
      </x:c>
      <x:c r="F46" s="6">
        <x:v>903.0</x:v>
      </x:c>
      <x:c r="G46" s="6">
        <x:v>113004.0</x:v>
      </x:c>
      <x:c r="H46" s="6">
        <x:v>105344.0</x:v>
      </x:c>
    </x:row>
    <x:row r="47" ht="21" customHeight="1">
      <x:c r="A47" s="5">
        <x:v>43962</x:v>
      </x:c>
      <x:c r="B47" s="1" t="inlineStr">
        <x:is>
          <x:t>Тольятти</x:t>
        </x:is>
      </x:c>
      <x:c r="C47" s="6">
        <x:v>6439392.0</x:v>
      </x:c>
      <x:c r="D47" s="6">
        <x:v>5726486.329</x:v>
      </x:c>
      <x:c r="E47" s="6">
        <x:v>712207.2877846153</x:v>
      </x:c>
      <x:c r="F47" s="6">
        <x:v>70.0</x:v>
      </x:c>
      <x:c r="G47" s="6">
        <x:v>4353.0</x:v>
      </x:c>
      <x:c r="H47" s="6">
        <x:v>3781.0</x:v>
      </x:c>
    </x:row>
    <x:row r="48" ht="21" customHeight="1">
      <x:c r="A48" s="5">
        <x:v>43969</x:v>
      </x:c>
      <x:c r="B48" s="1" t="inlineStr">
        <x:is>
          <x:t>Волгоград</x:t>
        </x:is>
      </x:c>
      <x:c r="C48" s="6">
        <x:v>44172813.0</x:v>
      </x:c>
      <x:c r="D48" s="6">
        <x:v>36684709.173</x:v>
      </x:c>
      <x:c r="E48" s="6">
        <x:v>1350955.4363538462</x:v>
      </x:c>
      <x:c r="F48" s="6">
        <x:v>252.0</x:v>
      </x:c>
      <x:c r="G48" s="6">
        <x:v>36132.0</x:v>
      </x:c>
      <x:c r="H48" s="6">
        <x:v>33284.0</x:v>
      </x:c>
    </x:row>
    <x:row r="49" ht="21" customHeight="1">
      <x:c r="A49" s="5">
        <x:v>43969</x:v>
      </x:c>
      <x:c r="B49" s="1" t="inlineStr">
        <x:is>
          <x:t>Екатеринбург</x:t>
        </x:is>
      </x:c>
      <x:c r="C49" s="6">
        <x:v>49575288.0</x:v>
      </x:c>
      <x:c r="D49" s="6">
        <x:v>39724986.72500001</x:v>
      </x:c>
      <x:c r="E49" s="6">
        <x:v>1543160.6804769232</x:v>
      </x:c>
      <x:c r="F49" s="6">
        <x:v>217.0</x:v>
      </x:c>
      <x:c r="G49" s="6">
        <x:v>38735.0</x:v>
      </x:c>
      <x:c r="H49" s="6">
        <x:v>35980.0</x:v>
      </x:c>
    </x:row>
    <x:row r="50" ht="21" customHeight="1">
      <x:c r="A50" s="5">
        <x:v>43969</x:v>
      </x:c>
      <x:c r="B50" s="1" t="inlineStr">
        <x:is>
          <x:t>Казань</x:t>
        </x:is>
      </x:c>
      <x:c r="C50" s="6">
        <x:v>26815804.5</x:v>
      </x:c>
      <x:c r="D50" s="6">
        <x:v>21546858.08</x:v>
      </x:c>
      <x:c r="E50" s="6">
        <x:v>1281966.4175153845</x:v>
      </x:c>
      <x:c r="F50" s="6">
        <x:v>147.0</x:v>
      </x:c>
      <x:c r="G50" s="6">
        <x:v>16701.0</x:v>
      </x:c>
      <x:c r="H50" s="6">
        <x:v>15227.0</x:v>
      </x:c>
    </x:row>
    <x:row r="51" ht="21" customHeight="1">
      <x:c r="A51" s="5">
        <x:v>43969</x:v>
      </x:c>
      <x:c r="B51" s="1" t="inlineStr">
        <x:is>
          <x:t>Кемерово</x:t>
        </x:is>
      </x:c>
      <x:c r="C51" s="6">
        <x:v>20915751.0</x:v>
      </x:c>
      <x:c r="D51" s="6">
        <x:v>17150806.778999995</x:v>
      </x:c>
      <x:c r="E51" s="6">
        <x:v>2217684.084084615</x:v>
      </x:c>
      <x:c r="F51" s="6">
        <x:v>146.0</x:v>
      </x:c>
      <x:c r="G51" s="6">
        <x:v>13787.0</x:v>
      </x:c>
      <x:c r="H51" s="6">
        <x:v>12585.0</x:v>
      </x:c>
    </x:row>
    <x:row r="52" ht="21" customHeight="1">
      <x:c r="A52" s="5">
        <x:v>43969</x:v>
      </x:c>
      <x:c r="B52" s="1" t="inlineStr">
        <x:is>
          <x:t>Краснодар</x:t>
        </x:is>
      </x:c>
      <x:c r="C52" s="6">
        <x:v>17647479.0</x:v>
      </x:c>
      <x:c r="D52" s="6">
        <x:v>14254201.123</x:v>
      </x:c>
      <x:c r="E52" s="6">
        <x:v>710089.3046769232</x:v>
      </x:c>
      <x:c r="F52" s="6">
        <x:v>133.0</x:v>
      </x:c>
      <x:c r="G52" s="6">
        <x:v>12967.0</x:v>
      </x:c>
      <x:c r="H52" s="6">
        <x:v>11849.0</x:v>
      </x:c>
    </x:row>
    <x:row r="53" ht="21" customHeight="1">
      <x:c r="A53" s="5">
        <x:v>43969</x:v>
      </x:c>
      <x:c r="B53" s="1" t="inlineStr">
        <x:is>
          <x:t>Москва Восток</x:t>
        </x:is>
      </x:c>
      <x:c r="C53" s="6">
        <x:v>149589546.0</x:v>
      </x:c>
      <x:c r="D53" s="6">
        <x:v>111439552.26000002</x:v>
      </x:c>
      <x:c r="E53" s="6">
        <x:v>2070984.673953846</x:v>
      </x:c>
      <x:c r="F53" s="6">
        <x:v>378.0</x:v>
      </x:c>
      <x:c r="G53" s="6">
        <x:v>93066.0</x:v>
      </x:c>
      <x:c r="H53" s="6">
        <x:v>86927.0</x:v>
      </x:c>
    </x:row>
    <x:row r="54" ht="21" customHeight="1">
      <x:c r="A54" s="5">
        <x:v>43969</x:v>
      </x:c>
      <x:c r="B54" s="1" t="inlineStr">
        <x:is>
          <x:t>Москва Запад</x:t>
        </x:is>
      </x:c>
      <x:c r="C54" s="6">
        <x:v>157512358.5</x:v>
      </x:c>
      <x:c r="D54" s="6">
        <x:v>116869445.964</x:v>
      </x:c>
      <x:c r="E54" s="6">
        <x:v>2128560.7931153844</x:v>
      </x:c>
      <x:c r="F54" s="6">
        <x:v>420.0</x:v>
      </x:c>
      <x:c r="G54" s="6">
        <x:v>98291.0</x:v>
      </x:c>
      <x:c r="H54" s="6">
        <x:v>91441.0</x:v>
      </x:c>
    </x:row>
    <x:row r="55" ht="21" customHeight="1">
      <x:c r="A55" s="5">
        <x:v>43969</x:v>
      </x:c>
      <x:c r="B55" s="1" t="inlineStr">
        <x:is>
          <x:t>Нижний Новгород</x:t>
        </x:is>
      </x:c>
      <x:c r="C55" s="6">
        <x:v>20713983.0</x:v>
      </x:c>
      <x:c r="D55" s="6">
        <x:v>17024678.662</x:v>
      </x:c>
      <x:c r="E55" s="6">
        <x:v>1202472.4397307693</x:v>
      </x:c>
      <x:c r="F55" s="6">
        <x:v>136.0</x:v>
      </x:c>
      <x:c r="G55" s="6">
        <x:v>14282.0</x:v>
      </x:c>
      <x:c r="H55" s="6">
        <x:v>12711.0</x:v>
      </x:c>
    </x:row>
    <x:row r="56" ht="21" customHeight="1">
      <x:c r="A56" s="5">
        <x:v>43969</x:v>
      </x:c>
      <x:c r="B56" s="1" t="inlineStr">
        <x:is>
          <x:t>Новосибирск</x:t>
        </x:is>
      </x:c>
      <x:c r="C56" s="6">
        <x:v>8990269.5</x:v>
      </x:c>
      <x:c r="D56" s="6">
        <x:v>7432224.7979999995</x:v>
      </x:c>
      <x:c r="E56" s="6">
        <x:v>957343.225323077</x:v>
      </x:c>
      <x:c r="F56" s="6">
        <x:v>122.0</x:v>
      </x:c>
      <x:c r="G56" s="6">
        <x:v>6521.0</x:v>
      </x:c>
      <x:c r="H56" s="6">
        <x:v>5785.0</x:v>
      </x:c>
    </x:row>
    <x:row r="57" ht="21" customHeight="1">
      <x:c r="A57" s="5">
        <x:v>43969</x:v>
      </x:c>
      <x:c r="B57" s="1" t="inlineStr">
        <x:is>
          <x:t>Пермь</x:t>
        </x:is>
      </x:c>
      <x:c r="C57" s="6">
        <x:v>10598445.0</x:v>
      </x:c>
      <x:c r="D57" s="6">
        <x:v>8666939.83</x:v>
      </x:c>
      <x:c r="E57" s="6">
        <x:v>1638161.1197846155</x:v>
      </x:c>
      <x:c r="F57" s="6">
        <x:v>116.0</x:v>
      </x:c>
      <x:c r="G57" s="6">
        <x:v>7722.0</x:v>
      </x:c>
      <x:c r="H57" s="6">
        <x:v>6869.0</x:v>
      </x:c>
    </x:row>
    <x:row r="58" ht="21" customHeight="1">
      <x:c r="A58" s="5">
        <x:v>43969</x:v>
      </x:c>
      <x:c r="B58" s="1" t="inlineStr">
        <x:is>
          <x:t>Ростов-на-Дону</x:t>
        </x:is>
      </x:c>
      <x:c r="C58" s="6">
        <x:v>8638525.5</x:v>
      </x:c>
      <x:c r="D58" s="6">
        <x:v>7096583.1559999995</x:v>
      </x:c>
      <x:c r="E58" s="6">
        <x:v>1465510.8650692308</x:v>
      </x:c>
      <x:c r="F58" s="6">
        <x:v>105.0</x:v>
      </x:c>
      <x:c r="G58" s="6">
        <x:v>5690.0</x:v>
      </x:c>
      <x:c r="H58" s="6">
        <x:v>4969.0</x:v>
      </x:c>
    </x:row>
    <x:row r="59" ht="21" customHeight="1">
      <x:c r="A59" s="5">
        <x:v>43969</x:v>
      </x:c>
      <x:c r="B59" s="1" t="inlineStr">
        <x:is>
          <x:t>Санкт-Петербург Север</x:t>
        </x:is>
      </x:c>
      <x:c r="C59" s="6">
        <x:v>275539431.57</x:v>
      </x:c>
      <x:c r="D59" s="6">
        <x:v>203112417.09699997</x:v>
      </x:c>
      <x:c r="E59" s="6">
        <x:v>5066670.406492307</x:v>
      </x:c>
      <x:c r="F59" s="6">
        <x:v>875.0</x:v>
      </x:c>
      <x:c r="G59" s="6">
        <x:v>150810.0</x:v>
      </x:c>
      <x:c r="H59" s="6">
        <x:v>139875.0</x:v>
      </x:c>
    </x:row>
    <x:row r="60" ht="21" customHeight="1">
      <x:c r="A60" s="5">
        <x:v>43969</x:v>
      </x:c>
      <x:c r="B60" s="1" t="inlineStr">
        <x:is>
          <x:t>Санкт-Петербург Юг</x:t>
        </x:is>
      </x:c>
      <x:c r="C60" s="6">
        <x:v>204608809.4766</x:v>
      </x:c>
      <x:c r="D60" s="6">
        <x:v>151823199.293</x:v>
      </x:c>
      <x:c r="E60" s="6">
        <x:v>5177984.794684615</x:v>
      </x:c>
      <x:c r="F60" s="6">
        <x:v>903.0</x:v>
      </x:c>
      <x:c r="G60" s="6">
        <x:v>119145.0</x:v>
      </x:c>
      <x:c r="H60" s="6">
        <x:v>110710.0</x:v>
      </x:c>
    </x:row>
    <x:row r="61" ht="21" customHeight="1">
      <x:c r="A61" s="5">
        <x:v>43969</x:v>
      </x:c>
      <x:c r="B61" s="1" t="inlineStr">
        <x:is>
          <x:t>Тольятти</x:t>
        </x:is>
      </x:c>
      <x:c r="C61" s="6">
        <x:v>7373379.0</x:v>
      </x:c>
      <x:c r="D61" s="6">
        <x:v>6426123.811</x:v>
      </x:c>
      <x:c r="E61" s="6">
        <x:v>579368.1312923077</x:v>
      </x:c>
      <x:c r="F61" s="6">
        <x:v>70.0</x:v>
      </x:c>
      <x:c r="G61" s="6">
        <x:v>5148.0</x:v>
      </x:c>
      <x:c r="H61" s="6">
        <x:v>4530.0</x:v>
      </x:c>
    </x:row>
    <x:row r="62" ht="21" customHeight="1">
      <x:c r="A62" s="5">
        <x:v>43976</x:v>
      </x:c>
      <x:c r="B62" s="1" t="inlineStr">
        <x:is>
          <x:t>Волгоград</x:t>
        </x:is>
      </x:c>
      <x:c r="C62" s="6">
        <x:v>46485094.5</x:v>
      </x:c>
      <x:c r="D62" s="6">
        <x:v>36573772.578999996</x:v>
      </x:c>
      <x:c r="E62" s="6">
        <x:v>1215586.0448769229</x:v>
      </x:c>
      <x:c r="F62" s="6">
        <x:v>256.0</x:v>
      </x:c>
      <x:c r="G62" s="6">
        <x:v>36734.0</x:v>
      </x:c>
      <x:c r="H62" s="6">
        <x:v>33925.0</x:v>
      </x:c>
    </x:row>
    <x:row r="63" ht="21" customHeight="1">
      <x:c r="A63" s="5">
        <x:v>43976</x:v>
      </x:c>
      <x:c r="B63" s="1" t="inlineStr">
        <x:is>
          <x:t>Екатеринбург</x:t>
        </x:is>
      </x:c>
      <x:c r="C63" s="6">
        <x:v>50729185.5</x:v>
      </x:c>
      <x:c r="D63" s="6">
        <x:v>39434704.58499999</x:v>
      </x:c>
      <x:c r="E63" s="6">
        <x:v>808350.5681615385</x:v>
      </x:c>
      <x:c r="F63" s="6">
        <x:v>217.0</x:v>
      </x:c>
      <x:c r="G63" s="6">
        <x:v>39634.0</x:v>
      </x:c>
      <x:c r="H63" s="6">
        <x:v>36856.0</x:v>
      </x:c>
    </x:row>
    <x:row r="64" ht="21" customHeight="1">
      <x:c r="A64" s="5">
        <x:v>43976</x:v>
      </x:c>
      <x:c r="B64" s="1" t="inlineStr">
        <x:is>
          <x:t>Казань</x:t>
        </x:is>
      </x:c>
      <x:c r="C64" s="6">
        <x:v>27495690.0</x:v>
      </x:c>
      <x:c r="D64" s="6">
        <x:v>21336710.455</x:v>
      </x:c>
      <x:c r="E64" s="6">
        <x:v>1213933.109676923</x:v>
      </x:c>
      <x:c r="F64" s="6">
        <x:v>152.0</x:v>
      </x:c>
      <x:c r="G64" s="6">
        <x:v>17544.0</x:v>
      </x:c>
      <x:c r="H64" s="6">
        <x:v>16025.0</x:v>
      </x:c>
    </x:row>
    <x:row r="65" ht="21" customHeight="1">
      <x:c r="A65" s="5">
        <x:v>43976</x:v>
      </x:c>
      <x:c r="B65" s="1" t="inlineStr">
        <x:is>
          <x:t>Кемерово</x:t>
        </x:is>
      </x:c>
      <x:c r="C65" s="6">
        <x:v>22579281.0</x:v>
      </x:c>
      <x:c r="D65" s="6">
        <x:v>18021287.75</x:v>
      </x:c>
      <x:c r="E65" s="6">
        <x:v>1857393.9804</x:v>
      </x:c>
      <x:c r="F65" s="6">
        <x:v>141.0</x:v>
      </x:c>
      <x:c r="G65" s="6">
        <x:v>15075.0</x:v>
      </x:c>
      <x:c r="H65" s="6">
        <x:v>13784.0</x:v>
      </x:c>
    </x:row>
    <x:row r="66" ht="21" customHeight="1">
      <x:c r="A66" s="5">
        <x:v>43976</x:v>
      </x:c>
      <x:c r="B66" s="1" t="inlineStr">
        <x:is>
          <x:t>Краснодар</x:t>
        </x:is>
      </x:c>
      <x:c r="C66" s="6">
        <x:v>18595773.0</x:v>
      </x:c>
      <x:c r="D66" s="6">
        <x:v>14841990.301</x:v>
      </x:c>
      <x:c r="E66" s="6">
        <x:v>677023.7852230769</x:v>
      </x:c>
      <x:c r="F66" s="6">
        <x:v>141.0</x:v>
      </x:c>
      <x:c r="G66" s="6">
        <x:v>13755.0</x:v>
      </x:c>
      <x:c r="H66" s="6">
        <x:v>12541.0</x:v>
      </x:c>
    </x:row>
    <x:row r="67" ht="21" customHeight="1">
      <x:c r="A67" s="5">
        <x:v>43976</x:v>
      </x:c>
      <x:c r="B67" s="1" t="inlineStr">
        <x:is>
          <x:t>Москва Восток</x:t>
        </x:is>
      </x:c>
      <x:c r="C67" s="6">
        <x:v>151451013.0</x:v>
      </x:c>
      <x:c r="D67" s="6">
        <x:v>112710382.72100002</x:v>
      </x:c>
      <x:c r="E67" s="6">
        <x:v>2011267.8798461535</x:v>
      </x:c>
      <x:c r="F67" s="6">
        <x:v>378.0</x:v>
      </x:c>
      <x:c r="G67" s="6">
        <x:v>94045.0</x:v>
      </x:c>
      <x:c r="H67" s="6">
        <x:v>87485.0</x:v>
      </x:c>
    </x:row>
    <x:row r="68" ht="21" customHeight="1">
      <x:c r="A68" s="5">
        <x:v>43976</x:v>
      </x:c>
      <x:c r="B68" s="1" t="inlineStr">
        <x:is>
          <x:t>Москва Запад</x:t>
        </x:is>
      </x:c>
      <x:c r="C68" s="6">
        <x:v>157857214.5</x:v>
      </x:c>
      <x:c r="D68" s="6">
        <x:v>117032371.46499999</x:v>
      </x:c>
      <x:c r="E68" s="6">
        <x:v>1929112.4076923078</x:v>
      </x:c>
      <x:c r="F68" s="6">
        <x:v>414.0</x:v>
      </x:c>
      <x:c r="G68" s="6">
        <x:v>98369.0</x:v>
      </x:c>
      <x:c r="H68" s="6">
        <x:v>91327.0</x:v>
      </x:c>
    </x:row>
    <x:row r="69" ht="21" customHeight="1">
      <x:c r="A69" s="5">
        <x:v>43976</x:v>
      </x:c>
      <x:c r="B69" s="1" t="inlineStr">
        <x:is>
          <x:t>Нижний Новгород</x:t>
        </x:is>
      </x:c>
      <x:c r="C69" s="6">
        <x:v>21605704.5</x:v>
      </x:c>
      <x:c r="D69" s="6">
        <x:v>17167429.889</x:v>
      </x:c>
      <x:c r="E69" s="6">
        <x:v>1168237.703930769</x:v>
      </x:c>
      <x:c r="F69" s="6">
        <x:v>140.0</x:v>
      </x:c>
      <x:c r="G69" s="6">
        <x:v>14974.0</x:v>
      </x:c>
      <x:c r="H69" s="6">
        <x:v>13289.0</x:v>
      </x:c>
    </x:row>
    <x:row r="70" ht="21" customHeight="1">
      <x:c r="A70" s="5">
        <x:v>43976</x:v>
      </x:c>
      <x:c r="B70" s="1" t="inlineStr">
        <x:is>
          <x:t>Новосибирск</x:t>
        </x:is>
      </x:c>
      <x:c r="C70" s="6">
        <x:v>9909624.0</x:v>
      </x:c>
      <x:c r="D70" s="6">
        <x:v>8086120.618</x:v>
      </x:c>
      <x:c r="E70" s="6">
        <x:v>663214.7942923077</x:v>
      </x:c>
      <x:c r="F70" s="6">
        <x:v>126.0</x:v>
      </x:c>
      <x:c r="G70" s="6">
        <x:v>7144.0</x:v>
      </x:c>
      <x:c r="H70" s="6">
        <x:v>6380.0</x:v>
      </x:c>
    </x:row>
    <x:row r="71" ht="21" customHeight="1">
      <x:c r="A71" s="5">
        <x:v>43976</x:v>
      </x:c>
      <x:c r="B71" s="1" t="inlineStr">
        <x:is>
          <x:t>Пермь</x:t>
        </x:is>
      </x:c>
      <x:c r="C71" s="6">
        <x:v>11902053.0</x:v>
      </x:c>
      <x:c r="D71" s="6">
        <x:v>9600312.131</x:v>
      </x:c>
      <x:c r="E71" s="6">
        <x:v>1516859.5838461537</x:v>
      </x:c>
      <x:c r="F71" s="6">
        <x:v>119.0</x:v>
      </x:c>
      <x:c r="G71" s="6">
        <x:v>8761.0</x:v>
      </x:c>
      <x:c r="H71" s="6">
        <x:v>7787.0</x:v>
      </x:c>
    </x:row>
    <x:row r="72" ht="21" customHeight="1">
      <x:c r="A72" s="5">
        <x:v>43976</x:v>
      </x:c>
      <x:c r="B72" s="1" t="inlineStr">
        <x:is>
          <x:t>Ростов-на-Дону</x:t>
        </x:is>
      </x:c>
      <x:c r="C72" s="6">
        <x:v>9328845.0</x:v>
      </x:c>
      <x:c r="D72" s="6">
        <x:v>7482668.031</x:v>
      </x:c>
      <x:c r="E72" s="6">
        <x:v>1225599.978876923</x:v>
      </x:c>
      <x:c r="F72" s="6">
        <x:v>109.0</x:v>
      </x:c>
      <x:c r="G72" s="6">
        <x:v>6278.0</x:v>
      </x:c>
      <x:c r="H72" s="6">
        <x:v>5490.0</x:v>
      </x:c>
    </x:row>
    <x:row r="73" ht="21" customHeight="1">
      <x:c r="A73" s="5">
        <x:v>43976</x:v>
      </x:c>
      <x:c r="B73" s="1" t="inlineStr">
        <x:is>
          <x:t>Самара</x:t>
        </x:is>
      </x:c>
      <x:c r="C73" s="6">
        <x:v>2706253.5</x:v>
      </x:c>
      <x:c r="D73" s="6">
        <x:v>2515464.466</x:v>
      </x:c>
      <x:c r="E73" s="6">
        <x:v>321104.94968461536</x:v>
      </x:c>
      <x:c r="F73" s="6">
        <x:v>60.0</x:v>
      </x:c>
      <x:c r="G73" s="6">
        <x:v>1795.0</x:v>
      </x:c>
      <x:c r="H73" s="6">
        <x:v>1496.0</x:v>
      </x:c>
    </x:row>
    <x:row r="74" ht="21" customHeight="1">
      <x:c r="A74" s="5">
        <x:v>43976</x:v>
      </x:c>
      <x:c r="B74" s="1" t="inlineStr">
        <x:is>
          <x:t>Санкт-Петербург Север</x:t>
        </x:is>
      </x:c>
      <x:c r="C74" s="6">
        <x:v>292155049.5</x:v>
      </x:c>
      <x:c r="D74" s="6">
        <x:v>216200382.60500002</x:v>
      </x:c>
      <x:c r="E74" s="6">
        <x:v>4012887.0277307695</x:v>
      </x:c>
      <x:c r="F74" s="6">
        <x:v>868.0</x:v>
      </x:c>
      <x:c r="G74" s="6">
        <x:v>155308.0</x:v>
      </x:c>
      <x:c r="H74" s="6">
        <x:v>144114.0</x:v>
      </x:c>
    </x:row>
    <x:row r="75" ht="21" customHeight="1">
      <x:c r="A75" s="5">
        <x:v>43976</x:v>
      </x:c>
      <x:c r="B75" s="1" t="inlineStr">
        <x:is>
          <x:t>Санкт-Петербург Юг</x:t>
        </x:is>
      </x:c>
      <x:c r="C75" s="6">
        <x:v>219265928.75384998</x:v>
      </x:c>
      <x:c r="D75" s="6">
        <x:v>164247123.755</x:v>
      </x:c>
      <x:c r="E75" s="6">
        <x:v>3932115.550715384</x:v>
      </x:c>
      <x:c r="F75" s="6">
        <x:v>903.0</x:v>
      </x:c>
      <x:c r="G75" s="6">
        <x:v>125730.0</x:v>
      </x:c>
      <x:c r="H75" s="6">
        <x:v>116798.0</x:v>
      </x:c>
    </x:row>
    <x:row r="76" ht="21" customHeight="1">
      <x:c r="A76" s="5">
        <x:v>43976</x:v>
      </x:c>
      <x:c r="B76" s="1" t="inlineStr">
        <x:is>
          <x:t>Тольятти</x:t>
        </x:is>
      </x:c>
      <x:c r="C76" s="6">
        <x:v>7762362.0</x:v>
      </x:c>
      <x:c r="D76" s="6">
        <x:v>6527089.4290000005</x:v>
      </x:c>
      <x:c r="E76" s="6">
        <x:v>548423.4243</x:v>
      </x:c>
      <x:c r="F76" s="6">
        <x:v>70.0</x:v>
      </x:c>
      <x:c r="G76" s="6">
        <x:v>5466.0</x:v>
      </x:c>
      <x:c r="H76" s="6">
        <x:v>4788.0</x:v>
      </x:c>
    </x:row>
    <x:row r="77" ht="21" customHeight="1">
      <x:c r="A77" s="5">
        <x:v>43976</x:v>
      </x:c>
      <x:c r="B77" s="1" t="inlineStr">
        <x:is>
          <x:t>Томск</x:t>
        </x:is>
      </x:c>
      <x:c r="C77" s="6">
        <x:v>493893.0</x:v>
      </x:c>
      <x:c r="D77" s="6">
        <x:v>459762.61999999994</x:v>
      </x:c>
      <x:c r="E77" s="6">
        <x:v>28040.97692307692</x:v>
      </x:c>
      <x:c r="F77" s="6">
        <x:v>9.0</x:v>
      </x:c>
      <x:c r="G77" s="6">
        <x:v>345.0</x:v>
      </x:c>
      <x:c r="H77" s="6">
        <x:v>255.0</x:v>
      </x:c>
    </x:row>
    <x:row r="78" ht="21" customHeight="1">
      <x:c r="A78" s="5">
        <x:v>43976</x:v>
      </x:c>
      <x:c r="B78" s="1" t="inlineStr">
        <x:is>
          <x:t>Тюмень</x:t>
        </x:is>
      </x:c>
      <x:c r="C78" s="6">
        <x:v>4861708.5</x:v>
      </x:c>
      <x:c r="D78" s="6">
        <x:v>4210652.65</x:v>
      </x:c>
      <x:c r="E78" s="6">
        <x:v>337993.33525384613</x:v>
      </x:c>
      <x:c r="F78" s="6">
        <x:v>42.0</x:v>
      </x:c>
      <x:c r="G78" s="6">
        <x:v>2959.0</x:v>
      </x:c>
      <x:c r="H78" s="6">
        <x:v>2372.0</x:v>
      </x:c>
    </x:row>
    <x:row r="79" ht="21" customHeight="1">
      <x:c r="A79" s="5">
        <x:v>43976</x:v>
      </x:c>
      <x:c r="B79" s="1" t="inlineStr">
        <x:is>
          <x:t>Уфа</x:t>
        </x:is>
      </x:c>
      <x:c r="C79" s="6">
        <x:v>468835.5</x:v>
      </x:c>
      <x:c r="D79" s="6">
        <x:v>412625.887</x:v>
      </x:c>
      <x:c r="E79" s="6">
        <x:v>8642.376923076923</x:v>
      </x:c>
      <x:c r="F79" s="6">
        <x:v>6.0</x:v>
      </x:c>
      <x:c r="G79" s="6">
        <x:v>261.0</x:v>
      </x:c>
      <x:c r="H79" s="6">
        <x:v>188.0</x:v>
      </x:c>
    </x:row>
    <x:row r="80" ht="21" customHeight="1">
      <x:c r="A80" s="5">
        <x:v>43983</x:v>
      </x:c>
      <x:c r="B80" s="1" t="inlineStr">
        <x:is>
          <x:t>Волгоград</x:t>
        </x:is>
      </x:c>
      <x:c r="C80" s="6">
        <x:v>5800290.0</x:v>
      </x:c>
      <x:c r="D80" s="6">
        <x:v>4332158.433</x:v>
      </x:c>
      <x:c r="E80" s="6">
        <x:v>205428.24997692305</x:v>
      </x:c>
      <x:c r="F80" s="6">
        <x:v>37.0</x:v>
      </x:c>
      <x:c r="G80" s="6">
        <x:v>4722.0</x:v>
      </x:c>
      <x:c r="H80" s="6">
        <x:v>4352.0</x:v>
      </x:c>
    </x:row>
    <x:row r="81" ht="21" customHeight="1">
      <x:c r="A81" s="5">
        <x:v>43983</x:v>
      </x:c>
      <x:c r="B81" s="1" t="inlineStr">
        <x:is>
          <x:t>Екатеринбург</x:t>
        </x:is>
      </x:c>
      <x:c r="C81" s="6">
        <x:v>6829921.5</x:v>
      </x:c>
      <x:c r="D81" s="6">
        <x:v>5152925.182</x:v>
      </x:c>
      <x:c r="E81" s="6">
        <x:v>219200.11557692307</x:v>
      </x:c>
      <x:c r="F81" s="6">
        <x:v>31.0</x:v>
      </x:c>
      <x:c r="G81" s="6">
        <x:v>5468.0</x:v>
      </x:c>
      <x:c r="H81" s="6">
        <x:v>5081.0</x:v>
      </x:c>
    </x:row>
    <x:row r="82" ht="21" customHeight="1">
      <x:c r="A82" s="5">
        <x:v>43983</x:v>
      </x:c>
      <x:c r="B82" s="1" t="inlineStr">
        <x:is>
          <x:t>Казань</x:t>
        </x:is>
      </x:c>
      <x:c r="C82" s="6">
        <x:v>3865251.0</x:v>
      </x:c>
      <x:c r="D82" s="6">
        <x:v>2972895.417</x:v>
      </x:c>
      <x:c r="E82" s="6">
        <x:v>336001.0803923077</x:v>
      </x:c>
      <x:c r="F82" s="6">
        <x:v>23.0</x:v>
      </x:c>
      <x:c r="G82" s="6">
        <x:v>2531.0</x:v>
      </x:c>
      <x:c r="H82" s="6">
        <x:v>2296.0</x:v>
      </x:c>
    </x:row>
    <x:row r="83" ht="21" customHeight="1">
      <x:c r="A83" s="5">
        <x:v>43983</x:v>
      </x:c>
      <x:c r="B83" s="1" t="inlineStr">
        <x:is>
          <x:t>Кемерово</x:t>
        </x:is>
      </x:c>
      <x:c r="C83" s="6">
        <x:v>2945035.5</x:v>
      </x:c>
      <x:c r="D83" s="6">
        <x:v>2320195.4450000003</x:v>
      </x:c>
      <x:c r="E83" s="6">
        <x:v>383761.6669230769</x:v>
      </x:c>
      <x:c r="F83" s="6">
        <x:v>21.0</x:v>
      </x:c>
      <x:c r="G83" s="6">
        <x:v>2025.0</x:v>
      </x:c>
      <x:c r="H83" s="6">
        <x:v>1849.0</x:v>
      </x:c>
    </x:row>
    <x:row r="84" ht="21" customHeight="1">
      <x:c r="A84" s="5">
        <x:v>43983</x:v>
      </x:c>
      <x:c r="B84" s="1" t="inlineStr">
        <x:is>
          <x:t>Краснодар</x:t>
        </x:is>
      </x:c>
      <x:c r="C84" s="6">
        <x:v>2538967.5</x:v>
      </x:c>
      <x:c r="D84" s="6">
        <x:v>1983277.5959999997</x:v>
      </x:c>
      <x:c r="E84" s="6">
        <x:v>134168.53587692307</x:v>
      </x:c>
      <x:c r="F84" s="6">
        <x:v>21.0</x:v>
      </x:c>
      <x:c r="G84" s="6">
        <x:v>1879.0</x:v>
      </x:c>
      <x:c r="H84" s="6">
        <x:v>1720.0</x:v>
      </x:c>
    </x:row>
    <x:row r="85" ht="21" customHeight="1">
      <x:c r="A85" s="5">
        <x:v>43983</x:v>
      </x:c>
      <x:c r="B85" s="1" t="inlineStr">
        <x:is>
          <x:t>Москва Восток</x:t>
        </x:is>
      </x:c>
      <x:c r="C85" s="6">
        <x:v>18914194.5</x:v>
      </x:c>
      <x:c r="D85" s="6">
        <x:v>13959979.012</x:v>
      </x:c>
      <x:c r="E85" s="6">
        <x:v>464232.5484615384</x:v>
      </x:c>
      <x:c r="F85" s="6">
        <x:v>54.0</x:v>
      </x:c>
      <x:c r="G85" s="6">
        <x:v>11864.0</x:v>
      </x:c>
      <x:c r="H85" s="6">
        <x:v>11071.0</x:v>
      </x:c>
    </x:row>
    <x:row r="86" ht="21" customHeight="1">
      <x:c r="A86" s="5">
        <x:v>43983</x:v>
      </x:c>
      <x:c r="B86" s="1" t="inlineStr">
        <x:is>
          <x:t>Москва Запад</x:t>
        </x:is>
      </x:c>
      <x:c r="C86" s="6">
        <x:v>19465372.5</x:v>
      </x:c>
      <x:c r="D86" s="6">
        <x:v>14354207.141999999</x:v>
      </x:c>
      <x:c r="E86" s="6">
        <x:v>467483.70729230763</x:v>
      </x:c>
      <x:c r="F86" s="6">
        <x:v>59.0</x:v>
      </x:c>
      <x:c r="G86" s="6">
        <x:v>12299.0</x:v>
      </x:c>
      <x:c r="H86" s="6">
        <x:v>11448.0</x:v>
      </x:c>
    </x:row>
    <x:row r="87" ht="21" customHeight="1">
      <x:c r="A87" s="5">
        <x:v>43983</x:v>
      </x:c>
      <x:c r="B87" s="1" t="inlineStr">
        <x:is>
          <x:t>Нижний Новгород</x:t>
        </x:is>
      </x:c>
      <x:c r="C87" s="6">
        <x:v>3013512.0</x:v>
      </x:c>
      <x:c r="D87" s="6">
        <x:v>2355616.679</x:v>
      </x:c>
      <x:c r="E87" s="6">
        <x:v>219429.2774153846</x:v>
      </x:c>
      <x:c r="F87" s="6">
        <x:v>20.0</x:v>
      </x:c>
      <x:c r="G87" s="6">
        <x:v>2136.0</x:v>
      </x:c>
      <x:c r="H87" s="6">
        <x:v>1899.0</x:v>
      </x:c>
    </x:row>
    <x:row r="88" ht="21" customHeight="1">
      <x:c r="A88" s="5">
        <x:v>43983</x:v>
      </x:c>
      <x:c r="B88" s="1" t="inlineStr">
        <x:is>
          <x:t>Новосибирск</x:t>
        </x:is>
      </x:c>
      <x:c r="C88" s="6">
        <x:v>1293219.0</x:v>
      </x:c>
      <x:c r="D88" s="6">
        <x:v>1006008.1159999999</x:v>
      </x:c>
      <x:c r="E88" s="6">
        <x:v>129348.2923076923</x:v>
      </x:c>
      <x:c r="F88" s="6">
        <x:v>18.0</x:v>
      </x:c>
      <x:c r="G88" s="6">
        <x:v>923.0</x:v>
      </x:c>
      <x:c r="H88" s="6">
        <x:v>824.0</x:v>
      </x:c>
    </x:row>
    <x:row r="89" ht="21" customHeight="1">
      <x:c r="A89" s="5">
        <x:v>43983</x:v>
      </x:c>
      <x:c r="B89" s="1" t="inlineStr">
        <x:is>
          <x:t>Пермь</x:t>
        </x:is>
      </x:c>
      <x:c r="C89" s="6">
        <x:v>1526608.5</x:v>
      </x:c>
      <x:c r="D89" s="6">
        <x:v>1202670.0489999999</x:v>
      </x:c>
      <x:c r="E89" s="6">
        <x:v>340349.5336923077</x:v>
      </x:c>
      <x:c r="F89" s="6">
        <x:v>17.0</x:v>
      </x:c>
      <x:c r="G89" s="6">
        <x:v>1185.0</x:v>
      </x:c>
      <x:c r="H89" s="6">
        <x:v>1042.0</x:v>
      </x:c>
    </x:row>
    <x:row r="90" ht="21" customHeight="1">
      <x:c r="A90" s="5">
        <x:v>43983</x:v>
      </x:c>
      <x:c r="B90" s="1" t="inlineStr">
        <x:is>
          <x:t>Ростов-на-Дону</x:t>
        </x:is>
      </x:c>
      <x:c r="C90" s="6">
        <x:v>1565632.5</x:v>
      </x:c>
      <x:c r="D90" s="6">
        <x:v>1234060.991</x:v>
      </x:c>
      <x:c r="E90" s="6">
        <x:v>194827.87672307692</x:v>
      </x:c>
      <x:c r="F90" s="6">
        <x:v>16.0</x:v>
      </x:c>
      <x:c r="G90" s="6">
        <x:v>1019.0</x:v>
      </x:c>
      <x:c r="H90" s="6">
        <x:v>895.0</x:v>
      </x:c>
    </x:row>
    <x:row r="91" ht="21" customHeight="1">
      <x:c r="A91" s="5">
        <x:v>43983</x:v>
      </x:c>
      <x:c r="B91" s="1" t="inlineStr">
        <x:is>
          <x:t>Самара</x:t>
        </x:is>
      </x:c>
      <x:c r="C91" s="6">
        <x:v>636345.0</x:v>
      </x:c>
      <x:c r="D91" s="6">
        <x:v>550528.6630000001</x:v>
      </x:c>
      <x:c r="E91" s="6">
        <x:v>190344.3008</x:v>
      </x:c>
      <x:c r="F91" s="6">
        <x:v>15.0</x:v>
      </x:c>
      <x:c r="G91" s="6">
        <x:v>453.0</x:v>
      </x:c>
      <x:c r="H91" s="6">
        <x:v>370.0</x:v>
      </x:c>
    </x:row>
    <x:row r="92" ht="21" customHeight="1">
      <x:c r="A92" s="5">
        <x:v>43983</x:v>
      </x:c>
      <x:c r="B92" s="1" t="inlineStr">
        <x:is>
          <x:t>Санкт-Петербург Север</x:t>
        </x:is>
      </x:c>
      <x:c r="C92" s="6">
        <x:v>37257840.18135</x:v>
      </x:c>
      <x:c r="D92" s="6">
        <x:v>27640203.134</x:v>
      </x:c>
      <x:c r="E92" s="6">
        <x:v>744856.585476923</x:v>
      </x:c>
      <x:c r="F92" s="6">
        <x:v>123.0</x:v>
      </x:c>
      <x:c r="G92" s="6">
        <x:v>20325.0</x:v>
      </x:c>
      <x:c r="H92" s="6">
        <x:v>18935.0</x:v>
      </x:c>
    </x:row>
    <x:row r="93" ht="21" customHeight="1">
      <x:c r="A93" s="5">
        <x:v>43983</x:v>
      </x:c>
      <x:c r="B93" s="1" t="inlineStr">
        <x:is>
          <x:t>Санкт-Петербург Юг</x:t>
        </x:is>
      </x:c>
      <x:c r="C93" s="6">
        <x:v>27770092.5</x:v>
      </x:c>
      <x:c r="D93" s="6">
        <x:v>20952913.508</x:v>
      </x:c>
      <x:c r="E93" s="6">
        <x:v>872904.4042846154</x:v>
      </x:c>
      <x:c r="F93" s="6">
        <x:v>128.0</x:v>
      </x:c>
      <x:c r="G93" s="6">
        <x:v>16285.0</x:v>
      </x:c>
      <x:c r="H93" s="6">
        <x:v>15130.0</x:v>
      </x:c>
    </x:row>
    <x:row r="94" ht="21" customHeight="1">
      <x:c r="A94" s="5">
        <x:v>43983</x:v>
      </x:c>
      <x:c r="B94" s="1" t="inlineStr">
        <x:is>
          <x:t>Тольятти</x:t>
        </x:is>
      </x:c>
      <x:c r="C94" s="6">
        <x:v>1007742.0</x:v>
      </x:c>
      <x:c r="D94" s="6">
        <x:v>815296.88</x:v>
      </x:c>
      <x:c r="E94" s="6">
        <x:v>145147.84546153847</x:v>
      </x:c>
      <x:c r="F94" s="6">
        <x:v>10.0</x:v>
      </x:c>
      <x:c r="G94" s="6">
        <x:v>719.0</x:v>
      </x:c>
      <x:c r="H94" s="6">
        <x:v>627.0</x:v>
      </x:c>
    </x:row>
    <x:row r="95" ht="21" customHeight="1">
      <x:c r="A95" s="5">
        <x:v>43983</x:v>
      </x:c>
      <x:c r="B95" s="1" t="inlineStr">
        <x:is>
          <x:t>Томск</x:t>
        </x:is>
      </x:c>
      <x:c r="C95" s="6">
        <x:v>389013.0</x:v>
      </x:c>
      <x:c r="D95" s="6">
        <x:v>357353.073</x:v>
      </x:c>
      <x:c r="E95" s="6">
        <x:v>141592.70844615385</x:v>
      </x:c>
      <x:c r="F95" s="6">
        <x:v>9.0</x:v>
      </x:c>
      <x:c r="G95" s="6">
        <x:v>294.0</x:v>
      </x:c>
      <x:c r="H95" s="6">
        <x:v>224.0</x:v>
      </x:c>
    </x:row>
    <x:row r="96" ht="21" customHeight="1">
      <x:c r="A96" s="5">
        <x:v>43983</x:v>
      </x:c>
      <x:c r="B96" s="1" t="inlineStr">
        <x:is>
          <x:t>Тюмень</x:t>
        </x:is>
      </x:c>
      <x:c r="C96" s="6">
        <x:v>802447.5</x:v>
      </x:c>
      <x:c r="D96" s="6">
        <x:v>682814.146</x:v>
      </x:c>
      <x:c r="E96" s="6">
        <x:v>81560.98336923077</x:v>
      </x:c>
      <x:c r="F96" s="6">
        <x:v>7.0</x:v>
      </x:c>
      <x:c r="G96" s="6">
        <x:v>500.0</x:v>
      </x:c>
      <x:c r="H96" s="6">
        <x:v>418.0</x:v>
      </x:c>
    </x:row>
    <x:row r="97" ht="21" customHeight="1">
      <x:c r="A97" s="5">
        <x:v>43983</x:v>
      </x:c>
      <x:c r="B97" s="1" t="inlineStr">
        <x:is>
          <x:t>Уфа</x:t>
        </x:is>
      </x:c>
      <x:c r="C97" s="6">
        <x:v>410892.0</x:v>
      </x:c>
      <x:c r="D97" s="6">
        <x:v>346029.05</x:v>
      </x:c>
      <x:c r="E97" s="6">
        <x:v>36168.75384615384</x:v>
      </x:c>
      <x:c r="F97" s="6">
        <x:v>6.0</x:v>
      </x:c>
      <x:c r="G97" s="6">
        <x:v>237.0</x:v>
      </x:c>
      <x:c r="H97" s="6">
        <x:v>175.0</x:v>
      </x:c>
    </x:row>
    <x:row r="98" ht="21" customHeight="1">
      <x:c r="A98" s="1" t="inlineStr">
        <x:is>
          <x:t>Общий итог</x:t>
        </x:is>
      </x:c>
      <x:c r="B98" s="1" t="inlineStr">
        <x:is>
          <x:t/>
        </x:is>
      </x:c>
      <x:c r="C98" s="6">
        <x:v>4962359217.0624</x:v>
      </x:c>
      <x:c r="D98" s="6">
        <x:v>3704679374.703</x:v>
      </x:c>
      <x:c r="E98" s="6">
        <x:v>131974155.9671923</x:v>
      </x:c>
      <x:c r="F98" s="6">
        <x:v>20111.0</x:v>
      </x:c>
      <x:c r="G98" s="6">
        <x:v>2988770.0</x:v>
      </x:c>
      <x:c r="H98" s="6">
        <x:v>2760956.0</x:v>
      </x:c>
    </x:row>
  </x:sheetData>
  <x:mergeCells>
    <x:mergeCell ref="A2:J2"/>
  </x:mergeCells>
  <x:pageMargins left="0.7" right="0.7" top="0.75" bottom="0.75" header="0.3" footer="0.3"/>
  <x:pivotParts count="1">
    <x:pivotPart xmlns:ns0="http://schemas.openxmlformats.org/officeDocument/2006/relationships" ns0:id="rIdPivot"/>
  </x:pivotParts>
</x:worksheet>
</file>